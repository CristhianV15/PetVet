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idalgos\Desktop\"/>
    </mc:Choice>
  </mc:AlternateContent>
  <xr:revisionPtr revIDLastSave="0" documentId="13_ncr:1_{5445512D-0854-497D-8763-B248DF5C5C52}" xr6:coauthVersionLast="47" xr6:coauthVersionMax="47" xr10:uidLastSave="{00000000-0000-0000-0000-000000000000}"/>
  <bookViews>
    <workbookView xWindow="-120" yWindow="330" windowWidth="29040" windowHeight="17790" xr2:uid="{638DF9D3-5096-423B-A742-B95B7FAB30DD}"/>
  </bookViews>
  <sheets>
    <sheet name="Lista Reservas" sheetId="8" r:id="rId1"/>
    <sheet name="Reservas" sheetId="9" r:id="rId2"/>
    <sheet name="Stock" sheetId="1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2" l="1"/>
  <c r="A4" i="12"/>
  <c r="A5" i="12"/>
  <c r="A6" i="12"/>
  <c r="A7" i="12"/>
  <c r="A8" i="12"/>
  <c r="A9" i="12"/>
  <c r="A10" i="12"/>
  <c r="A11" i="12"/>
  <c r="A12" i="12"/>
  <c r="A13" i="12"/>
  <c r="A14" i="12"/>
  <c r="J3" i="12"/>
  <c r="J4" i="12"/>
  <c r="J5" i="12"/>
  <c r="J6" i="12"/>
  <c r="J7" i="12"/>
  <c r="J8" i="12"/>
  <c r="J9" i="12"/>
  <c r="J10" i="12"/>
  <c r="J11" i="12"/>
  <c r="J12" i="12"/>
  <c r="J13" i="12"/>
  <c r="J14" i="12"/>
  <c r="K3" i="12"/>
  <c r="K4" i="12"/>
  <c r="K5" i="12"/>
  <c r="K6" i="12"/>
  <c r="K7" i="12"/>
  <c r="K8" i="12"/>
  <c r="K9" i="12"/>
  <c r="K10" i="12"/>
  <c r="K11" i="12"/>
  <c r="K12" i="12"/>
  <c r="K13" i="12"/>
  <c r="K14" i="12"/>
  <c r="A4" i="9"/>
  <c r="A5" i="9"/>
  <c r="W4" i="9"/>
  <c r="W5" i="9"/>
  <c r="AA4" i="9"/>
  <c r="AA5" i="9"/>
  <c r="A3" i="9"/>
  <c r="W3" i="9"/>
  <c r="AA3" i="9"/>
  <c r="A2" i="12"/>
  <c r="K2" i="12"/>
  <c r="J2" i="12"/>
  <c r="Q5" i="9" l="1"/>
  <c r="U5" i="9"/>
  <c r="V5" i="9" s="1"/>
  <c r="U4" i="9"/>
  <c r="V4" i="9" s="1"/>
  <c r="T5" i="9"/>
  <c r="T4" i="9"/>
  <c r="S5" i="9"/>
  <c r="S4" i="9"/>
  <c r="Q4" i="9"/>
  <c r="R5" i="9"/>
  <c r="R4" i="9"/>
  <c r="T3" i="9"/>
  <c r="S3" i="9"/>
  <c r="U3" i="9"/>
  <c r="V3" i="9" s="1"/>
  <c r="R3" i="9"/>
  <c r="Q3" i="9"/>
</calcChain>
</file>

<file path=xl/sharedStrings.xml><?xml version="1.0" encoding="utf-8"?>
<sst xmlns="http://schemas.openxmlformats.org/spreadsheetml/2006/main" count="110" uniqueCount="60">
  <si>
    <t>Alm.</t>
  </si>
  <si>
    <t>Centro</t>
  </si>
  <si>
    <t>Almacen</t>
  </si>
  <si>
    <t>Cant. Ingresar</t>
  </si>
  <si>
    <t>Material</t>
  </si>
  <si>
    <t>Grupo</t>
  </si>
  <si>
    <t>Documento Material</t>
  </si>
  <si>
    <t>Nº reserva</t>
  </si>
  <si>
    <t>Orden</t>
  </si>
  <si>
    <t>Texto breve de material</t>
  </si>
  <si>
    <t>Stock</t>
  </si>
  <si>
    <t>Cant. nec</t>
  </si>
  <si>
    <t>Cant. Red.</t>
  </si>
  <si>
    <t>UM</t>
  </si>
  <si>
    <t>Liberado</t>
  </si>
  <si>
    <t>Salida alm.</t>
  </si>
  <si>
    <t>Pos. borrada</t>
  </si>
  <si>
    <t>Por retirar</t>
  </si>
  <si>
    <t>A descargar</t>
  </si>
  <si>
    <t>Id</t>
  </si>
  <si>
    <t>Vale material</t>
  </si>
  <si>
    <t>Txt.cab.doc</t>
  </si>
  <si>
    <t>ValeAcomMrccias</t>
  </si>
  <si>
    <t>Almacen conv.</t>
  </si>
  <si>
    <t>Fe. Libe.</t>
  </si>
  <si>
    <t>Usuario Lib.</t>
  </si>
  <si>
    <t>Pos.</t>
  </si>
  <si>
    <t>Usuario:</t>
  </si>
  <si>
    <t>Ubicaciòn</t>
  </si>
  <si>
    <t>Alerta</t>
  </si>
  <si>
    <t>Consignaciòn</t>
  </si>
  <si>
    <t>Proveedor</t>
  </si>
  <si>
    <t xml:space="preserve">GASOHOL 90 PLUS                         </t>
  </si>
  <si>
    <t>GAL</t>
  </si>
  <si>
    <t xml:space="preserve">          </t>
  </si>
  <si>
    <t xml:space="preserve">AG-GRIFO  </t>
  </si>
  <si>
    <t>ALM.COMBUS</t>
  </si>
  <si>
    <t>GRIFO-LOBO</t>
  </si>
  <si>
    <t xml:space="preserve">SU-GRIFO  </t>
  </si>
  <si>
    <t>Ubicacion</t>
  </si>
  <si>
    <t>Texto material</t>
  </si>
  <si>
    <t>Stock Libre</t>
  </si>
  <si>
    <t>Stock Consig</t>
  </si>
  <si>
    <t>Total</t>
  </si>
  <si>
    <t>Visualizador Stock</t>
  </si>
  <si>
    <t>X</t>
  </si>
  <si>
    <t>V1</t>
  </si>
  <si>
    <t>V2</t>
  </si>
  <si>
    <t>V3</t>
  </si>
  <si>
    <t>Stco Consig</t>
  </si>
  <si>
    <t>K</t>
  </si>
  <si>
    <t>Lista Reservas</t>
  </si>
  <si>
    <t>ALACHIRAP</t>
  </si>
  <si>
    <t>LB10606S2C1</t>
  </si>
  <si>
    <t>MWAGR000066</t>
  </si>
  <si>
    <t>CARBOXY MIN L [Ácidos ECCA Carboxy] x 1L</t>
  </si>
  <si>
    <t xml:space="preserve">L  </t>
  </si>
  <si>
    <t xml:space="preserve">        </t>
  </si>
  <si>
    <t>LB10101S2C1</t>
  </si>
  <si>
    <t>RTORRESS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</si>
</sst>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ont="1" applyAlignment="1">
      <alignment horizontal="center"/>
    </xf>
  </cellXfs>
  <cellStyles count="1">
    <cellStyle name="Normal" xfId="0" builtinId="0"/>
  </cellStyles>
  <dxfs count="5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0</xdr:rowOff>
        </xdr:from>
        <xdr:to>
          <xdr:col>2</xdr:col>
          <xdr:colOff>676275</xdr:colOff>
          <xdr:row>0</xdr:row>
          <xdr:rowOff>285750</xdr:rowOff>
        </xdr:to>
        <xdr:sp macro="" textlink="">
          <xdr:nvSpPr>
            <xdr:cNvPr id="7172" name="Descargar_Ordene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19050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3" name="Descarg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DCEF4F-FF5C-4B7C-B14C-381380ACB399}" name="TBL_OM" displayName="TBL_OM" ref="A1:A20" totalsRowShown="0" headerRowDxfId="0" dataDxfId="50" headerRowBorderDxfId="51" tableBorderDxfId="49" totalsRowBorderDxfId="48">
  <autoFilter ref="A1:A20" xr:uid="{A6DCEF4F-FF5C-4B7C-B14C-381380ACB399}"/>
  <tableColumns count="1">
    <tableColumn id="1" xr3:uid="{E729952E-539E-4A4C-9683-F9E4659FAB84}" name="Lista Reservas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60AE861-A128-4F0E-A0B4-6EA146F8236F}" name="TBL_DATA_OM" displayName="TBL_DATA_OM" ref="A2:AG5" totalsRowShown="0">
  <autoFilter ref="A2:AG5" xr:uid="{660AE861-A128-4F0E-A0B4-6EA146F8236F}"/>
  <sortState xmlns:xlrd2="http://schemas.microsoft.com/office/spreadsheetml/2017/richdata2" ref="A2:AG3">
    <sortCondition ref="C2"/>
  </sortState>
  <tableColumns count="33">
    <tableColumn id="27" xr3:uid="{C0E8F010-83B2-48A3-8ED4-35BFF0B2A621}" name="Id" dataDxfId="46">
      <calculatedColumnFormula>TBL_DATA_OM[[#This Row],[Centro]]&amp;TBL_DATA_OM[[#This Row],[Material]]&amp;TBL_DATA_OM[[#This Row],[Almacen]]</calculatedColumnFormula>
    </tableColumn>
    <tableColumn id="1" xr3:uid="{91277A77-D289-42A7-8B0D-DF36E8EFEF4C}" name="Nº reserva" dataDxfId="45"/>
    <tableColumn id="2" xr3:uid="{5D624661-018C-4AF0-AFDF-97B293612CB6}" name="Orden" dataDxfId="44"/>
    <tableColumn id="3" xr3:uid="{F019E0C5-A4C9-4541-A180-234A787AC8EA}" name="Material" dataDxfId="43"/>
    <tableColumn id="4" xr3:uid="{68524FD9-A2B2-4620-9E36-243A4D1F4E89}" name="Texto breve de material" dataDxfId="42"/>
    <tableColumn id="6" xr3:uid="{91BEE06E-6EB7-406B-9D0C-D73121C01EE9}" name="Cant. nec" dataDxfId="41"/>
    <tableColumn id="7" xr3:uid="{9EF81B06-0FCB-495F-AF5E-8F01F325FAE0}" name="Cant. Red." dataDxfId="40"/>
    <tableColumn id="8" xr3:uid="{134C0F4A-5C96-4AA9-962F-B7CA4899AC56}" name="UM" dataDxfId="39"/>
    <tableColumn id="9" xr3:uid="{95D8185A-4AFD-44A5-9923-FB9DCC5D717C}" name="Centro" dataDxfId="38"/>
    <tableColumn id="12" xr3:uid="{EACDA264-B92F-4D4D-BC84-EB84A61D5B12}" name="Liberado" dataDxfId="37"/>
    <tableColumn id="13" xr3:uid="{D9C35CDD-1B05-48E7-B811-A77C09EFE732}" name="Salida alm." dataDxfId="36"/>
    <tableColumn id="14" xr3:uid="{63388285-BF9F-401C-97A1-67E77E0D9916}" name="Pos. borrada" dataDxfId="35"/>
    <tableColumn id="15" xr3:uid="{53A46DB4-5146-42BB-A4FF-EE53559F2C50}" name="Usuario Lib." dataDxfId="34"/>
    <tableColumn id="16" xr3:uid="{F9F2694C-FECA-4D68-99F6-2DF9EC9BC1EA}" name="Fe. Libe." dataDxfId="33"/>
    <tableColumn id="17" xr3:uid="{1396AE88-E032-4395-A5EE-E4B9C55D2409}" name="Pos." dataDxfId="32"/>
    <tableColumn id="18" xr3:uid="{5CAE835E-AB16-4596-BA17-BB6285134BFA}" name="Alm." dataDxfId="31"/>
    <tableColumn id="19" xr3:uid="{7B836D2C-334B-47FD-9BF0-A13FAB6757C2}" name="Ubicaciòn" dataDxfId="30">
      <calculatedColumnFormula>IFERROR(VLOOKUP(TBL_DATA_OM[[#This Row],[Id]],TBL_STOCK[],4,FALSE),"-")</calculatedColumnFormula>
    </tableColumn>
    <tableColumn id="24" xr3:uid="{0E167282-B191-491B-B87A-9A889E2B069F}" name="Alerta" dataDxfId="29">
      <calculatedColumnFormula>IFERROR(VLOOKUP(TBL_DATA_OM[[#This Row],[Id]],TBL_STOCK[],11,FALSE),"-")</calculatedColumnFormula>
    </tableColumn>
    <tableColumn id="10" xr3:uid="{AF217C44-DF30-472C-B83B-624931B4969B}" name="Stock Libre" dataDxfId="28">
      <calculatedColumnFormula>IFERROR(VLOOKUP(TBL_DATA_OM[[#This Row],[Id]],TBL_STOCK[],8,FALSE),0)</calculatedColumnFormula>
    </tableColumn>
    <tableColumn id="5" xr3:uid="{E75C80A6-68B8-40F0-9BFB-2BDB14D13E4C}" name="Stco Consig" dataDxfId="27">
      <calculatedColumnFormula>IFERROR(VLOOKUP(TBL_DATA_OM[[#This Row],[Id]],TBL_STOCK[],9,FALSE),0)</calculatedColumnFormula>
    </tableColumn>
    <tableColumn id="25" xr3:uid="{7A482F36-80B5-4373-BAE6-27067FAEF036}" name="Stock" dataDxfId="26">
      <calculatedColumnFormula>IFERROR(VLOOKUP(TBL_DATA_OM[[#This Row],[Id]],TBL_STOCK[],10,FALSE),0)</calculatedColumnFormula>
    </tableColumn>
    <tableColumn id="22" xr3:uid="{4C3CB0C0-99B0-4463-BEE5-CFB0DD9E407A}" name="A descargar" dataDxfId="25">
      <calculatedColumnFormula>IF(AND(TBL_DATA_OM[[#This Row],[Liberado]]="X",TBL_DATA_OM[[#This Row],[Pos. borrada]]&lt;&gt;"X",TBL_DATA_OM[[#This Row],[Cant. Ingresar]]&lt;=TBL_DATA_OM[[#This Row],[Por retirar]],TBL_DATA_OM[[#This Row],[Stock]]&gt;=TBL_DATA_OM[[#This Row],[Cant. Ingresar]],TBL_DATA_OM[[#This Row],[Por retirar]]&gt;0,TBL_DATA_OM[[#This Row],[Cant. Ingresar]]&lt;&gt;"",TBL_DATA_OM[[#This Row],[Grupo]]&lt;&gt;""),"SI",IF(TBL_DATA_OM[[#This Row],[Pos. borrada]]="X","NO","NO"))</calculatedColumnFormula>
    </tableColumn>
    <tableColumn id="20" xr3:uid="{66DA1CD2-FE1B-4926-95F6-823CA6939273}" name="Por retirar" dataDxfId="24">
      <calculatedColumnFormula>TBL_DATA_OM[[#This Row],[Cant. nec]]-TBL_DATA_OM[[#This Row],[Cant. Red.]]</calculatedColumnFormula>
    </tableColumn>
    <tableColumn id="33" xr3:uid="{B661E4D6-E893-42DB-BA93-74AAB3B06587}" name="Grupo" dataDxfId="23"/>
    <tableColumn id="21" xr3:uid="{5FED8BF0-6C5B-4A28-8BFC-C48A9E04AB05}" name="Cant. Ingresar" dataDxfId="22"/>
    <tableColumn id="23" xr3:uid="{E83B8A34-6FF9-4CDD-AC99-9756FAAD766C}" name="Almacen" dataDxfId="21"/>
    <tableColumn id="32" xr3:uid="{6585043F-9948-470F-BB5B-36F034AC4676}" name="Almacen conv." dataDxfId="20">
      <calculatedColumnFormula>IF(TBL_DATA_OM[[#This Row],[Almacen]]="","",IF(TBL_DATA_OM[[#This Row],[Almacen]]&gt;9,"00"&amp;TBL_DATA_OM[[#This Row],[Almacen]],IF(TBL_DATA_OM[[#This Row],[Almacen]]&lt;=9,"000"&amp;TBL_DATA_OM[[#This Row],[Almacen]])))</calculatedColumnFormula>
    </tableColumn>
    <tableColumn id="28" xr3:uid="{9B9F24D3-275B-4AAB-B633-FEF0994E9918}" name="Vale material" dataDxfId="19"/>
    <tableColumn id="29" xr3:uid="{E915A328-586B-41AD-8C35-28D2B6B423EA}" name="Txt.cab.doc" dataDxfId="18"/>
    <tableColumn id="30" xr3:uid="{44B572F3-42B9-46AC-974A-A133DF94C9FB}" name="ValeAcomMrccias" dataDxfId="17"/>
    <tableColumn id="26" xr3:uid="{26611874-3DFA-4410-BB04-9BE2FBDEF397}" name="Consignaciòn" dataDxfId="16"/>
    <tableColumn id="34" xr3:uid="{58D6192D-55BC-47F1-8463-36B02BE957C8}" name="Proveedor" dataDxfId="15"/>
    <tableColumn id="31" xr3:uid="{DB6DF49A-F56E-41BA-BE36-843445CDCAE5}" name="Documento Material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DAD406-C7D9-4FE9-8164-3DCDAE58379F}" name="TBL_STOCK" displayName="TBL_STOCK" ref="A1:K14" totalsRowShown="0" headerRowDxfId="13" dataDxfId="12">
  <autoFilter ref="A1:K14" xr:uid="{A8DAD406-C7D9-4FE9-8164-3DCDAE58379F}"/>
  <tableColumns count="11">
    <tableColumn id="7" xr3:uid="{C53F4B8F-673B-441F-9855-C99CC670DFF1}" name="Id" dataDxfId="11">
      <calculatedColumnFormula>TBL_STOCK[[#This Row],[Centro]]&amp;TBL_STOCK[[#This Row],[Material]]&amp;TBL_STOCK[[#This Row],[Almacen]]</calculatedColumnFormula>
    </tableColumn>
    <tableColumn id="1" xr3:uid="{E7ED07AC-C82C-45B0-ACF3-1A92BE7921A9}" name="Centro" dataDxfId="10"/>
    <tableColumn id="2" xr3:uid="{49FF5748-440A-483F-865F-16A17B8BA873}" name="Almacen" dataDxfId="9"/>
    <tableColumn id="3" xr3:uid="{F9525BE6-161A-4B82-8A99-1E0224CF53FE}" name="Ubicacion" dataDxfId="8"/>
    <tableColumn id="4" xr3:uid="{C51765EE-E04F-40DA-90C6-3F89C837C0C2}" name="Material" dataDxfId="7"/>
    <tableColumn id="5" xr3:uid="{54515F12-3C1F-4FFF-8099-9FBB7189BD6B}" name="Texto material" dataDxfId="6"/>
    <tableColumn id="6" xr3:uid="{971C94B3-FBE9-4417-BDC4-862263077CB1}" name="UM" dataDxfId="5"/>
    <tableColumn id="11" xr3:uid="{C33F1995-D05D-41A4-BF18-774818BF39EA}" name="Stock Libre" dataDxfId="4"/>
    <tableColumn id="12" xr3:uid="{347EB95E-ECA8-44E9-B9D8-AADB8C9CDEE8}" name="Stock Consig" dataDxfId="3"/>
    <tableColumn id="14" xr3:uid="{06A8F02E-7D74-4BE8-A49A-AA175CD8C1B6}" name="Total" dataDxfId="2">
      <calculatedColumnFormula>TBL_STOCK[[#This Row],[Stock Libre]]+TBL_STOCK[[#This Row],[Stock Consig]]</calculatedColumnFormula>
    </tableColumn>
    <tableColumn id="15" xr3:uid="{613CE9FF-81E3-4496-ACEF-814A34DDD58B}" name="Visualizador Stock" dataDxfId="1">
      <calculatedColumnFormula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EF2D-22F2-4D68-A6D5-78F85EC33AAF}">
  <sheetPr codeName="Hoja5"/>
  <dimension ref="A1:E20"/>
  <sheetViews>
    <sheetView showGridLines="0" tabSelected="1" zoomScale="90" zoomScaleNormal="90" workbookViewId="0">
      <pane ySplit="1" topLeftCell="A2" activePane="bottomLeft" state="frozen"/>
      <selection activeCell="H39" sqref="H39"/>
      <selection pane="bottomLeft"/>
    </sheetView>
  </sheetViews>
  <sheetFormatPr baseColWidth="10" defaultRowHeight="15" x14ac:dyDescent="0.25"/>
  <cols>
    <col min="1" max="1" width="16" style="1" customWidth="1"/>
    <col min="5" max="5" width="13" bestFit="1" customWidth="1"/>
  </cols>
  <sheetData>
    <row r="1" spans="1:5" ht="24.75" customHeight="1" x14ac:dyDescent="0.25">
      <c r="A1" s="8" t="s">
        <v>51</v>
      </c>
      <c r="D1" s="6" t="s">
        <v>27</v>
      </c>
      <c r="E1" s="7" t="s">
        <v>52</v>
      </c>
    </row>
    <row r="2" spans="1:5" ht="13.9" x14ac:dyDescent="0.25">
      <c r="A2" s="1">
        <v>225922243</v>
      </c>
    </row>
    <row r="3" spans="1:5" ht="13.9" x14ac:dyDescent="0.25">
      <c r="A3" s="1">
        <v>225922244</v>
      </c>
    </row>
    <row r="4" spans="1:5" x14ac:dyDescent="0.25">
      <c r="A4" s="1">
        <v>225925817</v>
      </c>
    </row>
    <row r="5" spans="1:5" x14ac:dyDescent="0.25">
      <c r="A5" s="1">
        <v>225925876</v>
      </c>
    </row>
    <row r="6" spans="1:5" x14ac:dyDescent="0.25">
      <c r="A6" s="1">
        <v>225925877</v>
      </c>
    </row>
    <row r="7" spans="1:5" x14ac:dyDescent="0.25">
      <c r="A7" s="1">
        <v>225925878</v>
      </c>
    </row>
    <row r="8" spans="1:5" x14ac:dyDescent="0.25">
      <c r="A8" s="1">
        <v>225925879</v>
      </c>
    </row>
    <row r="9" spans="1:5" x14ac:dyDescent="0.25">
      <c r="A9" s="1">
        <v>225925880</v>
      </c>
    </row>
    <row r="10" spans="1:5" x14ac:dyDescent="0.25">
      <c r="A10" s="1">
        <v>225925881</v>
      </c>
    </row>
    <row r="11" spans="1:5" x14ac:dyDescent="0.25">
      <c r="A11" s="1">
        <v>225925882</v>
      </c>
    </row>
    <row r="12" spans="1:5" x14ac:dyDescent="0.25">
      <c r="A12" s="1">
        <v>225925883</v>
      </c>
    </row>
    <row r="13" spans="1:5" x14ac:dyDescent="0.25">
      <c r="A13" s="1">
        <v>225925884</v>
      </c>
    </row>
    <row r="14" spans="1:5" x14ac:dyDescent="0.25">
      <c r="A14" s="1">
        <v>225925885</v>
      </c>
    </row>
    <row r="15" spans="1:5" x14ac:dyDescent="0.25">
      <c r="A15" s="1">
        <v>225931710</v>
      </c>
    </row>
    <row r="16" spans="1:5" x14ac:dyDescent="0.25">
      <c r="A16" s="1">
        <v>225931711</v>
      </c>
    </row>
    <row r="17" spans="1:1" x14ac:dyDescent="0.25">
      <c r="A17" s="1">
        <v>225931712</v>
      </c>
    </row>
    <row r="18" spans="1:1" x14ac:dyDescent="0.25">
      <c r="A18" s="1">
        <v>225931713</v>
      </c>
    </row>
    <row r="19" spans="1:1" x14ac:dyDescent="0.25">
      <c r="A19" s="1">
        <v>225931714</v>
      </c>
    </row>
    <row r="20" spans="1:1" x14ac:dyDescent="0.25">
      <c r="A20" s="1">
        <v>225931715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2" r:id="rId3" name="Descargar_Ordenes">
          <controlPr defaultSize="0" autoLine="0" r:id="rId4">
            <anchor moveWithCells="1">
              <from>
                <xdr:col>1</xdr:col>
                <xdr:colOff>409575</xdr:colOff>
                <xdr:row>0</xdr:row>
                <xdr:rowOff>0</xdr:rowOff>
              </from>
              <to>
                <xdr:col>2</xdr:col>
                <xdr:colOff>676275</xdr:colOff>
                <xdr:row>0</xdr:row>
                <xdr:rowOff>285750</xdr:rowOff>
              </to>
            </anchor>
          </controlPr>
        </control>
      </mc:Choice>
      <mc:Fallback>
        <control shapeId="7172" r:id="rId3" name="Descargar_Ordenes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35537-C6FC-4E72-9F3D-FF3E475E98CB}">
  <sheetPr codeName="Hoja6"/>
  <dimension ref="A1:AH5"/>
  <sheetViews>
    <sheetView showGridLines="0" topLeftCell="B1" zoomScale="90" zoomScaleNormal="9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2" sqref="B2"/>
    </sheetView>
  </sheetViews>
  <sheetFormatPr baseColWidth="10" defaultRowHeight="15" x14ac:dyDescent="0.25"/>
  <cols>
    <col min="1" max="1" width="13.85546875" hidden="1" customWidth="1"/>
    <col min="2" max="2" width="13.7109375" style="1" bestFit="1" customWidth="1"/>
    <col min="3" max="4" width="11.5703125" style="1" bestFit="1" customWidth="1"/>
    <col min="5" max="5" width="39" style="3" bestFit="1" customWidth="1"/>
    <col min="6" max="6" width="12.7109375" style="1" hidden="1" customWidth="1"/>
    <col min="7" max="7" width="13.42578125" style="1" hidden="1" customWidth="1"/>
    <col min="8" max="8" width="7.140625" style="1" customWidth="1"/>
    <col min="9" max="9" width="10.42578125" style="1" customWidth="1"/>
    <col min="10" max="10" width="8.140625" style="1" customWidth="1"/>
    <col min="11" max="11" width="13.5703125" style="1" customWidth="1"/>
    <col min="12" max="12" width="12.5703125" style="1" customWidth="1"/>
    <col min="13" max="13" width="17.85546875" style="1" hidden="1" customWidth="1"/>
    <col min="14" max="14" width="14.85546875" style="4" hidden="1" customWidth="1"/>
    <col min="15" max="15" width="8.140625" style="1" hidden="1" customWidth="1"/>
    <col min="16" max="16" width="12" style="1" bestFit="1" customWidth="1"/>
    <col min="17" max="17" width="18.42578125" style="1" customWidth="1"/>
    <col min="18" max="18" width="26.5703125" style="3" customWidth="1"/>
    <col min="19" max="19" width="15.42578125" customWidth="1"/>
    <col min="20" max="20" width="15.85546875" customWidth="1"/>
    <col min="21" max="22" width="16.7109375" style="1" customWidth="1"/>
    <col min="23" max="23" width="12" style="1" customWidth="1"/>
    <col min="24" max="24" width="14.42578125" style="1" customWidth="1"/>
    <col min="25" max="25" width="16.5703125" style="1" bestFit="1" customWidth="1"/>
    <col min="26" max="26" width="16.5703125" style="1" customWidth="1"/>
    <col min="27" max="27" width="19.7109375" style="1" hidden="1" customWidth="1"/>
    <col min="28" max="29" width="16.28515625" style="1" customWidth="1"/>
    <col min="30" max="30" width="16" bestFit="1" customWidth="1"/>
    <col min="31" max="31" width="19.5703125" customWidth="1"/>
    <col min="32" max="32" width="19.7109375" bestFit="1" customWidth="1"/>
    <col min="33" max="33" width="21.7109375" style="1" bestFit="1" customWidth="1"/>
    <col min="34" max="34" width="16.7109375" style="1" bestFit="1" customWidth="1"/>
    <col min="35" max="35" width="22.5703125" bestFit="1" customWidth="1"/>
  </cols>
  <sheetData>
    <row r="1" spans="1:34" ht="30" customHeight="1" x14ac:dyDescent="0.25">
      <c r="S1" s="1"/>
      <c r="T1" s="1"/>
      <c r="AB1"/>
      <c r="AC1"/>
      <c r="AE1" s="1"/>
      <c r="AF1" s="1"/>
      <c r="AG1"/>
      <c r="AH1"/>
    </row>
    <row r="2" spans="1:34" x14ac:dyDescent="0.25">
      <c r="A2" t="s">
        <v>19</v>
      </c>
      <c r="B2" s="1" t="s">
        <v>7</v>
      </c>
      <c r="C2" s="1" t="s">
        <v>8</v>
      </c>
      <c r="D2" s="1" t="s">
        <v>4</v>
      </c>
      <c r="E2" s="3" t="s">
        <v>9</v>
      </c>
      <c r="F2" s="1" t="s">
        <v>11</v>
      </c>
      <c r="G2" s="1" t="s">
        <v>12</v>
      </c>
      <c r="H2" s="1" t="s">
        <v>13</v>
      </c>
      <c r="I2" s="1" t="s">
        <v>1</v>
      </c>
      <c r="J2" s="1" t="s">
        <v>14</v>
      </c>
      <c r="K2" s="1" t="s">
        <v>15</v>
      </c>
      <c r="L2" s="1" t="s">
        <v>16</v>
      </c>
      <c r="M2" s="1" t="s">
        <v>25</v>
      </c>
      <c r="N2" s="4" t="s">
        <v>24</v>
      </c>
      <c r="O2" s="1" t="s">
        <v>26</v>
      </c>
      <c r="P2" s="1" t="s">
        <v>0</v>
      </c>
      <c r="Q2" s="1" t="s">
        <v>28</v>
      </c>
      <c r="R2" s="3" t="s">
        <v>29</v>
      </c>
      <c r="S2" s="1" t="s">
        <v>41</v>
      </c>
      <c r="T2" s="1" t="s">
        <v>49</v>
      </c>
      <c r="U2" s="1" t="s">
        <v>10</v>
      </c>
      <c r="V2" s="1" t="s">
        <v>18</v>
      </c>
      <c r="W2" s="1" t="s">
        <v>17</v>
      </c>
      <c r="X2" s="2" t="s">
        <v>5</v>
      </c>
      <c r="Y2" s="2" t="s">
        <v>3</v>
      </c>
      <c r="Z2" s="2" t="s">
        <v>2</v>
      </c>
      <c r="AA2" s="1" t="s">
        <v>23</v>
      </c>
      <c r="AB2" s="2" t="s">
        <v>20</v>
      </c>
      <c r="AC2" s="2" t="s">
        <v>21</v>
      </c>
      <c r="AD2" s="2" t="s">
        <v>22</v>
      </c>
      <c r="AE2" s="2" t="s">
        <v>30</v>
      </c>
      <c r="AF2" s="2" t="s">
        <v>31</v>
      </c>
      <c r="AG2" t="s">
        <v>6</v>
      </c>
      <c r="AH2"/>
    </row>
    <row r="3" spans="1:34" x14ac:dyDescent="0.25">
      <c r="A3" t="str">
        <f>TBL_DATA_OM[[#This Row],[Centro]]&amp;TBL_DATA_OM[[#This Row],[Material]]&amp;TBL_DATA_OM[[#This Row],[Almacen]]</f>
        <v>3202MWAGR0000667</v>
      </c>
      <c r="B3" s="1">
        <v>225922243</v>
      </c>
      <c r="C3" s="1" t="s">
        <v>53</v>
      </c>
      <c r="D3" s="1" t="s">
        <v>54</v>
      </c>
      <c r="E3" s="3" t="s">
        <v>55</v>
      </c>
      <c r="F3" s="5">
        <v>80</v>
      </c>
      <c r="G3" s="5">
        <v>62.5</v>
      </c>
      <c r="H3" s="1" t="s">
        <v>56</v>
      </c>
      <c r="I3" s="1">
        <v>3202</v>
      </c>
      <c r="J3" s="1" t="s">
        <v>45</v>
      </c>
      <c r="M3" s="1" t="s">
        <v>57</v>
      </c>
      <c r="N3" s="4" t="s">
        <v>34</v>
      </c>
      <c r="O3" s="1">
        <v>1</v>
      </c>
      <c r="P3" s="1">
        <v>7</v>
      </c>
      <c r="Q3" s="1" t="str">
        <f>IFERROR(VLOOKUP(TBL_DATA_OM[[#This Row],[Id]],TBL_STOCK[],4,FALSE),"-")</f>
        <v xml:space="preserve">          </v>
      </c>
      <c r="R3" s="3" t="str">
        <f>IFERROR(VLOOKUP(TBL_DATA_OM[[#This Row],[Id]],TBL_STOCK[],11,FALSE),"-")</f>
        <v>Sin Stock</v>
      </c>
      <c r="S3" s="1">
        <f>IFERROR(VLOOKUP(TBL_DATA_OM[[#This Row],[Id]],TBL_STOCK[],8,FALSE),0)</f>
        <v>0</v>
      </c>
      <c r="T3" s="1">
        <f>IFERROR(VLOOKUP(TBL_DATA_OM[[#This Row],[Id]],TBL_STOCK[],9,FALSE),0)</f>
        <v>0</v>
      </c>
      <c r="U3" s="1">
        <f>IFERROR(VLOOKUP(TBL_DATA_OM[[#This Row],[Id]],TBL_STOCK[],10,FALSE),0)</f>
        <v>0</v>
      </c>
      <c r="V3" s="1" t="str">
        <f>IF(AND(TBL_DATA_OM[[#This Row],[Liberado]]="X",TBL_DATA_OM[[#This Row],[Pos. borrada]]&lt;&gt;"X",TBL_DATA_OM[[#This Row],[Cant. Ingresar]]&lt;=TBL_DATA_OM[[#This Row],[Por retirar]],TBL_DATA_OM[[#This Row],[Stock]]&gt;=TBL_DATA_OM[[#This Row],[Cant. Ingresar]],TBL_DATA_OM[[#This Row],[Por retirar]]&gt;0,TBL_DATA_OM[[#This Row],[Cant. Ingresar]]&lt;&gt;"",TBL_DATA_OM[[#This Row],[Grupo]]&lt;&gt;""),"SI",IF(TBL_DATA_OM[[#This Row],[Pos. borrada]]="X","NO","NO"))</f>
        <v>NO</v>
      </c>
      <c r="W3" s="5">
        <f>TBL_DATA_OM[[#This Row],[Cant. nec]]-TBL_DATA_OM[[#This Row],[Cant. Red.]]</f>
        <v>17.5</v>
      </c>
      <c r="X3" s="1">
        <v>1</v>
      </c>
      <c r="Y3" s="5">
        <v>1</v>
      </c>
      <c r="Z3" s="1">
        <v>7</v>
      </c>
      <c r="AA3" s="1" t="str">
        <f>IF(TBL_DATA_OM[[#This Row],[Almacen]]="","",IF(TBL_DATA_OM[[#This Row],[Almacen]]&gt;9,"00"&amp;TBL_DATA_OM[[#This Row],[Almacen]],IF(TBL_DATA_OM[[#This Row],[Almacen]]&lt;=9,"000"&amp;TBL_DATA_OM[[#This Row],[Almacen]])))</f>
        <v>0007</v>
      </c>
      <c r="AB3" s="1" t="s">
        <v>46</v>
      </c>
      <c r="AC3" s="1" t="s">
        <v>47</v>
      </c>
      <c r="AD3" s="1" t="s">
        <v>48</v>
      </c>
      <c r="AE3" s="1" t="s">
        <v>50</v>
      </c>
      <c r="AF3" s="1"/>
      <c r="AH3"/>
    </row>
    <row r="4" spans="1:34" x14ac:dyDescent="0.25">
      <c r="A4" s="9" t="str">
        <f>TBL_DATA_OM[[#This Row],[Centro]]&amp;TBL_DATA_OM[[#This Row],[Material]]&amp;TBL_DATA_OM[[#This Row],[Almacen]]</f>
        <v>3202MWAGR0000667</v>
      </c>
      <c r="B4" s="1">
        <v>225922244</v>
      </c>
      <c r="C4" s="1" t="s">
        <v>58</v>
      </c>
      <c r="D4" s="1" t="s">
        <v>54</v>
      </c>
      <c r="E4" s="3" t="s">
        <v>55</v>
      </c>
      <c r="F4" s="5">
        <v>80</v>
      </c>
      <c r="G4" s="5">
        <v>62.5</v>
      </c>
      <c r="H4" s="1" t="s">
        <v>56</v>
      </c>
      <c r="I4" s="1">
        <v>3202</v>
      </c>
      <c r="J4" s="1" t="s">
        <v>45</v>
      </c>
      <c r="M4" s="1" t="s">
        <v>57</v>
      </c>
      <c r="N4" s="4" t="s">
        <v>34</v>
      </c>
      <c r="O4" s="1">
        <v>1</v>
      </c>
      <c r="P4" s="1">
        <v>7</v>
      </c>
      <c r="Q4" s="10" t="str">
        <f>IFERROR(VLOOKUP(TBL_DATA_OM[[#This Row],[Id]],TBL_STOCK[],4,FALSE),"-")</f>
        <v xml:space="preserve">          </v>
      </c>
      <c r="R4" s="11" t="str">
        <f>IFERROR(VLOOKUP(TBL_DATA_OM[[#This Row],[Id]],TBL_STOCK[],11,FALSE),"-")</f>
        <v>Sin Stock</v>
      </c>
      <c r="S4" s="10">
        <f>IFERROR(VLOOKUP(TBL_DATA_OM[[#This Row],[Id]],TBL_STOCK[],8,FALSE),0)</f>
        <v>0</v>
      </c>
      <c r="T4" s="10">
        <f>IFERROR(VLOOKUP(TBL_DATA_OM[[#This Row],[Id]],TBL_STOCK[],9,FALSE),0)</f>
        <v>0</v>
      </c>
      <c r="U4" s="10">
        <f>IFERROR(VLOOKUP(TBL_DATA_OM[[#This Row],[Id]],TBL_STOCK[],10,FALSE),0)</f>
        <v>0</v>
      </c>
      <c r="V4" s="10" t="str">
        <f>IF(AND(TBL_DATA_OM[[#This Row],[Liberado]]="X",TBL_DATA_OM[[#This Row],[Pos. borrada]]&lt;&gt;"X",TBL_DATA_OM[[#This Row],[Cant. Ingresar]]&lt;=TBL_DATA_OM[[#This Row],[Por retirar]],TBL_DATA_OM[[#This Row],[Stock]]&gt;=TBL_DATA_OM[[#This Row],[Cant. Ingresar]],TBL_DATA_OM[[#This Row],[Por retirar]]&gt;0,TBL_DATA_OM[[#This Row],[Cant. Ingresar]]&lt;&gt;"",TBL_DATA_OM[[#This Row],[Grupo]]&lt;&gt;""),"SI",IF(TBL_DATA_OM[[#This Row],[Pos. borrada]]="X","NO","NO"))</f>
        <v>NO</v>
      </c>
      <c r="W4" s="5">
        <f>TBL_DATA_OM[[#This Row],[Cant. nec]]-TBL_DATA_OM[[#This Row],[Cant. Red.]]</f>
        <v>17.5</v>
      </c>
      <c r="X4" s="12">
        <v>1</v>
      </c>
      <c r="Y4" s="5">
        <v>1</v>
      </c>
      <c r="Z4" s="1">
        <v>7</v>
      </c>
      <c r="AA4" s="10" t="str">
        <f>IF(TBL_DATA_OM[[#This Row],[Almacen]]="","",IF(TBL_DATA_OM[[#This Row],[Almacen]]&gt;9,"00"&amp;TBL_DATA_OM[[#This Row],[Almacen]],IF(TBL_DATA_OM[[#This Row],[Almacen]]&lt;=9,"000"&amp;TBL_DATA_OM[[#This Row],[Almacen]])))</f>
        <v>0007</v>
      </c>
      <c r="AB4" s="10"/>
      <c r="AC4" s="10"/>
      <c r="AD4" s="10"/>
      <c r="AE4" s="1"/>
      <c r="AF4" s="1"/>
      <c r="AG4" s="10"/>
    </row>
    <row r="5" spans="1:34" x14ac:dyDescent="0.25">
      <c r="A5" s="9" t="str">
        <f>TBL_DATA_OM[[#This Row],[Centro]]&amp;TBL_DATA_OM[[#This Row],[Material]]&amp;TBL_DATA_OM[[#This Row],[Almacen]]</f>
        <v>32028318397</v>
      </c>
      <c r="B5" s="1">
        <v>225931714</v>
      </c>
      <c r="C5" s="1">
        <v>490005527</v>
      </c>
      <c r="D5" s="1">
        <v>831839</v>
      </c>
      <c r="E5" s="3" t="s">
        <v>32</v>
      </c>
      <c r="F5" s="5">
        <v>1</v>
      </c>
      <c r="G5" s="5">
        <v>0.9</v>
      </c>
      <c r="H5" s="1" t="s">
        <v>33</v>
      </c>
      <c r="I5" s="1">
        <v>3202</v>
      </c>
      <c r="J5" s="1" t="s">
        <v>45</v>
      </c>
      <c r="M5" s="1" t="s">
        <v>59</v>
      </c>
      <c r="N5" s="4">
        <v>45332</v>
      </c>
      <c r="O5" s="1">
        <v>1</v>
      </c>
      <c r="P5" s="1">
        <v>7</v>
      </c>
      <c r="Q5" s="10" t="str">
        <f>IFERROR(VLOOKUP(TBL_DATA_OM[[#This Row],[Id]],TBL_STOCK[],4,FALSE),"-")</f>
        <v>GRIFO-LOBO</v>
      </c>
      <c r="R5" s="11" t="str">
        <f>IFERROR(VLOOKUP(TBL_DATA_OM[[#This Row],[Id]],TBL_STOCK[],11,FALSE),"-")</f>
        <v>Stock Libre</v>
      </c>
      <c r="S5" s="10">
        <f>IFERROR(VLOOKUP(TBL_DATA_OM[[#This Row],[Id]],TBL_STOCK[],8,FALSE),0)</f>
        <v>466.97699999999998</v>
      </c>
      <c r="T5" s="10">
        <f>IFERROR(VLOOKUP(TBL_DATA_OM[[#This Row],[Id]],TBL_STOCK[],9,FALSE),0)</f>
        <v>0</v>
      </c>
      <c r="U5" s="10">
        <f>IFERROR(VLOOKUP(TBL_DATA_OM[[#This Row],[Id]],TBL_STOCK[],10,FALSE),0)</f>
        <v>466.97699999999998</v>
      </c>
      <c r="V5" s="10" t="str">
        <f>IF(AND(TBL_DATA_OM[[#This Row],[Liberado]]="X",TBL_DATA_OM[[#This Row],[Pos. borrada]]&lt;&gt;"X",TBL_DATA_OM[[#This Row],[Cant. Ingresar]]&lt;=TBL_DATA_OM[[#This Row],[Por retirar]],TBL_DATA_OM[[#This Row],[Stock]]&gt;=TBL_DATA_OM[[#This Row],[Cant. Ingresar]],TBL_DATA_OM[[#This Row],[Por retirar]]&gt;0,TBL_DATA_OM[[#This Row],[Cant. Ingresar]]&lt;&gt;"",TBL_DATA_OM[[#This Row],[Grupo]]&lt;&gt;""),"SI",IF(TBL_DATA_OM[[#This Row],[Pos. borrada]]="X","NO","NO"))</f>
        <v>SI</v>
      </c>
      <c r="W5" s="5">
        <f>TBL_DATA_OM[[#This Row],[Cant. nec]]-TBL_DATA_OM[[#This Row],[Cant. Red.]]</f>
        <v>9.9999999999999978E-2</v>
      </c>
      <c r="X5" s="12">
        <v>1</v>
      </c>
      <c r="Y5" s="5">
        <v>0.1</v>
      </c>
      <c r="Z5" s="1">
        <v>7</v>
      </c>
      <c r="AA5" s="10" t="str">
        <f>IF(TBL_DATA_OM[[#This Row],[Almacen]]="","",IF(TBL_DATA_OM[[#This Row],[Almacen]]&gt;9,"00"&amp;TBL_DATA_OM[[#This Row],[Almacen]],IF(TBL_DATA_OM[[#This Row],[Almacen]]&lt;=9,"000"&amp;TBL_DATA_OM[[#This Row],[Almacen]])))</f>
        <v>0007</v>
      </c>
      <c r="AB5" s="10"/>
      <c r="AC5" s="10"/>
      <c r="AD5" s="10"/>
      <c r="AE5" s="1"/>
      <c r="AF5" s="1"/>
      <c r="AG5" s="10"/>
    </row>
  </sheetData>
  <phoneticPr fontId="1" type="noConversion"/>
  <dataValidations count="5">
    <dataValidation type="textLength" allowBlank="1" showInputMessage="1" showErrorMessage="1" errorTitle="Carecteres excedidos" error="Solo se aceptan 16 caracteres" sqref="AB3:AB5" xr:uid="{CA5BB32E-5CA6-4AB8-9E24-66F153A1CDA1}">
      <formula1>1</formula1>
      <formula2>16</formula2>
    </dataValidation>
    <dataValidation type="textLength" allowBlank="1" showInputMessage="1" showErrorMessage="1" errorTitle="Carecteres excedidos" error="Solo se aceptan 25 caracteres" sqref="AC3:AC5" xr:uid="{34D75339-FEBB-4E38-A613-5CE61F8B0011}">
      <formula1>1</formula1>
      <formula2>25</formula2>
    </dataValidation>
    <dataValidation type="textLength" allowBlank="1" showInputMessage="1" showErrorMessage="1" errorTitle="Carecteres excedidos" error="Solo se aceptan 10 caracteres" sqref="AD3:AD5" xr:uid="{76984702-B988-4E76-BD14-DA3EE4631A6C}">
      <formula1>1</formula1>
      <formula2>10</formula2>
    </dataValidation>
    <dataValidation type="list" allowBlank="1" showInputMessage="1" showErrorMessage="1" sqref="AE3" xr:uid="{7DAD57D3-C36D-4C2C-9E4A-BFADD38A604E}">
      <formula1>"K"</formula1>
    </dataValidation>
    <dataValidation allowBlank="1" showInputMessage="1" showErrorMessage="1" errorTitle="Carecteres excedidos" error="Solo se aceptan 10 caracteres" sqref="AE3:AF3" xr:uid="{CDD700E7-4D8B-43FC-803D-0090D122BABB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Descargar">
          <controlPr defaultSize="0" autoLine="0" r:id="rId4">
            <anchor moveWithCells="1">
              <from>
                <xdr:col>1</xdr:col>
                <xdr:colOff>114300</xdr:colOff>
                <xdr:row>0</xdr:row>
                <xdr:rowOff>19050</xdr:rowOff>
              </from>
              <to>
                <xdr:col>2</xdr:col>
                <xdr:colOff>0</xdr:colOff>
                <xdr:row>0</xdr:row>
                <xdr:rowOff>323850</xdr:rowOff>
              </to>
            </anchor>
          </controlPr>
        </control>
      </mc:Choice>
      <mc:Fallback>
        <control shapeId="8193" r:id="rId3" name="Descargar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EB594-B335-40F5-A659-3A693FE2C770}">
  <sheetPr codeName="Hoja9"/>
  <dimension ref="A1:K14"/>
  <sheetViews>
    <sheetView showGridLines="0" topLeftCell="B1" zoomScale="80" zoomScaleNormal="80" workbookViewId="0">
      <selection activeCell="B2" sqref="B2:I14"/>
    </sheetView>
  </sheetViews>
  <sheetFormatPr baseColWidth="10" defaultRowHeight="15" x14ac:dyDescent="0.25"/>
  <cols>
    <col min="1" max="1" width="15.140625" style="3" hidden="1" customWidth="1"/>
    <col min="2" max="2" width="10.140625" style="3" bestFit="1" customWidth="1"/>
    <col min="3" max="3" width="12" style="3" bestFit="1" customWidth="1"/>
    <col min="4" max="4" width="43.28515625" style="3" bestFit="1" customWidth="1"/>
    <col min="5" max="5" width="11.42578125" style="3" bestFit="1" customWidth="1"/>
    <col min="6" max="6" width="16.5703125" style="3" bestFit="1" customWidth="1"/>
    <col min="7" max="7" width="7" style="3" bestFit="1" customWidth="1"/>
    <col min="8" max="8" width="13.85546875" style="3" bestFit="1" customWidth="1"/>
    <col min="9" max="9" width="15.7109375" style="3" bestFit="1" customWidth="1"/>
    <col min="10" max="10" width="11.85546875" style="3" customWidth="1"/>
    <col min="11" max="11" width="24.42578125" style="3" bestFit="1" customWidth="1"/>
    <col min="12" max="16384" width="11.42578125" style="3"/>
  </cols>
  <sheetData>
    <row r="1" spans="1:11" ht="13.9" x14ac:dyDescent="0.25">
      <c r="A1" s="3" t="s">
        <v>19</v>
      </c>
      <c r="B1" s="3" t="s">
        <v>1</v>
      </c>
      <c r="C1" s="3" t="s">
        <v>2</v>
      </c>
      <c r="D1" s="3" t="s">
        <v>39</v>
      </c>
      <c r="E1" s="3" t="s">
        <v>4</v>
      </c>
      <c r="F1" s="3" t="s">
        <v>40</v>
      </c>
      <c r="G1" s="3" t="s">
        <v>13</v>
      </c>
      <c r="H1" s="3" t="s">
        <v>41</v>
      </c>
      <c r="I1" s="3" t="s">
        <v>42</v>
      </c>
      <c r="J1" s="3" t="s">
        <v>43</v>
      </c>
      <c r="K1" s="3" t="s">
        <v>44</v>
      </c>
    </row>
    <row r="2" spans="1:11" ht="13.9" x14ac:dyDescent="0.25">
      <c r="A2" s="3" t="str">
        <f>TBL_STOCK[[#This Row],[Centro]]&amp;TBL_STOCK[[#This Row],[Material]]&amp;TBL_STOCK[[#This Row],[Almacen]]</f>
        <v>32028318391</v>
      </c>
      <c r="B2" s="3">
        <v>3202</v>
      </c>
      <c r="C2" s="3">
        <v>1</v>
      </c>
      <c r="D2" s="3" t="s">
        <v>35</v>
      </c>
      <c r="E2" s="3">
        <v>831839</v>
      </c>
      <c r="F2" s="3" t="s">
        <v>32</v>
      </c>
      <c r="G2" s="3" t="s">
        <v>33</v>
      </c>
      <c r="H2" s="3">
        <v>416.07</v>
      </c>
      <c r="I2" s="3">
        <v>0</v>
      </c>
      <c r="J2" s="3">
        <f>TBL_STOCK[[#This Row],[Stock Libre]]+TBL_STOCK[[#This Row],[Stock Consig]]</f>
        <v>416.07</v>
      </c>
      <c r="K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3" spans="1:11" x14ac:dyDescent="0.25">
      <c r="A3" s="11" t="str">
        <f>TBL_STOCK[[#This Row],[Centro]]&amp;TBL_STOCK[[#This Row],[Material]]&amp;TBL_STOCK[[#This Row],[Almacen]]</f>
        <v>32028318392</v>
      </c>
      <c r="B3" s="3">
        <v>3202</v>
      </c>
      <c r="C3" s="3">
        <v>2</v>
      </c>
      <c r="D3" s="3" t="s">
        <v>36</v>
      </c>
      <c r="E3" s="3">
        <v>831839</v>
      </c>
      <c r="F3" s="3" t="s">
        <v>32</v>
      </c>
      <c r="G3" s="3" t="s">
        <v>33</v>
      </c>
      <c r="H3" s="3">
        <v>0</v>
      </c>
      <c r="I3" s="11">
        <v>0</v>
      </c>
      <c r="J3" s="11">
        <f>TBL_STOCK[[#This Row],[Stock Libre]]+TBL_STOCK[[#This Row],[Stock Consig]]</f>
        <v>0</v>
      </c>
      <c r="K3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" spans="1:11" x14ac:dyDescent="0.25">
      <c r="A4" s="11" t="str">
        <f>TBL_STOCK[[#This Row],[Centro]]&amp;TBL_STOCK[[#This Row],[Material]]&amp;TBL_STOCK[[#This Row],[Almacen]]</f>
        <v>32028318393</v>
      </c>
      <c r="B4" s="3">
        <v>3202</v>
      </c>
      <c r="C4" s="3">
        <v>3</v>
      </c>
      <c r="D4" s="3" t="s">
        <v>35</v>
      </c>
      <c r="E4" s="3">
        <v>831839</v>
      </c>
      <c r="F4" s="3" t="s">
        <v>32</v>
      </c>
      <c r="G4" s="3" t="s">
        <v>33</v>
      </c>
      <c r="H4" s="3">
        <v>648.93700000000001</v>
      </c>
      <c r="I4" s="11">
        <v>0</v>
      </c>
      <c r="J4" s="11">
        <f>TBL_STOCK[[#This Row],[Stock Libre]]+TBL_STOCK[[#This Row],[Stock Consig]]</f>
        <v>648.93700000000001</v>
      </c>
      <c r="K4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5" spans="1:11" x14ac:dyDescent="0.25">
      <c r="A5" s="11" t="str">
        <f>TBL_STOCK[[#This Row],[Centro]]&amp;TBL_STOCK[[#This Row],[Material]]&amp;TBL_STOCK[[#This Row],[Almacen]]</f>
        <v>32028318397</v>
      </c>
      <c r="B5" s="3">
        <v>3202</v>
      </c>
      <c r="C5" s="3">
        <v>7</v>
      </c>
      <c r="D5" s="3" t="s">
        <v>37</v>
      </c>
      <c r="E5" s="3">
        <v>831839</v>
      </c>
      <c r="F5" s="3" t="s">
        <v>32</v>
      </c>
      <c r="G5" s="3" t="s">
        <v>33</v>
      </c>
      <c r="H5" s="3">
        <v>466.97699999999998</v>
      </c>
      <c r="I5" s="11">
        <v>0</v>
      </c>
      <c r="J5" s="11">
        <f>TBL_STOCK[[#This Row],[Stock Libre]]+TBL_STOCK[[#This Row],[Stock Consig]]</f>
        <v>466.97699999999998</v>
      </c>
      <c r="K5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6" spans="1:11" x14ac:dyDescent="0.25">
      <c r="A6" s="11" t="str">
        <f>TBL_STOCK[[#This Row],[Centro]]&amp;TBL_STOCK[[#This Row],[Material]]&amp;TBL_STOCK[[#This Row],[Almacen]]</f>
        <v>320283183911</v>
      </c>
      <c r="B6" s="3">
        <v>3202</v>
      </c>
      <c r="C6" s="3">
        <v>11</v>
      </c>
      <c r="D6" s="3" t="s">
        <v>34</v>
      </c>
      <c r="E6" s="3">
        <v>831839</v>
      </c>
      <c r="F6" s="3" t="s">
        <v>32</v>
      </c>
      <c r="G6" s="3" t="s">
        <v>33</v>
      </c>
      <c r="H6" s="3">
        <v>0</v>
      </c>
      <c r="I6" s="11">
        <v>0</v>
      </c>
      <c r="J6" s="11">
        <f>TBL_STOCK[[#This Row],[Stock Libre]]+TBL_STOCK[[#This Row],[Stock Consig]]</f>
        <v>0</v>
      </c>
      <c r="K6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7" spans="1:11" x14ac:dyDescent="0.25">
      <c r="A7" s="11" t="str">
        <f>TBL_STOCK[[#This Row],[Centro]]&amp;TBL_STOCK[[#This Row],[Material]]&amp;TBL_STOCK[[#This Row],[Almacen]]</f>
        <v>320283183914</v>
      </c>
      <c r="B7" s="3">
        <v>3202</v>
      </c>
      <c r="C7" s="3">
        <v>14</v>
      </c>
      <c r="D7" s="3" t="s">
        <v>34</v>
      </c>
      <c r="E7" s="3">
        <v>831839</v>
      </c>
      <c r="F7" s="3" t="s">
        <v>32</v>
      </c>
      <c r="G7" s="3" t="s">
        <v>33</v>
      </c>
      <c r="H7" s="3">
        <v>0</v>
      </c>
      <c r="I7" s="11">
        <v>0</v>
      </c>
      <c r="J7" s="11">
        <f>TBL_STOCK[[#This Row],[Stock Libre]]+TBL_STOCK[[#This Row],[Stock Consig]]</f>
        <v>0</v>
      </c>
      <c r="K7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8" spans="1:11" x14ac:dyDescent="0.25">
      <c r="A8" s="11" t="str">
        <f>TBL_STOCK[[#This Row],[Centro]]&amp;TBL_STOCK[[#This Row],[Material]]&amp;TBL_STOCK[[#This Row],[Almacen]]</f>
        <v>320283183915</v>
      </c>
      <c r="B8" s="3">
        <v>3202</v>
      </c>
      <c r="C8" s="3">
        <v>15</v>
      </c>
      <c r="D8" s="3" t="s">
        <v>34</v>
      </c>
      <c r="E8" s="3">
        <v>831839</v>
      </c>
      <c r="F8" s="3" t="s">
        <v>32</v>
      </c>
      <c r="G8" s="3" t="s">
        <v>33</v>
      </c>
      <c r="H8" s="3">
        <v>0</v>
      </c>
      <c r="I8" s="11">
        <v>0</v>
      </c>
      <c r="J8" s="11">
        <f>TBL_STOCK[[#This Row],[Stock Libre]]+TBL_STOCK[[#This Row],[Stock Consig]]</f>
        <v>0</v>
      </c>
      <c r="K8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9" spans="1:11" x14ac:dyDescent="0.25">
      <c r="A9" s="11" t="str">
        <f>TBL_STOCK[[#This Row],[Centro]]&amp;TBL_STOCK[[#This Row],[Material]]&amp;TBL_STOCK[[#This Row],[Almacen]]</f>
        <v>320283183916</v>
      </c>
      <c r="B9" s="3">
        <v>3202</v>
      </c>
      <c r="C9" s="3">
        <v>16</v>
      </c>
      <c r="D9" s="3" t="s">
        <v>34</v>
      </c>
      <c r="E9" s="3">
        <v>831839</v>
      </c>
      <c r="F9" s="3" t="s">
        <v>32</v>
      </c>
      <c r="G9" s="3" t="s">
        <v>33</v>
      </c>
      <c r="H9" s="3">
        <v>0</v>
      </c>
      <c r="I9" s="11">
        <v>0</v>
      </c>
      <c r="J9" s="11">
        <f>TBL_STOCK[[#This Row],[Stock Libre]]+TBL_STOCK[[#This Row],[Stock Consig]]</f>
        <v>0</v>
      </c>
      <c r="K9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0" spans="1:11" x14ac:dyDescent="0.25">
      <c r="A10" s="11" t="str">
        <f>TBL_STOCK[[#This Row],[Centro]]&amp;TBL_STOCK[[#This Row],[Material]]&amp;TBL_STOCK[[#This Row],[Almacen]]</f>
        <v>3202MWAGR0000661</v>
      </c>
      <c r="B10" s="3">
        <v>3202</v>
      </c>
      <c r="C10" s="3">
        <v>1</v>
      </c>
      <c r="D10" s="3" t="s">
        <v>34</v>
      </c>
      <c r="E10" s="3" t="s">
        <v>54</v>
      </c>
      <c r="F10" s="3" t="s">
        <v>55</v>
      </c>
      <c r="G10" s="3" t="s">
        <v>56</v>
      </c>
      <c r="H10" s="3">
        <v>0</v>
      </c>
      <c r="I10" s="11">
        <v>0</v>
      </c>
      <c r="J10" s="11">
        <f>TBL_STOCK[[#This Row],[Stock Libre]]+TBL_STOCK[[#This Row],[Stock Consig]]</f>
        <v>0</v>
      </c>
      <c r="K10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1" spans="1:11" x14ac:dyDescent="0.25">
      <c r="A11" s="11" t="str">
        <f>TBL_STOCK[[#This Row],[Centro]]&amp;TBL_STOCK[[#This Row],[Material]]&amp;TBL_STOCK[[#This Row],[Almacen]]</f>
        <v>3202MWAGR0000667</v>
      </c>
      <c r="B11" s="3">
        <v>3202</v>
      </c>
      <c r="C11" s="3">
        <v>7</v>
      </c>
      <c r="D11" s="3" t="s">
        <v>34</v>
      </c>
      <c r="E11" s="3" t="s">
        <v>54</v>
      </c>
      <c r="F11" s="3" t="s">
        <v>55</v>
      </c>
      <c r="G11" s="3" t="s">
        <v>56</v>
      </c>
      <c r="H11" s="3">
        <v>0</v>
      </c>
      <c r="I11" s="11">
        <v>0</v>
      </c>
      <c r="J11" s="11">
        <f>TBL_STOCK[[#This Row],[Stock Libre]]+TBL_STOCK[[#This Row],[Stock Consig]]</f>
        <v>0</v>
      </c>
      <c r="K11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2" spans="1:11" x14ac:dyDescent="0.25">
      <c r="A12" s="11" t="str">
        <f>TBL_STOCK[[#This Row],[Centro]]&amp;TBL_STOCK[[#This Row],[Material]]&amp;TBL_STOCK[[#This Row],[Almacen]]</f>
        <v>34028318391</v>
      </c>
      <c r="B12" s="3">
        <v>3402</v>
      </c>
      <c r="C12" s="3">
        <v>1</v>
      </c>
      <c r="D12" s="3" t="s">
        <v>38</v>
      </c>
      <c r="E12" s="3">
        <v>831839</v>
      </c>
      <c r="F12" s="3" t="s">
        <v>32</v>
      </c>
      <c r="G12" s="3" t="s">
        <v>33</v>
      </c>
      <c r="H12" s="3">
        <v>335.31599999999997</v>
      </c>
      <c r="I12" s="11">
        <v>0</v>
      </c>
      <c r="J12" s="11">
        <f>TBL_STOCK[[#This Row],[Stock Libre]]+TBL_STOCK[[#This Row],[Stock Consig]]</f>
        <v>335.31599999999997</v>
      </c>
      <c r="K12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13" spans="1:11" x14ac:dyDescent="0.25">
      <c r="A13" s="11" t="str">
        <f>TBL_STOCK[[#This Row],[Centro]]&amp;TBL_STOCK[[#This Row],[Material]]&amp;TBL_STOCK[[#This Row],[Almacen]]</f>
        <v>35028318391</v>
      </c>
      <c r="B13" s="3">
        <v>3502</v>
      </c>
      <c r="C13" s="3">
        <v>1</v>
      </c>
      <c r="D13" s="3" t="s">
        <v>34</v>
      </c>
      <c r="E13" s="3">
        <v>831839</v>
      </c>
      <c r="F13" s="3" t="s">
        <v>32</v>
      </c>
      <c r="G13" s="3" t="s">
        <v>33</v>
      </c>
      <c r="H13" s="3">
        <v>0</v>
      </c>
      <c r="I13" s="11">
        <v>0</v>
      </c>
      <c r="J13" s="11">
        <f>TBL_STOCK[[#This Row],[Stock Libre]]+TBL_STOCK[[#This Row],[Stock Consig]]</f>
        <v>0</v>
      </c>
      <c r="K13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4" spans="1:11" x14ac:dyDescent="0.25">
      <c r="A14" s="11" t="str">
        <f>TBL_STOCK[[#This Row],[Centro]]&amp;TBL_STOCK[[#This Row],[Material]]&amp;TBL_STOCK[[#This Row],[Almacen]]</f>
        <v>35028318393</v>
      </c>
      <c r="B14" s="3">
        <v>3502</v>
      </c>
      <c r="C14" s="3">
        <v>3</v>
      </c>
      <c r="D14" s="3" t="s">
        <v>34</v>
      </c>
      <c r="E14" s="3">
        <v>831839</v>
      </c>
      <c r="F14" s="3" t="s">
        <v>32</v>
      </c>
      <c r="G14" s="3" t="s">
        <v>33</v>
      </c>
      <c r="H14" s="3">
        <v>9.3000000000000007</v>
      </c>
      <c r="I14" s="11">
        <v>0</v>
      </c>
      <c r="J14" s="11">
        <f>TBL_STOCK[[#This Row],[Stock Libre]]+TBL_STOCK[[#This Row],[Stock Consig]]</f>
        <v>9.3000000000000007</v>
      </c>
      <c r="K14" s="11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 Reservas</vt:lpstr>
      <vt:lpstr>Reservas</vt:lpstr>
      <vt:lpstr>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 Alexander Hidalgo Socola</dc:creator>
  <cp:lastModifiedBy>Junior Alexander Hidalgo Socola</cp:lastModifiedBy>
  <dcterms:created xsi:type="dcterms:W3CDTF">2024-01-23T14:10:15Z</dcterms:created>
  <dcterms:modified xsi:type="dcterms:W3CDTF">2024-02-15T12:49:18Z</dcterms:modified>
</cp:coreProperties>
</file>