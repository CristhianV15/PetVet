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idalgos\Desktop\"/>
    </mc:Choice>
  </mc:AlternateContent>
  <xr:revisionPtr revIDLastSave="0" documentId="13_ncr:1_{4BB6F944-B1AF-4BD7-A14A-7D0D2B9AC32C}" xr6:coauthVersionLast="47" xr6:coauthVersionMax="47" xr10:uidLastSave="{00000000-0000-0000-0000-000000000000}"/>
  <bookViews>
    <workbookView xWindow="-120" yWindow="330" windowWidth="29040" windowHeight="17790" activeTab="1" xr2:uid="{638DF9D3-5096-423B-A742-B95B7FAB30DD}"/>
  </bookViews>
  <sheets>
    <sheet name="Lista OC" sheetId="2" r:id="rId1"/>
    <sheet name="Ordenes Compra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4" i="1" l="1"/>
  <c r="AC5" i="1"/>
  <c r="AC6" i="1"/>
  <c r="AC7" i="1"/>
  <c r="AC8" i="1"/>
  <c r="AC9" i="1"/>
  <c r="AC10" i="1"/>
  <c r="AC11" i="1"/>
  <c r="AC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tc={C808F433-46AB-4021-A654-66C6F65ECFA2}</author>
  </authors>
  <commentList>
    <comment ref="A2" authorId="0" shapeId="0" xr:uid="{C808F433-46AB-4021-A654-66C6F65ECFA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Campo debe ser obligatorio colocar "SI" o "NO"</t>
      </text>
    </comment>
  </commentList>
</comments>
</file>

<file path=xl/sharedStrings.xml><?xml version="1.0" encoding="utf-8"?>
<sst xmlns="http://schemas.openxmlformats.org/spreadsheetml/2006/main" count="97" uniqueCount="54">
  <si>
    <t>UND</t>
  </si>
  <si>
    <t>Lista OC</t>
  </si>
  <si>
    <t>Fecha doc.</t>
  </si>
  <si>
    <t>Doc.compr.</t>
  </si>
  <si>
    <t xml:space="preserve">Texto breve                             </t>
  </si>
  <si>
    <t xml:space="preserve">  Cantidad</t>
  </si>
  <si>
    <t>UMP</t>
  </si>
  <si>
    <t>Por entrg.</t>
  </si>
  <si>
    <t>Alm.</t>
  </si>
  <si>
    <t xml:space="preserve">Solicitante </t>
  </si>
  <si>
    <t xml:space="preserve"> </t>
  </si>
  <si>
    <t>Sol.pedido</t>
  </si>
  <si>
    <t>I</t>
  </si>
  <si>
    <t>Fe.entrega</t>
  </si>
  <si>
    <t>Est. Liber</t>
  </si>
  <si>
    <t>Centro</t>
  </si>
  <si>
    <t>Almacen</t>
  </si>
  <si>
    <t>Cant. Ingresar</t>
  </si>
  <si>
    <t>Ingresar</t>
  </si>
  <si>
    <t>Nota Entrega (Guia)</t>
  </si>
  <si>
    <t>Carta Porte</t>
  </si>
  <si>
    <t>ValeMrcacias (F. Venc.)</t>
  </si>
  <si>
    <t>Txt cabecera</t>
  </si>
  <si>
    <t>Material</t>
  </si>
  <si>
    <t>Cl.</t>
  </si>
  <si>
    <t xml:space="preserve">Proveedor/Centro suministrador              </t>
  </si>
  <si>
    <t xml:space="preserve">    Ctd.Ent.</t>
  </si>
  <si>
    <t>Pos</t>
  </si>
  <si>
    <t xml:space="preserve">LIBERADO  </t>
  </si>
  <si>
    <t xml:space="preserve">NB </t>
  </si>
  <si>
    <t>SI</t>
  </si>
  <si>
    <t>Grupo</t>
  </si>
  <si>
    <t>Documento Material</t>
  </si>
  <si>
    <t>0001</t>
  </si>
  <si>
    <t>Fe.  Doc.</t>
  </si>
  <si>
    <t>Fe. contab.</t>
  </si>
  <si>
    <t>Tipo de Entrega</t>
  </si>
  <si>
    <t xml:space="preserve">26123992   SEDISA SAC           </t>
  </si>
  <si>
    <t>Planific Com</t>
  </si>
  <si>
    <t>Plan. Mant.C</t>
  </si>
  <si>
    <t xml:space="preserve">VVERAN      </t>
  </si>
  <si>
    <t>Mtto Mecánic</t>
  </si>
  <si>
    <t>CM006232</t>
  </si>
  <si>
    <t xml:space="preserve">Cable de Embrague codg.  embr-CB        </t>
  </si>
  <si>
    <t>5000007629 LIVIA TORRES CRISTIAN</t>
  </si>
  <si>
    <t xml:space="preserve">CANDADO PARA CABLE EMBRAGUE 2MM*2M      </t>
  </si>
  <si>
    <t xml:space="preserve">GAS REFRIGERANTE R-134A                 </t>
  </si>
  <si>
    <t xml:space="preserve">KG </t>
  </si>
  <si>
    <t xml:space="preserve">TRIPLAY DE 6 LINEAS DE 2 x 1.8 x 0.40 M </t>
  </si>
  <si>
    <t xml:space="preserve">FILTRO DE AIRE COMPLETO 17211-KRH-780   </t>
  </si>
  <si>
    <t>BUJIA CPR8EA-9 31916-KRM-841 HONDA XR150</t>
  </si>
  <si>
    <t xml:space="preserve">FILTRO COMBUSTIBLE GENERADOR 6.495.042  </t>
  </si>
  <si>
    <t xml:space="preserve">RODAMIENTO 6209.2Z                      </t>
  </si>
  <si>
    <t xml:space="preserve">CHUMACERA SKF SNL 517 TG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</si>
</sst>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49" fontId="0" fillId="2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14" fontId="0" fillId="2" borderId="0" xfId="0" applyNumberFormat="1" applyFill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36">
    <dxf>
      <fill>
        <patternFill>
          <bgColor rgb="FFFF7C80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0</xdr:row>
          <xdr:rowOff>47625</xdr:rowOff>
        </xdr:from>
        <xdr:to>
          <xdr:col>3</xdr:col>
          <xdr:colOff>247650</xdr:colOff>
          <xdr:row>1</xdr:row>
          <xdr:rowOff>161925</xdr:rowOff>
        </xdr:to>
        <xdr:sp macro="" textlink="">
          <xdr:nvSpPr>
            <xdr:cNvPr id="1026" name="Descarg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47625</xdr:rowOff>
        </xdr:from>
        <xdr:to>
          <xdr:col>0</xdr:col>
          <xdr:colOff>1019175</xdr:colOff>
          <xdr:row>0</xdr:row>
          <xdr:rowOff>352425</xdr:rowOff>
        </xdr:to>
        <xdr:sp macro="" textlink="">
          <xdr:nvSpPr>
            <xdr:cNvPr id="3076" name="Subir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unior Alexander Hidalgo Socola" id="{3EA6E98A-D3C8-455A-A912-C0B9DB08D39C}" userId="S::JHidalgoS@agricolachira.com.pe::ceb582c6-be2b-4297-a45b-8139adad7f56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2445D-EB4F-48E6-8CB8-E41F9DC5B216}" name="TBL_OC" displayName="TBL_OC" ref="A1:A7" totalsRowShown="0" headerRowDxfId="35" dataDxfId="34">
  <autoFilter ref="A1:A7" xr:uid="{1852445D-EB4F-48E6-8CB8-E41F9DC5B216}"/>
  <tableColumns count="1">
    <tableColumn id="1" xr3:uid="{0F723D78-98AB-4485-91BF-7CC85DB40DA0}" name="Lista OC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6A0C0D-C150-4219-9401-57B4A5160C10}" name="TBL_DATA_OC" displayName="TBL_DATA_OC" ref="A2:AD11" totalsRowShown="0" headerRowDxfId="32" dataDxfId="31">
  <autoFilter ref="A2:AD11" xr:uid="{EF6A0C0D-C150-4219-9401-57B4A5160C10}"/>
  <tableColumns count="30">
    <tableColumn id="22" xr3:uid="{0BA74BD6-2AB3-4EF3-A04D-0998E2E7A097}" name="Ingresar" dataDxfId="30"/>
    <tableColumn id="21" xr3:uid="{B23D1DAB-DB8C-4D02-AE7F-00E9BB3F25D4}" name="Grupo" dataDxfId="29"/>
    <tableColumn id="1" xr3:uid="{EB6D2937-8B28-4715-8550-A07114227ED5}" name="Solicitante " dataDxfId="28"/>
    <tableColumn id="2" xr3:uid="{7707FE9D-17BF-4FC8-A7C5-0469E70DDBC5}" name="Sol.pedido" dataDxfId="27"/>
    <tableColumn id="3" xr3:uid="{2996C40A-8388-4AC9-BBA7-3C37B81197C9}" name="Doc.compr." dataDxfId="26"/>
    <tableColumn id="4" xr3:uid="{B3E4F072-93D3-458E-92AC-28A8AE485FBA}" name="Material" dataDxfId="25"/>
    <tableColumn id="5" xr3:uid="{B3C393F9-6CA9-40A7-99EC-B6D1CDF478AF}" name="I" dataDxfId="24"/>
    <tableColumn id="6" xr3:uid="{9B5AFDF9-5112-41BA-B642-42F891938C63}" name="Texto breve                             " dataDxfId="23"/>
    <tableColumn id="7" xr3:uid="{9A5FD731-E85C-415E-B5D8-A7765271D238}" name="UMP" dataDxfId="22"/>
    <tableColumn id="8" xr3:uid="{2AFC36E8-C822-4682-8961-329F7AAFC512}" name="  Cantidad" dataDxfId="21"/>
    <tableColumn id="9" xr3:uid="{B6558058-7F10-4796-B5E0-93519E7B55E1}" name="    Ctd.Ent." dataDxfId="20"/>
    <tableColumn id="10" xr3:uid="{58ABEAB4-3451-46A3-B56E-B72D9D0151D2}" name="Por entrg." dataDxfId="19"/>
    <tableColumn id="11" xr3:uid="{89EF78F0-7350-41AB-A08B-6528F8649FB4}" name="Pos" dataDxfId="18"/>
    <tableColumn id="12" xr3:uid="{B2B536C9-FF99-4271-9019-DEB59D9945A4}" name="Fecha doc." dataDxfId="17"/>
    <tableColumn id="13" xr3:uid="{9DD2DC51-69C1-4E4B-BE10-FDD8795D32D2}" name="Fe.entrega" dataDxfId="16"/>
    <tableColumn id="14" xr3:uid="{2E0262BD-8CFE-493D-825C-88B0D1A77423}" name="Proveedor/Centro suministrador              " dataDxfId="15"/>
    <tableColumn id="15" xr3:uid="{F41454C3-3EEC-4C4E-BD18-FB2BD539713E}" name="Est. Liber" dataDxfId="14"/>
    <tableColumn id="16" xr3:uid="{C2C5B2E5-69AA-444F-B995-15C597FFD2F9}" name="Almacen" dataDxfId="13"/>
    <tableColumn id="17" xr3:uid="{9ACCA42F-97E3-42BC-843A-A1D6BBC0B9B8}" name="Cl." dataDxfId="12"/>
    <tableColumn id="18" xr3:uid="{D28E79EC-BFA5-4923-BA93-53A85CB78CA7}" name="Centro" dataDxfId="11"/>
    <tableColumn id="19" xr3:uid="{FE1969BA-9E39-46AC-91E6-CD8CF1607358}" name="Cant. Ingresar" dataDxfId="10"/>
    <tableColumn id="20" xr3:uid="{11788B80-6FC8-46F9-820B-5DAA55B989AC}" name="Alm." dataDxfId="9"/>
    <tableColumn id="23" xr3:uid="{C60967AC-8364-4DE7-A6EC-04EEFB33E363}" name="Nota Entrega (Guia)" dataDxfId="8"/>
    <tableColumn id="24" xr3:uid="{DA1CEF31-6702-4D45-BC3D-BB499E6165D1}" name="Carta Porte" dataDxfId="7"/>
    <tableColumn id="25" xr3:uid="{94E78826-B702-47D5-92DB-E142C3148C9E}" name="ValeMrcacias (F. Venc.)" dataDxfId="6"/>
    <tableColumn id="26" xr3:uid="{5EEBEDB2-6886-4041-A174-A6CB789C9114}" name="Txt cabecera" dataDxfId="5"/>
    <tableColumn id="28" xr3:uid="{3EB09350-F81D-4283-BB53-3CD1B1AA37CA}" name="Fe.  Doc." dataDxfId="4"/>
    <tableColumn id="29" xr3:uid="{99C8D7C1-2DDA-4A02-ACA2-100F185F37F2}" name="Fe. contab." dataDxfId="3"/>
    <tableColumn id="30" xr3:uid="{F018AF42-C8B1-41EF-8FC3-DC252404CFBC}" name="Tipo de Entrega" dataDxfId="2">
      <calculatedColumnFormula>IF(TBL_DATA_OC[[#This Row],[Fe.  Doc.]]&gt;TBL_DATA_OC[[#This Row],[Fe.entrega]],1,0)</calculatedColumnFormula>
    </tableColumn>
    <tableColumn id="27" xr3:uid="{7F45CC3B-03C7-4599-AE56-183845ACB87E}" name="Documento Material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4-02-02T20:31:31.59" personId="{3EA6E98A-D3C8-455A-A912-C0B9DB08D39C}" id="{C808F433-46AB-4021-A654-66C6F65ECFA2}">
    <text>Campo debe ser obligatorio colocar "SI" o "NO"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2F80-4FC4-41AB-96FE-309B3C4769EF}">
  <sheetPr codeName="Hoja1"/>
  <dimension ref="A1:A7"/>
  <sheetViews>
    <sheetView showGridLines="0" workbookViewId="0">
      <pane ySplit="1" topLeftCell="A2" activePane="bottomLeft" state="frozen"/>
      <selection pane="bottomLeft" activeCell="A2" sqref="A2:A7"/>
    </sheetView>
  </sheetViews>
  <sheetFormatPr baseColWidth="10" defaultRowHeight="15" x14ac:dyDescent="0.25"/>
  <cols>
    <col min="1" max="1" width="15.140625" style="1" customWidth="1"/>
    <col min="3" max="3" width="9.7109375" customWidth="1"/>
  </cols>
  <sheetData>
    <row r="1" spans="1:1" x14ac:dyDescent="0.25">
      <c r="A1" s="1" t="s">
        <v>1</v>
      </c>
    </row>
    <row r="2" spans="1:1" x14ac:dyDescent="0.25">
      <c r="A2" s="1">
        <v>4511537963</v>
      </c>
    </row>
    <row r="3" spans="1:1" x14ac:dyDescent="0.25">
      <c r="A3" s="1">
        <v>4511536518</v>
      </c>
    </row>
    <row r="4" spans="1:1" x14ac:dyDescent="0.25">
      <c r="A4" s="1">
        <v>4511538880</v>
      </c>
    </row>
    <row r="5" spans="1:1" x14ac:dyDescent="0.25">
      <c r="A5" s="1">
        <v>4511538882</v>
      </c>
    </row>
    <row r="6" spans="1:1" x14ac:dyDescent="0.25">
      <c r="A6" s="1">
        <v>4511540258</v>
      </c>
    </row>
    <row r="7" spans="1:1" x14ac:dyDescent="0.25">
      <c r="A7" s="1">
        <v>4511541836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Descargar">
          <controlPr defaultSize="0" autoLine="0" r:id="rId4">
            <anchor moveWithCells="1">
              <from>
                <xdr:col>1</xdr:col>
                <xdr:colOff>742950</xdr:colOff>
                <xdr:row>0</xdr:row>
                <xdr:rowOff>47625</xdr:rowOff>
              </from>
              <to>
                <xdr:col>3</xdr:col>
                <xdr:colOff>247650</xdr:colOff>
                <xdr:row>1</xdr:row>
                <xdr:rowOff>161925</xdr:rowOff>
              </to>
            </anchor>
          </controlPr>
        </control>
      </mc:Choice>
      <mc:Fallback>
        <control shapeId="1026" r:id="rId3" name="Descargar"/>
      </mc:Fallback>
    </mc:AlternateContent>
  </control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74E0A-69ED-4A7F-8E41-7A86027F5DD5}">
  <sheetPr codeName="Hoja2"/>
  <dimension ref="A1:AD11"/>
  <sheetViews>
    <sheetView showGridLines="0" tabSelected="1" zoomScale="75" zoomScaleNormal="75" workbookViewId="0">
      <pane ySplit="2" topLeftCell="A3" activePane="bottomLeft" state="frozen"/>
      <selection pane="bottomLeft" activeCell="U24" sqref="U24"/>
    </sheetView>
  </sheetViews>
  <sheetFormatPr baseColWidth="10" defaultRowHeight="15" x14ac:dyDescent="0.25"/>
  <cols>
    <col min="1" max="1" width="18" bestFit="1" customWidth="1"/>
    <col min="2" max="2" width="16" style="1" customWidth="1"/>
    <col min="3" max="3" width="18" style="1" hidden="1" customWidth="1"/>
    <col min="4" max="4" width="16" style="1" hidden="1" customWidth="1"/>
    <col min="5" max="5" width="15.28515625" customWidth="1"/>
    <col min="6" max="6" width="15.140625" style="1" customWidth="1"/>
    <col min="7" max="7" width="8.85546875" style="1" hidden="1" customWidth="1"/>
    <col min="8" max="8" width="41.5703125" style="1" customWidth="1"/>
    <col min="9" max="9" width="13.42578125" bestFit="1" customWidth="1"/>
    <col min="10" max="10" width="14.7109375" hidden="1" customWidth="1"/>
    <col min="11" max="11" width="9.7109375" hidden="1" customWidth="1"/>
    <col min="12" max="12" width="12.7109375" customWidth="1"/>
    <col min="13" max="13" width="12.5703125" hidden="1" customWidth="1"/>
    <col min="14" max="14" width="21.140625" hidden="1" customWidth="1"/>
    <col min="15" max="15" width="16.140625" customWidth="1"/>
    <col min="16" max="16" width="17.5703125" customWidth="1"/>
    <col min="17" max="17" width="13.42578125" customWidth="1"/>
    <col min="18" max="18" width="18.140625" bestFit="1" customWidth="1"/>
    <col min="19" max="19" width="11.42578125" hidden="1" customWidth="1"/>
    <col min="20" max="20" width="11.7109375" hidden="1" customWidth="1"/>
    <col min="21" max="21" width="24.28515625" bestFit="1" customWidth="1"/>
    <col min="22" max="22" width="13.140625" style="7" bestFit="1" customWidth="1"/>
    <col min="23" max="23" width="30.7109375" style="7" bestFit="1" customWidth="1"/>
    <col min="24" max="24" width="21.140625" bestFit="1" customWidth="1"/>
    <col min="25" max="25" width="35.85546875" bestFit="1" customWidth="1"/>
    <col min="26" max="26" width="23.140625" bestFit="1" customWidth="1"/>
    <col min="27" max="28" width="20" style="9" customWidth="1"/>
    <col min="29" max="29" width="20" customWidth="1"/>
    <col min="30" max="30" width="31.42578125" bestFit="1" customWidth="1"/>
    <col min="31" max="31" width="18" customWidth="1"/>
    <col min="32" max="32" width="18.28515625" customWidth="1"/>
  </cols>
  <sheetData>
    <row r="1" spans="1:30" ht="30.75" customHeight="1" x14ac:dyDescent="0.25">
      <c r="A1" s="1"/>
      <c r="E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6"/>
      <c r="W1" s="1"/>
      <c r="X1" s="1"/>
      <c r="Y1" s="1"/>
      <c r="Z1" s="1"/>
      <c r="AA1" s="4"/>
      <c r="AB1" s="4"/>
      <c r="AC1" s="1"/>
    </row>
    <row r="2" spans="1:30" x14ac:dyDescent="0.25">
      <c r="A2" s="2" t="s">
        <v>18</v>
      </c>
      <c r="B2" s="2" t="s">
        <v>31</v>
      </c>
      <c r="C2" s="1" t="s">
        <v>9</v>
      </c>
      <c r="D2" s="1" t="s">
        <v>11</v>
      </c>
      <c r="E2" s="1" t="s">
        <v>3</v>
      </c>
      <c r="F2" s="1" t="s">
        <v>23</v>
      </c>
      <c r="G2" s="1" t="s">
        <v>12</v>
      </c>
      <c r="H2" s="1" t="s">
        <v>4</v>
      </c>
      <c r="I2" s="1" t="s">
        <v>6</v>
      </c>
      <c r="J2" s="1" t="s">
        <v>5</v>
      </c>
      <c r="K2" s="1" t="s">
        <v>26</v>
      </c>
      <c r="L2" s="1" t="s">
        <v>7</v>
      </c>
      <c r="M2" s="1" t="s">
        <v>27</v>
      </c>
      <c r="N2" s="1" t="s">
        <v>2</v>
      </c>
      <c r="O2" s="1" t="s">
        <v>13</v>
      </c>
      <c r="P2" s="1" t="s">
        <v>25</v>
      </c>
      <c r="Q2" s="1" t="s">
        <v>14</v>
      </c>
      <c r="R2" s="1" t="s">
        <v>16</v>
      </c>
      <c r="S2" s="1" t="s">
        <v>24</v>
      </c>
      <c r="T2" s="1" t="s">
        <v>15</v>
      </c>
      <c r="U2" s="2" t="s">
        <v>17</v>
      </c>
      <c r="V2" s="5" t="s">
        <v>8</v>
      </c>
      <c r="W2" s="2" t="s">
        <v>19</v>
      </c>
      <c r="X2" s="2" t="s">
        <v>20</v>
      </c>
      <c r="Y2" s="2" t="s">
        <v>21</v>
      </c>
      <c r="Z2" s="2" t="s">
        <v>22</v>
      </c>
      <c r="AA2" s="8" t="s">
        <v>34</v>
      </c>
      <c r="AB2" s="8" t="s">
        <v>35</v>
      </c>
      <c r="AC2" s="2" t="s">
        <v>36</v>
      </c>
      <c r="AD2" s="1" t="s">
        <v>32</v>
      </c>
    </row>
    <row r="3" spans="1:30" x14ac:dyDescent="0.25">
      <c r="A3" s="1" t="s">
        <v>30</v>
      </c>
      <c r="B3" s="10">
        <v>1</v>
      </c>
      <c r="C3" s="1" t="s">
        <v>38</v>
      </c>
      <c r="D3" s="1">
        <v>5017495846</v>
      </c>
      <c r="E3" s="1">
        <v>4511541836</v>
      </c>
      <c r="F3" s="1">
        <v>747234</v>
      </c>
      <c r="G3" s="1" t="s">
        <v>10</v>
      </c>
      <c r="H3" s="3" t="s">
        <v>43</v>
      </c>
      <c r="I3" s="1" t="s">
        <v>0</v>
      </c>
      <c r="J3" s="1">
        <v>1</v>
      </c>
      <c r="K3" s="1">
        <v>0</v>
      </c>
      <c r="L3" s="1">
        <v>1</v>
      </c>
      <c r="M3" s="1">
        <v>20</v>
      </c>
      <c r="N3" s="4">
        <v>45316</v>
      </c>
      <c r="O3" s="4">
        <v>45331</v>
      </c>
      <c r="P3" s="3" t="s">
        <v>44</v>
      </c>
      <c r="Q3" s="1" t="s">
        <v>28</v>
      </c>
      <c r="R3" s="1">
        <v>3</v>
      </c>
      <c r="S3" s="1" t="s">
        <v>29</v>
      </c>
      <c r="T3" s="1">
        <v>3202</v>
      </c>
      <c r="U3" s="1">
        <v>1</v>
      </c>
      <c r="V3" s="6" t="s">
        <v>33</v>
      </c>
      <c r="W3" s="6"/>
      <c r="X3" s="1"/>
      <c r="Y3" s="1"/>
      <c r="Z3" s="1"/>
      <c r="AA3" s="4">
        <v>45329</v>
      </c>
      <c r="AB3" s="4">
        <v>45329</v>
      </c>
      <c r="AC3" s="1">
        <f>IF(TBL_DATA_OC[[#This Row],[Fe.  Doc.]]&gt;TBL_DATA_OC[[#This Row],[Fe.entrega]],1,0)</f>
        <v>0</v>
      </c>
      <c r="AD3" s="1">
        <v>5053104284</v>
      </c>
    </row>
    <row r="4" spans="1:30" x14ac:dyDescent="0.25">
      <c r="A4" s="1"/>
      <c r="B4" s="11"/>
      <c r="C4" s="1" t="s">
        <v>38</v>
      </c>
      <c r="D4" s="1">
        <v>5017495847</v>
      </c>
      <c r="E4" s="11">
        <v>4511541836</v>
      </c>
      <c r="F4" s="1">
        <v>747235</v>
      </c>
      <c r="G4" s="1" t="s">
        <v>10</v>
      </c>
      <c r="H4" s="3" t="s">
        <v>45</v>
      </c>
      <c r="I4" s="1" t="s">
        <v>0</v>
      </c>
      <c r="J4" s="1">
        <v>1</v>
      </c>
      <c r="K4" s="1">
        <v>0</v>
      </c>
      <c r="L4" s="1">
        <v>1</v>
      </c>
      <c r="M4" s="1">
        <v>40</v>
      </c>
      <c r="N4" s="4">
        <v>45316</v>
      </c>
      <c r="O4" s="4">
        <v>45331</v>
      </c>
      <c r="P4" s="3" t="s">
        <v>44</v>
      </c>
      <c r="Q4" s="1" t="s">
        <v>28</v>
      </c>
      <c r="R4" s="1">
        <v>3</v>
      </c>
      <c r="S4" s="1" t="s">
        <v>29</v>
      </c>
      <c r="T4" s="1">
        <v>3202</v>
      </c>
      <c r="U4" s="1"/>
      <c r="V4" s="6"/>
      <c r="W4" s="6"/>
      <c r="X4" s="1"/>
      <c r="Y4" s="1"/>
      <c r="Z4" s="1"/>
      <c r="AA4" s="4"/>
      <c r="AB4" s="4"/>
      <c r="AC4" s="12">
        <f>IF(TBL_DATA_OC[[#This Row],[Fe.  Doc.]]&gt;TBL_DATA_OC[[#This Row],[Fe.entrega]],1,0)</f>
        <v>0</v>
      </c>
      <c r="AD4" s="1"/>
    </row>
    <row r="5" spans="1:30" x14ac:dyDescent="0.25">
      <c r="A5" s="1"/>
      <c r="B5" s="11"/>
      <c r="C5" s="1" t="s">
        <v>39</v>
      </c>
      <c r="D5" s="1">
        <v>5017497820</v>
      </c>
      <c r="E5" s="11">
        <v>4511541836</v>
      </c>
      <c r="F5" s="1">
        <v>761496</v>
      </c>
      <c r="G5" s="1" t="s">
        <v>10</v>
      </c>
      <c r="H5" s="3" t="s">
        <v>46</v>
      </c>
      <c r="I5" s="1" t="s">
        <v>47</v>
      </c>
      <c r="J5" s="1">
        <v>13.6</v>
      </c>
      <c r="K5" s="1">
        <v>0</v>
      </c>
      <c r="L5" s="1">
        <v>13.6</v>
      </c>
      <c r="M5" s="1">
        <v>70</v>
      </c>
      <c r="N5" s="4">
        <v>45316</v>
      </c>
      <c r="O5" s="4">
        <v>45331</v>
      </c>
      <c r="P5" s="3" t="s">
        <v>44</v>
      </c>
      <c r="Q5" s="1" t="s">
        <v>28</v>
      </c>
      <c r="R5" s="1">
        <v>1</v>
      </c>
      <c r="S5" s="1" t="s">
        <v>29</v>
      </c>
      <c r="T5" s="1">
        <v>3202</v>
      </c>
      <c r="U5" s="1"/>
      <c r="V5" s="6"/>
      <c r="W5" s="6"/>
      <c r="X5" s="1"/>
      <c r="Y5" s="1"/>
      <c r="Z5" s="1"/>
      <c r="AA5" s="4"/>
      <c r="AB5" s="4"/>
      <c r="AC5" s="12">
        <f>IF(TBL_DATA_OC[[#This Row],[Fe.  Doc.]]&gt;TBL_DATA_OC[[#This Row],[Fe.entrega]],1,0)</f>
        <v>0</v>
      </c>
      <c r="AD5" s="1"/>
    </row>
    <row r="6" spans="1:30" x14ac:dyDescent="0.25">
      <c r="A6" s="1"/>
      <c r="B6" s="11"/>
      <c r="C6" s="1" t="s">
        <v>40</v>
      </c>
      <c r="D6" s="1">
        <v>6447792569</v>
      </c>
      <c r="E6" s="11">
        <v>4511541836</v>
      </c>
      <c r="F6" s="1">
        <v>873635</v>
      </c>
      <c r="G6" s="1" t="s">
        <v>10</v>
      </c>
      <c r="H6" s="3" t="s">
        <v>48</v>
      </c>
      <c r="I6" s="1" t="s">
        <v>0</v>
      </c>
      <c r="J6" s="1">
        <v>5</v>
      </c>
      <c r="K6" s="1">
        <v>0</v>
      </c>
      <c r="L6" s="1">
        <v>5</v>
      </c>
      <c r="M6" s="1">
        <v>80</v>
      </c>
      <c r="N6" s="4">
        <v>45316</v>
      </c>
      <c r="O6" s="4">
        <v>45331</v>
      </c>
      <c r="P6" s="3" t="s">
        <v>44</v>
      </c>
      <c r="Q6" s="1" t="s">
        <v>28</v>
      </c>
      <c r="R6" s="1">
        <v>1</v>
      </c>
      <c r="S6" s="1" t="s">
        <v>29</v>
      </c>
      <c r="T6" s="1">
        <v>3202</v>
      </c>
      <c r="U6" s="1"/>
      <c r="V6" s="6"/>
      <c r="W6" s="6"/>
      <c r="X6" s="1"/>
      <c r="Y6" s="1"/>
      <c r="Z6" s="1"/>
      <c r="AA6" s="4"/>
      <c r="AB6" s="4"/>
      <c r="AC6" s="12">
        <f>IF(TBL_DATA_OC[[#This Row],[Fe.  Doc.]]&gt;TBL_DATA_OC[[#This Row],[Fe.entrega]],1,0)</f>
        <v>0</v>
      </c>
      <c r="AD6" s="1"/>
    </row>
    <row r="7" spans="1:30" x14ac:dyDescent="0.25">
      <c r="A7" s="1"/>
      <c r="B7" s="11"/>
      <c r="C7" s="1" t="s">
        <v>38</v>
      </c>
      <c r="D7" s="1">
        <v>5017495850</v>
      </c>
      <c r="E7" s="11">
        <v>4511541836</v>
      </c>
      <c r="F7" s="1">
        <v>875883</v>
      </c>
      <c r="G7" s="1" t="s">
        <v>10</v>
      </c>
      <c r="H7" s="3" t="s">
        <v>49</v>
      </c>
      <c r="I7" s="1" t="s">
        <v>0</v>
      </c>
      <c r="J7" s="1">
        <v>7</v>
      </c>
      <c r="K7" s="1">
        <v>0</v>
      </c>
      <c r="L7" s="1">
        <v>7</v>
      </c>
      <c r="M7" s="1">
        <v>110</v>
      </c>
      <c r="N7" s="4">
        <v>45316</v>
      </c>
      <c r="O7" s="4">
        <v>45331</v>
      </c>
      <c r="P7" s="3" t="s">
        <v>44</v>
      </c>
      <c r="Q7" s="1" t="s">
        <v>28</v>
      </c>
      <c r="R7" s="1">
        <v>3</v>
      </c>
      <c r="S7" s="1" t="s">
        <v>29</v>
      </c>
      <c r="T7" s="1">
        <v>3202</v>
      </c>
      <c r="U7" s="1"/>
      <c r="V7" s="6"/>
      <c r="W7" s="6"/>
      <c r="X7" s="1"/>
      <c r="Y7" s="1"/>
      <c r="Z7" s="1"/>
      <c r="AA7" s="4"/>
      <c r="AB7" s="4"/>
      <c r="AC7" s="12">
        <f>IF(TBL_DATA_OC[[#This Row],[Fe.  Doc.]]&gt;TBL_DATA_OC[[#This Row],[Fe.entrega]],1,0)</f>
        <v>0</v>
      </c>
      <c r="AD7" s="1"/>
    </row>
    <row r="8" spans="1:30" x14ac:dyDescent="0.25">
      <c r="A8" s="1"/>
      <c r="B8" s="11"/>
      <c r="C8" s="1" t="s">
        <v>38</v>
      </c>
      <c r="D8" s="1">
        <v>5017495882</v>
      </c>
      <c r="E8" s="11">
        <v>4511541836</v>
      </c>
      <c r="F8" s="1">
        <v>893581</v>
      </c>
      <c r="G8" s="1" t="s">
        <v>10</v>
      </c>
      <c r="H8" s="3" t="s">
        <v>50</v>
      </c>
      <c r="I8" s="1" t="s">
        <v>0</v>
      </c>
      <c r="J8" s="1">
        <v>3</v>
      </c>
      <c r="K8" s="1">
        <v>0</v>
      </c>
      <c r="L8" s="1">
        <v>3</v>
      </c>
      <c r="M8" s="1">
        <v>130</v>
      </c>
      <c r="N8" s="4">
        <v>45316</v>
      </c>
      <c r="O8" s="4">
        <v>45331</v>
      </c>
      <c r="P8" s="3" t="s">
        <v>44</v>
      </c>
      <c r="Q8" s="1" t="s">
        <v>28</v>
      </c>
      <c r="R8" s="1">
        <v>3</v>
      </c>
      <c r="S8" s="1" t="s">
        <v>29</v>
      </c>
      <c r="T8" s="1">
        <v>3202</v>
      </c>
      <c r="U8" s="1"/>
      <c r="V8" s="6"/>
      <c r="W8" s="6"/>
      <c r="X8" s="1"/>
      <c r="Y8" s="1"/>
      <c r="Z8" s="1"/>
      <c r="AA8" s="4"/>
      <c r="AB8" s="4"/>
      <c r="AC8" s="12">
        <f>IF(TBL_DATA_OC[[#This Row],[Fe.  Doc.]]&gt;TBL_DATA_OC[[#This Row],[Fe.entrega]],1,0)</f>
        <v>0</v>
      </c>
      <c r="AD8" s="1"/>
    </row>
    <row r="9" spans="1:30" x14ac:dyDescent="0.25">
      <c r="A9" s="1"/>
      <c r="B9" s="11"/>
      <c r="C9" s="1" t="s">
        <v>39</v>
      </c>
      <c r="D9" s="1">
        <v>5017497904</v>
      </c>
      <c r="E9" s="11">
        <v>4511541836</v>
      </c>
      <c r="F9" s="1">
        <v>70075857</v>
      </c>
      <c r="G9" s="1" t="s">
        <v>10</v>
      </c>
      <c r="H9" s="3" t="s">
        <v>51</v>
      </c>
      <c r="I9" s="1" t="s">
        <v>0</v>
      </c>
      <c r="J9" s="1">
        <v>1</v>
      </c>
      <c r="K9" s="1">
        <v>0</v>
      </c>
      <c r="L9" s="1">
        <v>1</v>
      </c>
      <c r="M9" s="1">
        <v>140</v>
      </c>
      <c r="N9" s="4">
        <v>45316</v>
      </c>
      <c r="O9" s="4">
        <v>45331</v>
      </c>
      <c r="P9" s="3" t="s">
        <v>44</v>
      </c>
      <c r="Q9" s="1" t="s">
        <v>28</v>
      </c>
      <c r="R9" s="1">
        <v>1</v>
      </c>
      <c r="S9" s="1" t="s">
        <v>29</v>
      </c>
      <c r="T9" s="1">
        <v>3202</v>
      </c>
      <c r="U9" s="1"/>
      <c r="V9" s="6"/>
      <c r="W9" s="6"/>
      <c r="X9" s="1"/>
      <c r="Y9" s="1"/>
      <c r="Z9" s="1"/>
      <c r="AA9" s="4"/>
      <c r="AB9" s="4"/>
      <c r="AC9" s="12">
        <f>IF(TBL_DATA_OC[[#This Row],[Fe.  Doc.]]&gt;TBL_DATA_OC[[#This Row],[Fe.entrega]],1,0)</f>
        <v>0</v>
      </c>
      <c r="AD9" s="1"/>
    </row>
    <row r="10" spans="1:30" x14ac:dyDescent="0.25">
      <c r="A10" s="1"/>
      <c r="B10" s="11"/>
      <c r="C10" s="1" t="s">
        <v>41</v>
      </c>
      <c r="D10" s="1">
        <v>5017450561</v>
      </c>
      <c r="E10" s="11">
        <v>4511536518</v>
      </c>
      <c r="F10" s="1" t="s">
        <v>42</v>
      </c>
      <c r="G10" s="1" t="s">
        <v>10</v>
      </c>
      <c r="H10" s="3" t="s">
        <v>52</v>
      </c>
      <c r="I10" s="1" t="s">
        <v>0</v>
      </c>
      <c r="J10" s="1">
        <v>2</v>
      </c>
      <c r="K10" s="1">
        <v>0</v>
      </c>
      <c r="L10" s="1">
        <v>2</v>
      </c>
      <c r="M10" s="1">
        <v>20</v>
      </c>
      <c r="N10" s="4">
        <v>45278</v>
      </c>
      <c r="O10" s="4">
        <v>45313</v>
      </c>
      <c r="P10" s="3" t="s">
        <v>37</v>
      </c>
      <c r="Q10" s="1" t="s">
        <v>28</v>
      </c>
      <c r="R10" s="1">
        <v>4</v>
      </c>
      <c r="S10" s="1" t="s">
        <v>29</v>
      </c>
      <c r="T10" s="1">
        <v>3502</v>
      </c>
      <c r="U10" s="1"/>
      <c r="V10" s="6"/>
      <c r="W10" s="6"/>
      <c r="X10" s="1"/>
      <c r="Y10" s="1"/>
      <c r="Z10" s="1"/>
      <c r="AA10" s="4"/>
      <c r="AB10" s="4"/>
      <c r="AC10" s="12">
        <f>IF(TBL_DATA_OC[[#This Row],[Fe.  Doc.]]&gt;TBL_DATA_OC[[#This Row],[Fe.entrega]],1,0)</f>
        <v>0</v>
      </c>
      <c r="AD10" s="1"/>
    </row>
    <row r="11" spans="1:30" x14ac:dyDescent="0.25">
      <c r="A11" s="1"/>
      <c r="B11" s="11"/>
      <c r="C11" s="1" t="s">
        <v>41</v>
      </c>
      <c r="D11" s="1">
        <v>5017450328</v>
      </c>
      <c r="E11" s="11">
        <v>4511536518</v>
      </c>
      <c r="F11" s="1">
        <v>814917</v>
      </c>
      <c r="G11" s="1" t="s">
        <v>10</v>
      </c>
      <c r="H11" s="3" t="s">
        <v>53</v>
      </c>
      <c r="I11" s="1" t="s">
        <v>0</v>
      </c>
      <c r="J11" s="1">
        <v>2</v>
      </c>
      <c r="K11" s="1">
        <v>1</v>
      </c>
      <c r="L11" s="1">
        <v>1</v>
      </c>
      <c r="M11" s="1">
        <v>240</v>
      </c>
      <c r="N11" s="4">
        <v>45278</v>
      </c>
      <c r="O11" s="4">
        <v>45313</v>
      </c>
      <c r="P11" s="3" t="s">
        <v>37</v>
      </c>
      <c r="Q11" s="1" t="s">
        <v>28</v>
      </c>
      <c r="R11" s="1">
        <v>4</v>
      </c>
      <c r="S11" s="1" t="s">
        <v>29</v>
      </c>
      <c r="T11" s="1">
        <v>3502</v>
      </c>
      <c r="U11" s="1"/>
      <c r="V11" s="6"/>
      <c r="W11" s="6"/>
      <c r="X11" s="1"/>
      <c r="Y11" s="1"/>
      <c r="Z11" s="1"/>
      <c r="AA11" s="4"/>
      <c r="AB11" s="4"/>
      <c r="AC11" s="12">
        <f>IF(TBL_DATA_OC[[#This Row],[Fe.  Doc.]]&gt;TBL_DATA_OC[[#This Row],[Fe.entrega]],1,0)</f>
        <v>0</v>
      </c>
      <c r="AD11" s="1"/>
    </row>
  </sheetData>
  <phoneticPr fontId="1" type="noConversion"/>
  <conditionalFormatting sqref="A3:A11">
    <cfRule type="containsBlanks" dxfId="0" priority="4">
      <formula>LEN(TRIM(A3))=0</formula>
    </cfRule>
  </conditionalFormatting>
  <dataValidations count="4">
    <dataValidation type="list" allowBlank="1" showInputMessage="1" showErrorMessage="1" sqref="A3:A11" xr:uid="{845DB438-4319-4211-A8CD-D6F6E27C9782}">
      <formula1>"SI,NO"</formula1>
    </dataValidation>
    <dataValidation type="textLength" allowBlank="1" showInputMessage="1" showErrorMessage="1" errorTitle="Carecteres excedidos" error="Solo se aceptan 16 caracteres" sqref="W3:X11" xr:uid="{923B2846-3ED8-4C8B-91DC-0422DC3BF7EF}">
      <formula1>1</formula1>
      <formula2>16</formula2>
    </dataValidation>
    <dataValidation type="textLength" allowBlank="1" showInputMessage="1" showErrorMessage="1" errorTitle="Carecteres excedidos" error="Solo se aceptan 10 caracteres" sqref="Y3:Y11" xr:uid="{EF803B45-954C-4136-8C57-6C8453D2F85E}">
      <formula1>1</formula1>
      <formula2>10</formula2>
    </dataValidation>
    <dataValidation type="textLength" allowBlank="1" showInputMessage="1" showErrorMessage="1" errorTitle="Carecteres excedidos" error="Solo se aceptan 25 caracteres" sqref="Z3:Z11" xr:uid="{1505E2D5-C351-4572-8F3D-D5ABE4C830B3}">
      <formula1>1</formula1>
      <formula2>25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Subir">
          <controlPr defaultSize="0" autoLine="0" r:id="rId5">
            <anchor moveWithCells="1">
              <from>
                <xdr:col>0</xdr:col>
                <xdr:colOff>104775</xdr:colOff>
                <xdr:row>0</xdr:row>
                <xdr:rowOff>47625</xdr:rowOff>
              </from>
              <to>
                <xdr:col>0</xdr:col>
                <xdr:colOff>1019175</xdr:colOff>
                <xdr:row>0</xdr:row>
                <xdr:rowOff>352425</xdr:rowOff>
              </to>
            </anchor>
          </controlPr>
        </control>
      </mc:Choice>
      <mc:Fallback>
        <control shapeId="3076" r:id="rId4" name="Subir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 OC</vt:lpstr>
      <vt:lpstr>Ordenes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 Alexander Hidalgo Socola</dc:creator>
  <cp:lastModifiedBy>Junior Alexander Hidalgo Socola</cp:lastModifiedBy>
  <dcterms:created xsi:type="dcterms:W3CDTF">2024-01-23T14:10:15Z</dcterms:created>
  <dcterms:modified xsi:type="dcterms:W3CDTF">2024-02-12T12:15:20Z</dcterms:modified>
</cp:coreProperties>
</file>