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D:\Proyectos\AutomatizaciónCalidad\"/>
    </mc:Choice>
  </mc:AlternateContent>
  <xr:revisionPtr revIDLastSave="0" documentId="13_ncr:1_{F982D0ED-A623-474E-9252-0B8E310D88A0}" xr6:coauthVersionLast="47" xr6:coauthVersionMax="47" xr10:uidLastSave="{00000000-0000-0000-0000-000000000000}"/>
  <bookViews>
    <workbookView xWindow="-96" yWindow="0" windowWidth="11712" windowHeight="13776" xr2:uid="{00000000-000D-0000-FFFF-FFFF00000000}"/>
  </bookViews>
  <sheets>
    <sheet name="DataSIOP" sheetId="1" r:id="rId1"/>
    <sheet name="TablaDinamica" sheetId="33" r:id="rId2"/>
    <sheet name="Ejemplo" sheetId="30" state="hidden" r:id="rId3"/>
    <sheet name="Hoja2" sheetId="32" state="hidden" r:id="rId4"/>
  </sheets>
  <definedNames>
    <definedName name="_10.183.104.4_BiosChira_TALHAO" localSheetId="0" hidden="1">DataSIOP!$B$1:$BN$27</definedName>
    <definedName name="_xleta.DATE" hidden="1" xlm="1">#NAME?</definedName>
  </definedNames>
  <calcPr calcId="191029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R2" i="1" l="1"/>
  <c r="CR3" i="1"/>
  <c r="CR4" i="1"/>
  <c r="CR5" i="1"/>
  <c r="CR6" i="1"/>
  <c r="CR7" i="1"/>
  <c r="CR8" i="1"/>
  <c r="CR9" i="1"/>
  <c r="CR10" i="1"/>
  <c r="CR11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T2" i="1"/>
  <c r="CT3" i="1"/>
  <c r="CT4" i="1"/>
  <c r="CT5" i="1"/>
  <c r="CT6" i="1"/>
  <c r="CT7" i="1"/>
  <c r="CT8" i="1"/>
  <c r="CT9" i="1"/>
  <c r="CT10" i="1"/>
  <c r="CT11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T5" i="30" l="1"/>
  <c r="T7" i="30" l="1"/>
  <c r="T9" i="30"/>
  <c r="T8" i="30"/>
  <c r="T6" i="3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10.183.104.4 BiosChira TALHAO11" description="Tabla__10.183.104.4_BiosChira_TALHAO24" type="5" refreshedVersion="8" savePassword="1" background="1" saveData="1">
    <dbPr connection="Provider=SQLOLEDB.1;Password=ctcuser;Persist Security Info=True;User ID=ctcuser;Initial Catalog=database_IOP;Data Source=10.32.60.118;Use Procedure for Prepare=1;Auto Translate=True;Packet Size=4096;Workstation ID=CHICPU1648;Use Encryption for Data=False;Tag with column collation when possible=False" command="SELECT_x000d__x000a__x0009_[MetodoPrensaSA].[fecha_muestra],_x000d__x000a__x0009_[MetodoPrensaSA].[fecha_salida],_x000d__x000a__x0009_[MetodoPrensaSA].[turno],_x000d__x000a__x0009_[MetodoPrensaSA].[analista],_x000d__x000a__x0009_[MetodoPrensaSA].[boletin_analisis],_x000d__x000a__x0009_[MetodoPrensaSA].[liberacion],_x000d__x000a__x0009_[MetodoPrensaSA].[cañera],_x000d__x000a__x0009_[MetodoPrensaSA].[equipo],_x000d__x000a__x0009_[MetodoPrensaSA].[turno_2],_x000d__x000a__x0009_[MetodoPrensaSA].[parcela],_x000d__x000a__x0009_[MetodoPrensaSA].[sector],_x000d__x000a__x0009_[MetodoPrensaSA].[variedad],_x000d__x000a__x0009_[MetodoPrensaSA].[tipo_caracteristica],_x000d__x000a__x0009_[MetodoPrensaSA].[ph],_x000d__x000a__x0009_[MetodoPrensaSA].[peso_bagazo],_x000d__x000a__x0009_[MetodoPrensaSA].[brix_1],_x000d__x000a__x0009_[MetodoPrensaSA].[brix_2],_x000d__x000a__x0009_[MetodoPrensaSA].[brix_promedio],_x000d__x000a__x0009_[MetodoPrensaSA].[lect_sacarimetrica],_x000d__x000a__x0009_[MetodoPrensaSA].[pol_s],_x000d__x000a__x0009_[MetodoPrensaSA].[coeficiente_s],_x000d__x000a__x0009_[MetodoPrensaSA].[factor_ar],_x000d__x000a__x0009_[MetodoPrensaSA].[ar_caldo],_x000d__x000a__x0009_[MetodoPrensaSA].[atr_cana],_x000d__x000a__x0009_[MetodoPrensaSA].[pesoinicial_muestrasucio],_x000d__x000a__x0009_[MetodoPrensaSA].[pesofinal_muestrasucio],_x000d__x000a__x0009_[MetodoPrensaSA].[pesoinicial_muestrablanco],_x000d__x000a__x0009_[MetodoPrensaSA].[pesofinal_muestrablanco],_x000d__x000a__x0009_[MetodoPrensaSA].[pesototal_muestra],_x000d__x000a__x0009_[MetodoPrensaSA].[peso_hojas],_x000d__x000a__x0009_[MetodoPrensaSA].[peso_cogollo],_x000d__x000a__x0009_[MetodoPrensaSA].[peso_raices],_x000d__x000a__x0009_[MetodoPrensaSA].[peso_materiaextrana],_x000d__x000a__x0009_[MetodoPrensaSA].[peso_tierra],_x000d__x000a__x0009_[MetodoPrensaSA].[peso_impureza],_x000d__x000a__x0009_[MetodoPrensaSA].[brix],_x000d__x000a__x0009_[MetodoPrensaSA].[pc_polcana],_x000d__x000a__x0009_[MetodoPrensaSA].[arc_s],_x000d__x000a__x0009_[MetodoPrensaSA].[art_confactor],_x000d__x000a__x0009_[MetodoPrensaSA].[fibra],_x000d__x000a__x0009_[MetodoPrensaSA].[pureza_s],_x000d__x000a__x0009_[MetodoPrensaSA].[impureza_mineralsucio],_x000d__x000a__x0009_[MetodoPrensaSA].[impureza_mineralblanco],_x000d__x000a__x0009_[MetodoPrensaSA].[impureza_final],_x000d__x000a__x0009_[MetodoPrensaSA].[hojas],_x000d__x000a__x0009_[MetodoPrensaSA].[cogollo],_x000d__x000a__x0009_[MetodoPrensaSA].[raices],_x000d__x000a__x0009_[MetodoPrensaSA].[identificacion_materiaextrana],_x000d__x000a__x0009_[MetodoPrensaSA].[tierra],_x000d__x000a__x0009_[MetodoPrensaSA].[impureza_vegetal],_x000d__x000a__x0009_[MetodoPrensaSA].[peso_inicial],_x000d__x000a__x0009_[MetodoPrensaSA].[peso_final],_x000d__x000a__x0009_[MetodoPrensaSA].[humedad],_x000d__x000a__x0009_[MetodoPrensaSA].[codigoFundo],_x000d__x000a__x0009_[MetodoPrensaSA].[observaciones],_x000d__x000a__x0009_[MetodoPrensaSA].[INTEGRADO],_x000d__x000a__x0009_[MetodoPrensaSA].[EDITADO],_x000d__x000a__x0009_[MetodoPrensaSA].[fecha_registro],_x000d__x000a__x0009_[MetodoPrensaSA].[fecha_modificacion],_x000d__x000a__x0009_[fundo_fk].[codigo] AS [fundo_fk.codigo],_x000d__x000a__x0009_[fundo_fk].[referencia] AS [fundo_fk.referencia],_x000d__x000a__x0009_[fundo_fk].[descripcion] AS [fundo_fk.descripcion],_x000d__x000a__x0009_[fundo_fk].[tipo_fundo] AS [fundo_fk.tipo_fundo],_x000d__x000a__x0009_[fundo_fk].[estado] AS [fundo_fk.estado],_x000d__x000a__x0009_[fundo_fk].[codigo_biosalc] AS [fundo_fk.codigo_biosalc]_x000d__x000a_FROM_x000d__x000a__x0009_[metodoprensa_SA] AS [MetodoPrensaSA]_x000d__x000a_LEFT OUTER JOIN [Fundos] AS [fundo_fk] ON_x000d__x000a__x0009_[MetodoPrensaSA].[codigoFundo] = [fundo_fk].[codigo]_x000d__x000a_WHERE_x000d__x000a__x0009_([fecha_muestra] BETWEEN N'2025-02-12 00:00' AND N'2025-02-12 09:51')_x000d__x000a_ORDER BY_x000d__x000a__x0009_[MetodoPrensaSA].[fecha_registro] DESC;"/>
  </connection>
</connections>
</file>

<file path=xl/sharedStrings.xml><?xml version="1.0" encoding="utf-8"?>
<sst xmlns="http://schemas.openxmlformats.org/spreadsheetml/2006/main" count="538" uniqueCount="191">
  <si>
    <t>FD</t>
  </si>
  <si>
    <t>DiaOper_Balanza</t>
  </si>
  <si>
    <t>LB01</t>
  </si>
  <si>
    <t>Total general</t>
  </si>
  <si>
    <t>T_Llenado</t>
  </si>
  <si>
    <t>T_Ruta</t>
  </si>
  <si>
    <t>T_Patio</t>
  </si>
  <si>
    <t>T_Descarga</t>
  </si>
  <si>
    <t>T_Total</t>
  </si>
  <si>
    <t>ML02</t>
  </si>
  <si>
    <t>ML05</t>
  </si>
  <si>
    <t>ViajeBIO</t>
  </si>
  <si>
    <t>ML01</t>
  </si>
  <si>
    <t>TN</t>
  </si>
  <si>
    <t>Distribucion</t>
  </si>
  <si>
    <t>Suma de TN</t>
  </si>
  <si>
    <t>Promedio de T_Total</t>
  </si>
  <si>
    <t>Tiempo Entrega Fundo Lobo</t>
  </si>
  <si>
    <t>Tiempo Entrega Fundo MonteLima</t>
  </si>
  <si>
    <t>Tiempo Entrega caña propia</t>
  </si>
  <si>
    <t>Tiempo Entrega Fundo La Huaca</t>
  </si>
  <si>
    <t>Tiempo Entrega Fundo San Vicente</t>
  </si>
  <si>
    <t>(Todas)</t>
  </si>
  <si>
    <t>CAÑA COSECHADA</t>
  </si>
  <si>
    <t>BOLETIN DE ANÁLISIS (B.A)</t>
  </si>
  <si>
    <t xml:space="preserve">Cañera N°/Placa </t>
  </si>
  <si>
    <t>Fundo</t>
  </si>
  <si>
    <t>Tipo/Caracteristica</t>
  </si>
  <si>
    <t>Análisis de jugo</t>
  </si>
  <si>
    <t xml:space="preserve"> PH Jugo Prensado</t>
  </si>
  <si>
    <t>% Pol_S</t>
  </si>
  <si>
    <t>% BRIX</t>
  </si>
  <si>
    <t>%PC (pol de caña_S)</t>
  </si>
  <si>
    <t>%ARC_S</t>
  </si>
  <si>
    <t>%ART con factor Ar_S( ≥ 14)</t>
  </si>
  <si>
    <t>%FIBRA</t>
  </si>
  <si>
    <t>Q(%PUREZA_S)</t>
  </si>
  <si>
    <t>Impureza Mineral Final≤ 6.00 (kg/tn (Sucio-Blanco)</t>
  </si>
  <si>
    <t>Hojas (Kg/T)</t>
  </si>
  <si>
    <t>Cogollo (Kg/T)</t>
  </si>
  <si>
    <t>Raices (Kg/T)</t>
  </si>
  <si>
    <t>Identificación de la Materia Extraña (Kg/T)</t>
  </si>
  <si>
    <t>Tierra (Kg/T)</t>
  </si>
  <si>
    <t>Impureza vegetal ≤ 80 (Kg/T)</t>
  </si>
  <si>
    <t>Análisis de %Humedad</t>
  </si>
  <si>
    <t xml:space="preserve">%Humedad </t>
  </si>
  <si>
    <t>Turno3</t>
  </si>
  <si>
    <t>adiocnkal</t>
  </si>
  <si>
    <t>FECHA EN DORMATO NORMAL</t>
  </si>
  <si>
    <t>NUEVO FUNDOS</t>
  </si>
  <si>
    <t>TIPO</t>
  </si>
  <si>
    <t>LÍMITE I. MINERAL PROPIA</t>
  </si>
  <si>
    <t>LÍMITE I. VEGETAL PROPIA</t>
  </si>
  <si>
    <t>LÍMITE I. MINERAL TERCEROS</t>
  </si>
  <si>
    <t>LÍMITE I. VEGETAL TERCEROS</t>
  </si>
  <si>
    <t>AÑO</t>
  </si>
  <si>
    <t>ESTACIÓN DEL AÑO</t>
  </si>
  <si>
    <t>EQ - TR</t>
  </si>
  <si>
    <t>MES2</t>
  </si>
  <si>
    <t>=TEXTO([@[Fecha Muestra]];"MMMM")</t>
  </si>
  <si>
    <t>fecha_salida</t>
  </si>
  <si>
    <t>turno</t>
  </si>
  <si>
    <t>analista</t>
  </si>
  <si>
    <t>boletin_analisis</t>
  </si>
  <si>
    <t>liberacion</t>
  </si>
  <si>
    <t>cañera</t>
  </si>
  <si>
    <t>equipo</t>
  </si>
  <si>
    <t>turno_2</t>
  </si>
  <si>
    <t>parcela</t>
  </si>
  <si>
    <t>sector</t>
  </si>
  <si>
    <t>variedad</t>
  </si>
  <si>
    <t>tipo_caracteristica</t>
  </si>
  <si>
    <t>ph</t>
  </si>
  <si>
    <t>peso_bagazo</t>
  </si>
  <si>
    <t>brix_1</t>
  </si>
  <si>
    <t>brix_2</t>
  </si>
  <si>
    <t>brix_promedio</t>
  </si>
  <si>
    <t>lect_sacarimetrica</t>
  </si>
  <si>
    <t>pol_s</t>
  </si>
  <si>
    <t>coeficiente_s</t>
  </si>
  <si>
    <t>factor_ar</t>
  </si>
  <si>
    <t>ar_caldo</t>
  </si>
  <si>
    <t>atr_cana</t>
  </si>
  <si>
    <t>pesoinicial_muestrasucio</t>
  </si>
  <si>
    <t>pesofinal_muestrasucio</t>
  </si>
  <si>
    <t>pesoinicial_muestrablanco</t>
  </si>
  <si>
    <t>pesofinal_muestrablanco</t>
  </si>
  <si>
    <t>pesototal_muestra</t>
  </si>
  <si>
    <t>peso_hojas</t>
  </si>
  <si>
    <t>peso_cogollo</t>
  </si>
  <si>
    <t>peso_raices</t>
  </si>
  <si>
    <t>peso_materiaextrana</t>
  </si>
  <si>
    <t>peso_tierra</t>
  </si>
  <si>
    <t>peso_impureza</t>
  </si>
  <si>
    <t>brix</t>
  </si>
  <si>
    <t>pc_polcana</t>
  </si>
  <si>
    <t>arc_s</t>
  </si>
  <si>
    <t>art_confactor</t>
  </si>
  <si>
    <t>fibra</t>
  </si>
  <si>
    <t>pureza_s</t>
  </si>
  <si>
    <t>impureza_mineralsucio</t>
  </si>
  <si>
    <t>impureza_mineralblanco</t>
  </si>
  <si>
    <t>impureza_final</t>
  </si>
  <si>
    <t>hojas</t>
  </si>
  <si>
    <t>cogollo</t>
  </si>
  <si>
    <t>raices</t>
  </si>
  <si>
    <t>identificacion_materiaextrana</t>
  </si>
  <si>
    <t>tierra</t>
  </si>
  <si>
    <t>impureza_vegetal</t>
  </si>
  <si>
    <t>peso_inicial</t>
  </si>
  <si>
    <t>peso_final</t>
  </si>
  <si>
    <t>humedad</t>
  </si>
  <si>
    <t>codigoFundo</t>
  </si>
  <si>
    <t>observaciones</t>
  </si>
  <si>
    <t>INTEGRADO</t>
  </si>
  <si>
    <t>EDITADO</t>
  </si>
  <si>
    <t>fecha_registro</t>
  </si>
  <si>
    <t>fecha_modificacion</t>
  </si>
  <si>
    <t>fundo_fk.codigo</t>
  </si>
  <si>
    <t>fundo_fk.referencia</t>
  </si>
  <si>
    <t>fundo_fk.descripcion</t>
  </si>
  <si>
    <t>fundo_fk.tipo_fundo</t>
  </si>
  <si>
    <t>fundo_fk.estado</t>
  </si>
  <si>
    <t>fundo_fk.codigo_biosalc</t>
  </si>
  <si>
    <t>T3</t>
  </si>
  <si>
    <t>01555525</t>
  </si>
  <si>
    <t>40</t>
  </si>
  <si>
    <t>EQ03</t>
  </si>
  <si>
    <t>TR02</t>
  </si>
  <si>
    <t>SV01E03T2</t>
  </si>
  <si>
    <t>SV01</t>
  </si>
  <si>
    <t>H0</t>
  </si>
  <si>
    <t>CCSQ</t>
  </si>
  <si>
    <t/>
  </si>
  <si>
    <t>SAN VICENTE</t>
  </si>
  <si>
    <t>SV</t>
  </si>
  <si>
    <t>05</t>
  </si>
  <si>
    <t>76</t>
  </si>
  <si>
    <t>EQ08</t>
  </si>
  <si>
    <t>TR04</t>
  </si>
  <si>
    <t>SV01E08T4</t>
  </si>
  <si>
    <t>79</t>
  </si>
  <si>
    <t>47</t>
  </si>
  <si>
    <t>20</t>
  </si>
  <si>
    <t>TIERRA ADHERIDA-DIATRAEA-PICUDO</t>
  </si>
  <si>
    <t>12</t>
  </si>
  <si>
    <t>ABUNDANTE TIERRA-RAIZ-PICUDO-BROZA</t>
  </si>
  <si>
    <t>36</t>
  </si>
  <si>
    <t>31</t>
  </si>
  <si>
    <t>13</t>
  </si>
  <si>
    <t>83</t>
  </si>
  <si>
    <t>87</t>
  </si>
  <si>
    <t>68</t>
  </si>
  <si>
    <t>71</t>
  </si>
  <si>
    <t>T1</t>
  </si>
  <si>
    <t>15</t>
  </si>
  <si>
    <t>ABUNDANTE RAIZ -TIERRA ADHERIDA A LA RAIZ - HONGO - PICUDO - PRESENCIA DE DIATRAEA</t>
  </si>
  <si>
    <t>38</t>
  </si>
  <si>
    <t>ZC -1615</t>
  </si>
  <si>
    <t>TR152</t>
  </si>
  <si>
    <t>700</t>
  </si>
  <si>
    <t>FDT</t>
  </si>
  <si>
    <t>AZULCG</t>
  </si>
  <si>
    <t>CLQ</t>
  </si>
  <si>
    <t>Ingenios Azucareros del norte</t>
  </si>
  <si>
    <t>FDTTR152TR152</t>
  </si>
  <si>
    <t>M4A -862</t>
  </si>
  <si>
    <t>TIERRA ADHERIDA A LA CAÑA - CENIZA - HONGO - PRESENCIA DE DIATRAEA - PICUDO</t>
  </si>
  <si>
    <t>T1Y - 849</t>
  </si>
  <si>
    <t>TR147</t>
  </si>
  <si>
    <t>HONGO - PICUDO - TIERRA ADHERIDA  A LA CAÑA - CENIZA - CAÑA SECA</t>
  </si>
  <si>
    <t>HACIENDA DEL NORTE</t>
  </si>
  <si>
    <t>FDTTR147TR147</t>
  </si>
  <si>
    <t>TFR -974</t>
  </si>
  <si>
    <t>A4B - 900</t>
  </si>
  <si>
    <t>TR153</t>
  </si>
  <si>
    <t>CENIZA - ABUNDANTE HOJA SECA - TIERRA ADHERIDA A LA CAÑA - PRESENCIA DE DIATRAEA</t>
  </si>
  <si>
    <t>NORTERRA SAC</t>
  </si>
  <si>
    <t>FDTTR153TR153</t>
  </si>
  <si>
    <t>M2X - 974</t>
  </si>
  <si>
    <t>52</t>
  </si>
  <si>
    <t>11</t>
  </si>
  <si>
    <t>7</t>
  </si>
  <si>
    <t>HONGO - CAÑA SECA - HOJA SECA - PICUDO</t>
  </si>
  <si>
    <t>56</t>
  </si>
  <si>
    <t>Liberacion2</t>
  </si>
  <si>
    <t>Equipo3</t>
  </si>
  <si>
    <t>Parcela4</t>
  </si>
  <si>
    <t>Variedad5</t>
  </si>
  <si>
    <t>OBSERVACIONES6</t>
  </si>
  <si>
    <t>fecha_muestra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</si>
</sst>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[$-F400]h:mm:ss\ AM/PM"/>
    <numFmt numFmtId="166" formatCode="0.0"/>
    <numFmt numFmtId="167" formatCode="m/d/yyyy"/>
    <numFmt numFmtId="168" formatCode="m/d/yyyy\ h:mm"/>
    <numFmt numFmtId="169" formatCode="0.0000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theme="8" tint="-0.249977111117893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164" fontId="5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0" fontId="0" fillId="3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left"/>
    </xf>
    <xf numFmtId="16" fontId="0" fillId="0" borderId="0" xfId="0" applyNumberFormat="1"/>
    <xf numFmtId="0" fontId="0" fillId="0" borderId="0" xfId="0" pivotButton="1" applyAlignment="1">
      <alignment horizontal="left"/>
    </xf>
    <xf numFmtId="166" fontId="0" fillId="0" borderId="0" xfId="0" applyNumberFormat="1" applyAlignment="1">
      <alignment horizontal="left"/>
    </xf>
    <xf numFmtId="168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0" fillId="3" borderId="0" xfId="0" applyFill="1"/>
    <xf numFmtId="1" fontId="0" fillId="0" borderId="0" xfId="0" applyNumberFormat="1" applyAlignment="1">
      <alignment horizontal="center"/>
    </xf>
    <xf numFmtId="166" fontId="0" fillId="3" borderId="0" xfId="0" applyNumberFormat="1" applyFill="1" applyAlignment="1">
      <alignment horizontal="center"/>
    </xf>
    <xf numFmtId="169" fontId="0" fillId="3" borderId="0" xfId="0" applyNumberFormat="1" applyFill="1"/>
    <xf numFmtId="2" fontId="6" fillId="4" borderId="1" xfId="0" applyNumberFormat="1" applyFont="1" applyFill="1" applyBorder="1" applyAlignment="1" applyProtection="1">
      <alignment horizontal="center" vertical="center" textRotation="90" wrapText="1"/>
      <protection locked="0"/>
    </xf>
    <xf numFmtId="2" fontId="6" fillId="4" borderId="1" xfId="0" applyNumberFormat="1" applyFont="1" applyFill="1" applyBorder="1" applyAlignment="1" applyProtection="1">
      <alignment horizontal="center" vertical="center" textRotation="90"/>
      <protection locked="0"/>
    </xf>
    <xf numFmtId="2" fontId="0" fillId="0" borderId="0" xfId="2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" fontId="6" fillId="5" borderId="2" xfId="0" applyNumberFormat="1" applyFont="1" applyFill="1" applyBorder="1" applyAlignment="1" applyProtection="1">
      <alignment horizontal="center" vertical="center" textRotation="90" wrapText="1"/>
      <protection locked="0"/>
    </xf>
    <xf numFmtId="0" fontId="6" fillId="4" borderId="1" xfId="0" applyFont="1" applyFill="1" applyBorder="1" applyAlignment="1" applyProtection="1">
      <alignment horizontal="center" vertical="center" textRotation="90" wrapText="1"/>
      <protection locked="0"/>
    </xf>
    <xf numFmtId="14" fontId="6" fillId="5" borderId="2" xfId="0" applyNumberFormat="1" applyFont="1" applyFill="1" applyBorder="1" applyAlignment="1" applyProtection="1">
      <alignment horizontal="center" vertical="center" textRotation="90" wrapText="1"/>
      <protection locked="0"/>
    </xf>
    <xf numFmtId="2" fontId="6" fillId="3" borderId="2" xfId="0" applyNumberFormat="1" applyFont="1" applyFill="1" applyBorder="1" applyAlignment="1" applyProtection="1">
      <alignment horizontal="center" vertical="center" textRotation="90" wrapText="1"/>
      <protection locked="0"/>
    </xf>
    <xf numFmtId="20" fontId="6" fillId="4" borderId="12" xfId="0" applyNumberFormat="1" applyFont="1" applyFill="1" applyBorder="1" applyAlignment="1" applyProtection="1">
      <alignment horizontal="center" vertical="center" textRotation="90" wrapText="1"/>
      <protection locked="0"/>
    </xf>
    <xf numFmtId="2" fontId="6" fillId="4" borderId="12" xfId="0" applyNumberFormat="1" applyFont="1" applyFill="1" applyBorder="1" applyAlignment="1" applyProtection="1">
      <alignment horizontal="center" vertical="center" textRotation="90" wrapText="1"/>
      <protection locked="0"/>
    </xf>
  </cellXfs>
  <cellStyles count="3">
    <cellStyle name="Millares" xfId="2" builtinId="3"/>
    <cellStyle name="Normal" xfId="0" builtinId="0"/>
    <cellStyle name="Normal 2" xfId="1" xr:uid="{00000000-0005-0000-0000-000002000000}"/>
  </cellStyles>
  <dxfs count="129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7" formatCode="m/d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numFmt numFmtId="168" formatCode="m/d/yyyy\ h:mm"/>
      <alignment horizontal="center" vertical="bottom" textRotation="0" wrapText="0" indent="0" justifyLastLine="0" shrinkToFit="0" readingOrder="0"/>
    </dxf>
    <dxf>
      <font>
        <color rgb="FFFF0000"/>
      </font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8" tint="0.79998168889431442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7" formatCode="m/d/yyyy"/>
      <fill>
        <patternFill patternType="none">
          <fgColor theme="8" tint="0.399975585192419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 tint="-0.249977111117893"/>
          <bgColor theme="8" tint="-0.249977111117893"/>
        </patternFill>
      </fill>
      <alignment horizontal="center" vertical="bottom" textRotation="0" wrapText="0" indent="0" justifyLastLine="0" shrinkToFit="0" readingOrder="0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solid">
          <fgColor indexed="64"/>
          <bgColor rgb="FFA9D08E"/>
        </patternFill>
      </fill>
      <alignment horizontal="center" vertical="center" textRotation="9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106</xdr:col>
          <xdr:colOff>678180</xdr:colOff>
          <xdr:row>0</xdr:row>
          <xdr:rowOff>746760</xdr:rowOff>
        </xdr:from>
        <xdr:to>
          <xdr:col>107</xdr:col>
          <xdr:colOff>1394460</xdr:colOff>
          <xdr:row>0</xdr:row>
          <xdr:rowOff>1424940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hian Martin Valladolid Chero" refreshedDate="45698.370713773147" createdVersion="8" refreshedVersion="8" minRefreshableVersion="3" recordCount="67" xr:uid="{028F8130-01EF-4EFE-BA26-B2C302B99561}">
  <cacheSource type="worksheet">
    <worksheetSource name="Tabla2"/>
  </cacheSource>
  <cacheFields count="10">
    <cacheField name="DiaOper_Balanza" numFmtId="14">
      <sharedItems containsSemiMixedTypes="0" containsNonDate="0" containsDate="1" containsString="0" minDate="2024-11-06T00:00:00" maxDate="2024-11-07T00:00:00" count="1">
        <d v="2024-11-06T00:00:00"/>
      </sharedItems>
    </cacheField>
    <cacheField name="FD" numFmtId="0">
      <sharedItems count="8">
        <s v="LB01"/>
        <s v="ML01"/>
        <s v="ML02"/>
        <s v="ML05"/>
        <s v="HC01" u="1"/>
        <s v="ML03" u="1"/>
        <s v="SV01" u="1"/>
        <s v="LB02" u="1"/>
      </sharedItems>
    </cacheField>
    <cacheField name="ViajeBIO" numFmtId="0">
      <sharedItems containsSemiMixedTypes="0" containsString="0" containsNumber="1" containsInteger="1" minValue="1321146" maxValue="1321223"/>
    </cacheField>
    <cacheField name="T_Llenado" numFmtId="166">
      <sharedItems containsNonDate="0" containsString="0" containsBlank="1"/>
    </cacheField>
    <cacheField name="T_Ruta" numFmtId="166">
      <sharedItems containsNonDate="0" containsString="0" containsBlank="1"/>
    </cacheField>
    <cacheField name="T_Patio" numFmtId="166">
      <sharedItems containsNonDate="0" containsString="0" containsBlank="1"/>
    </cacheField>
    <cacheField name="T_Descarga" numFmtId="166">
      <sharedItems containsNonDate="0" containsString="0" containsBlank="1"/>
    </cacheField>
    <cacheField name="T_Total" numFmtId="166">
      <sharedItems containsSemiMixedTypes="0" containsString="0" containsNumber="1" minValue="2.8833326666162202" maxValue="14.666665666639503"/>
    </cacheField>
    <cacheField name="TN" numFmtId="166">
      <sharedItems containsSemiMixedTypes="0" containsString="0" containsNumber="1" minValue="46.24" maxValue="72.290000000000006"/>
    </cacheField>
    <cacheField name="Distribucion" numFmtId="0">
      <sharedItems containsSemiMixedTypes="0" containsString="0" containsNumber="1" minValue="1" maxValue="37" count="53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 u="1"/>
        <n v="37" u="1"/>
        <n v="11.530612244897901" u="1"/>
        <n v="10.5510204081633" u="1"/>
        <n v="7.6122448979591901" u="1"/>
        <n v="9.5714285714285694" u="1"/>
        <n v="12.0204081632653" u="1"/>
        <n v="4.0571428571428596" u="1"/>
        <n v="9.0816326530612308" u="1"/>
        <n v="8.5918367346938798" u="1"/>
        <n v="11.040816326530599" u="1"/>
        <n v="4.5142857142857196" u="1"/>
        <n v="8.1020408163265305" u="1"/>
        <n v="3.6" u="1"/>
        <n v="13.9795918367347" u="1"/>
        <n v="10.061224489795899" u="1"/>
        <n v="12.510204081632599" u="1"/>
        <n v="4.971428571428569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hian Martin Valladolid Chero" refreshedDate="45698.482423958332" createdVersion="8" refreshedVersion="8" minRefreshableVersion="3" recordCount="10" xr:uid="{5AF81AF4-5DF6-46B0-B327-DACCB75AA323}">
  <cacheSource type="worksheet">
    <worksheetSource name="SIOP[[Ubicacion]:[%Humedad ]]"/>
  </cacheSource>
  <cacheFields count="34">
    <cacheField name="Ubicacion" numFmtId="168">
      <sharedItems containsNonDate="0"/>
    </cacheField>
    <cacheField name="Mes" numFmtId="168">
      <sharedItems containsSemiMixedTypes="0" containsNonDate="0" containsDate="1" containsString="0" minDate="1899-12-31T00:00:00" maxDate="1900-01-01T00:00:00"/>
    </cacheField>
    <cacheField name="Mes_C" numFmtId="168">
      <sharedItems containsNonDate="0"/>
    </cacheField>
    <cacheField name="Semana" numFmtId="168">
      <sharedItems containsSemiMixedTypes="0" containsNonDate="0" containsDate="1" containsString="0" minDate="1899-12-31T00:00:00" maxDate="1900-01-01T00:00:00"/>
    </cacheField>
    <cacheField name="Dia" numFmtId="168">
      <sharedItems containsSemiMixedTypes="0" containsNonDate="0" containsDate="1" containsString="0" minDate="1900-01-02T00:00:00" maxDate="1900-01-06T00:00:00"/>
    </cacheField>
    <cacheField name="Utilizacion" numFmtId="168">
      <sharedItems containsSemiMixedTypes="0" containsNonDate="0" containsDate="1" containsString="0" minDate="1899-12-30T10:33:36" maxDate="1900-01-01T00:00:00"/>
    </cacheField>
    <cacheField name="CAÑA COSECHADA" numFmtId="165">
      <sharedItems containsNonDate="0" containsString="0" containsBlank="1"/>
    </cacheField>
    <cacheField name="BOLETIN DE ANÁLISIS (B.A)" numFmtId="167">
      <sharedItems containsNonDate="0" containsString="0" containsBlank="1"/>
    </cacheField>
    <cacheField name="Liberacion" numFmtId="2">
      <sharedItems containsNonDate="0" containsString="0" containsBlank="1"/>
    </cacheField>
    <cacheField name="Cañera N°/Placa " numFmtId="2">
      <sharedItems containsNonDate="0" containsString="0" containsBlank="1"/>
    </cacheField>
    <cacheField name="Fundo" numFmtId="0">
      <sharedItems containsNonDate="0" containsString="0" containsBlank="1"/>
    </cacheField>
    <cacheField name="Equipo" numFmtId="0">
      <sharedItems containsNonDate="0" containsString="0" containsBlank="1"/>
    </cacheField>
    <cacheField name="Turno3" numFmtId="0">
      <sharedItems containsNonDate="0" containsString="0" containsBlank="1"/>
    </cacheField>
    <cacheField name="Parcela" numFmtId="0">
      <sharedItems containsNonDate="0" containsString="0" containsBlank="1"/>
    </cacheField>
    <cacheField name="Variedad" numFmtId="0">
      <sharedItems containsNonDate="0" containsString="0" containsBlank="1"/>
    </cacheField>
    <cacheField name="Tipo/Caracteristica" numFmtId="2">
      <sharedItems containsNonDate="0" containsString="0" containsBlank="1"/>
    </cacheField>
    <cacheField name="Análisis de jugo" numFmtId="0">
      <sharedItems containsNonDate="0" containsString="0" containsBlank="1"/>
    </cacheField>
    <cacheField name=" PH Jugo Prensado" numFmtId="0">
      <sharedItems containsNonDate="0" containsString="0" containsBlank="1"/>
    </cacheField>
    <cacheField name="% Pol_S" numFmtId="0">
      <sharedItems containsNonDate="0" containsString="0" containsBlank="1"/>
    </cacheField>
    <cacheField name="% BRIX" numFmtId="0">
      <sharedItems containsNonDate="0" containsString="0" containsBlank="1"/>
    </cacheField>
    <cacheField name="%PC (pol de caña_S)" numFmtId="0">
      <sharedItems containsNonDate="0" containsString="0" containsBlank="1"/>
    </cacheField>
    <cacheField name="%ARC_S" numFmtId="0">
      <sharedItems containsNonDate="0" containsString="0" containsBlank="1"/>
    </cacheField>
    <cacheField name="%ART con factor Ar_S( ≥ 14)" numFmtId="0">
      <sharedItems containsNonDate="0" containsString="0" containsBlank="1"/>
    </cacheField>
    <cacheField name="%FIBRA" numFmtId="0">
      <sharedItems containsNonDate="0" containsString="0" containsBlank="1"/>
    </cacheField>
    <cacheField name="Q(%PUREZA_S)" numFmtId="0">
      <sharedItems containsNonDate="0" containsString="0" containsBlank="1"/>
    </cacheField>
    <cacheField name="Impureza Mineral Final≤ 6.00 (kg/tn (Sucio-Blanco)" numFmtId="0">
      <sharedItems containsNonDate="0" containsString="0" containsBlank="1"/>
    </cacheField>
    <cacheField name="Hojas (Kg/T)" numFmtId="0">
      <sharedItems containsNonDate="0" containsString="0" containsBlank="1"/>
    </cacheField>
    <cacheField name="Cogollo (Kg/T)" numFmtId="0">
      <sharedItems containsNonDate="0" containsString="0" containsBlank="1"/>
    </cacheField>
    <cacheField name="Raices (Kg/T)" numFmtId="0">
      <sharedItems containsNonDate="0" containsString="0" containsBlank="1"/>
    </cacheField>
    <cacheField name="Identificación de la Materia Extraña (Kg/T)" numFmtId="0">
      <sharedItems containsNonDate="0" containsString="0" containsBlank="1"/>
    </cacheField>
    <cacheField name="Tierra (Kg/T)" numFmtId="0">
      <sharedItems containsNonDate="0" containsString="0" containsBlank="1"/>
    </cacheField>
    <cacheField name="Impureza vegetal ≤ 80 (Kg/T)" numFmtId="0">
      <sharedItems containsNonDate="0" containsString="0" containsBlank="1"/>
    </cacheField>
    <cacheField name="Análisis de %Humedad" numFmtId="0">
      <sharedItems containsNonDate="0" containsString="0" containsBlank="1"/>
    </cacheField>
    <cacheField name="%Humedad 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">
  <r>
    <x v="0"/>
    <x v="0"/>
    <n v="1321173"/>
    <m/>
    <m/>
    <m/>
    <m/>
    <n v="13.399998666662785"/>
    <n v="64.13"/>
    <x v="0"/>
  </r>
  <r>
    <x v="0"/>
    <x v="0"/>
    <n v="1321189"/>
    <m/>
    <m/>
    <m/>
    <m/>
    <n v="5.4333316666278613"/>
    <n v="61.79"/>
    <x v="0"/>
  </r>
  <r>
    <x v="0"/>
    <x v="0"/>
    <n v="1321209"/>
    <m/>
    <m/>
    <m/>
    <m/>
    <n v="4.7833316666511445"/>
    <n v="57.5"/>
    <x v="1"/>
  </r>
  <r>
    <x v="0"/>
    <x v="0"/>
    <n v="1321168"/>
    <m/>
    <m/>
    <m/>
    <m/>
    <n v="10.583332000069849"/>
    <n v="64.540000000000006"/>
    <x v="1"/>
  </r>
  <r>
    <x v="0"/>
    <x v="0"/>
    <n v="1321197"/>
    <m/>
    <m/>
    <m/>
    <m/>
    <n v="5.8666659998835851"/>
    <n v="64.13"/>
    <x v="2"/>
  </r>
  <r>
    <x v="0"/>
    <x v="0"/>
    <n v="1321164"/>
    <m/>
    <m/>
    <m/>
    <m/>
    <n v="10.099998333325571"/>
    <n v="68.72"/>
    <x v="2"/>
  </r>
  <r>
    <x v="0"/>
    <x v="0"/>
    <n v="1321167"/>
    <m/>
    <m/>
    <m/>
    <m/>
    <n v="13.54999933330229"/>
    <n v="57.33"/>
    <x v="3"/>
  </r>
  <r>
    <x v="0"/>
    <x v="0"/>
    <n v="1321223"/>
    <m/>
    <m/>
    <m/>
    <m/>
    <n v="5.8333326666278618"/>
    <n v="56.46"/>
    <x v="3"/>
  </r>
  <r>
    <x v="0"/>
    <x v="0"/>
    <n v="1321166"/>
    <m/>
    <m/>
    <m/>
    <m/>
    <n v="14.316665999953434"/>
    <n v="56.5"/>
    <x v="4"/>
  </r>
  <r>
    <x v="0"/>
    <x v="0"/>
    <n v="1321215"/>
    <m/>
    <m/>
    <m/>
    <m/>
    <n v="11.233332666744277"/>
    <n v="57.83"/>
    <x v="4"/>
  </r>
  <r>
    <x v="0"/>
    <x v="0"/>
    <n v="1321178"/>
    <m/>
    <m/>
    <m/>
    <m/>
    <n v="14.149998666802485"/>
    <n v="61.89"/>
    <x v="5"/>
  </r>
  <r>
    <x v="0"/>
    <x v="0"/>
    <n v="1321217"/>
    <m/>
    <m/>
    <m/>
    <m/>
    <n v="10.733332333290647"/>
    <n v="65.62"/>
    <x v="5"/>
  </r>
  <r>
    <x v="0"/>
    <x v="0"/>
    <n v="1321172"/>
    <m/>
    <m/>
    <m/>
    <m/>
    <n v="10.883332666627863"/>
    <n v="62.82"/>
    <x v="6"/>
  </r>
  <r>
    <x v="0"/>
    <x v="0"/>
    <n v="1321150"/>
    <m/>
    <m/>
    <m/>
    <m/>
    <n v="11.316665999883584"/>
    <n v="65.599999999999994"/>
    <x v="6"/>
  </r>
  <r>
    <x v="0"/>
    <x v="0"/>
    <n v="1321218"/>
    <m/>
    <m/>
    <m/>
    <m/>
    <n v="6.2666656666744274"/>
    <n v="59.12"/>
    <x v="7"/>
  </r>
  <r>
    <x v="0"/>
    <x v="0"/>
    <n v="1321203"/>
    <m/>
    <m/>
    <m/>
    <m/>
    <n v="8.7999990000814918"/>
    <n v="66.61"/>
    <x v="7"/>
  </r>
  <r>
    <x v="0"/>
    <x v="0"/>
    <n v="1321199"/>
    <m/>
    <m/>
    <m/>
    <m/>
    <n v="8.6333326666395038"/>
    <n v="59.77"/>
    <x v="8"/>
  </r>
  <r>
    <x v="0"/>
    <x v="0"/>
    <n v="1321170"/>
    <m/>
    <m/>
    <m/>
    <m/>
    <n v="10.716665666639503"/>
    <n v="66.14"/>
    <x v="8"/>
  </r>
  <r>
    <x v="0"/>
    <x v="0"/>
    <n v="1321174"/>
    <m/>
    <m/>
    <m/>
    <m/>
    <n v="13.433331999930152"/>
    <n v="57.88"/>
    <x v="9"/>
  </r>
  <r>
    <x v="0"/>
    <x v="0"/>
    <n v="1321201"/>
    <m/>
    <m/>
    <m/>
    <m/>
    <n v="4.5500000000931315"/>
    <n v="61.83"/>
    <x v="9"/>
  </r>
  <r>
    <x v="0"/>
    <x v="0"/>
    <n v="1321177"/>
    <m/>
    <m/>
    <m/>
    <m/>
    <n v="11.449998666639503"/>
    <n v="72.290000000000006"/>
    <x v="10"/>
  </r>
  <r>
    <x v="0"/>
    <x v="0"/>
    <n v="1321221"/>
    <m/>
    <m/>
    <m/>
    <m/>
    <n v="4.8166649999767168"/>
    <n v="66.930000000000007"/>
    <x v="10"/>
  </r>
  <r>
    <x v="0"/>
    <x v="0"/>
    <n v="1321222"/>
    <m/>
    <m/>
    <m/>
    <m/>
    <n v="10.633333000104773"/>
    <n v="56.65"/>
    <x v="11"/>
  </r>
  <r>
    <x v="0"/>
    <x v="0"/>
    <n v="1321206"/>
    <m/>
    <m/>
    <m/>
    <m/>
    <n v="5.4166659999534339"/>
    <n v="60.38"/>
    <x v="11"/>
  </r>
  <r>
    <x v="0"/>
    <x v="0"/>
    <n v="1321180"/>
    <m/>
    <m/>
    <m/>
    <m/>
    <n v="12.99999866661622"/>
    <n v="60.2"/>
    <x v="12"/>
  </r>
  <r>
    <x v="0"/>
    <x v="0"/>
    <n v="1321212"/>
    <m/>
    <m/>
    <m/>
    <m/>
    <n v="5.4333320000931327"/>
    <n v="59.34"/>
    <x v="12"/>
  </r>
  <r>
    <x v="0"/>
    <x v="0"/>
    <n v="1321151"/>
    <m/>
    <m/>
    <m/>
    <m/>
    <n v="11.099999000081491"/>
    <n v="65.97"/>
    <x v="13"/>
  </r>
  <r>
    <x v="0"/>
    <x v="0"/>
    <n v="1321192"/>
    <m/>
    <m/>
    <m/>
    <m/>
    <n v="5.3833316666162201"/>
    <n v="65.459999999999994"/>
    <x v="13"/>
  </r>
  <r>
    <x v="0"/>
    <x v="1"/>
    <n v="1321191"/>
    <m/>
    <m/>
    <m/>
    <m/>
    <n v="8.5666656667792012"/>
    <n v="61.06"/>
    <x v="14"/>
  </r>
  <r>
    <x v="0"/>
    <x v="1"/>
    <n v="1321198"/>
    <m/>
    <m/>
    <m/>
    <m/>
    <n v="3.6499993333022891"/>
    <n v="57.76"/>
    <x v="14"/>
  </r>
  <r>
    <x v="0"/>
    <x v="1"/>
    <n v="1321195"/>
    <m/>
    <m/>
    <m/>
    <m/>
    <n v="7.2333316666395024"/>
    <n v="56.97"/>
    <x v="15"/>
  </r>
  <r>
    <x v="0"/>
    <x v="1"/>
    <n v="1321207"/>
    <m/>
    <m/>
    <m/>
    <m/>
    <n v="9.5333323333721403"/>
    <n v="49.71"/>
    <x v="15"/>
  </r>
  <r>
    <x v="0"/>
    <x v="1"/>
    <n v="1321175"/>
    <m/>
    <m/>
    <m/>
    <m/>
    <n v="14.366665999953435"/>
    <n v="61.47"/>
    <x v="16"/>
  </r>
  <r>
    <x v="0"/>
    <x v="1"/>
    <n v="1321188"/>
    <m/>
    <m/>
    <m/>
    <m/>
    <n v="8.4166650000349232"/>
    <n v="60.4"/>
    <x v="16"/>
  </r>
  <r>
    <x v="0"/>
    <x v="1"/>
    <n v="1321181"/>
    <m/>
    <m/>
    <m/>
    <m/>
    <n v="3.8333330000698491"/>
    <n v="49.41"/>
    <x v="17"/>
  </r>
  <r>
    <x v="0"/>
    <x v="1"/>
    <n v="1321204"/>
    <m/>
    <m/>
    <m/>
    <m/>
    <n v="3.3999989999883589"/>
    <n v="46.24"/>
    <x v="17"/>
  </r>
  <r>
    <x v="0"/>
    <x v="1"/>
    <n v="1321169"/>
    <m/>
    <m/>
    <m/>
    <m/>
    <n v="14.116665666744277"/>
    <n v="54.07"/>
    <x v="18"/>
  </r>
  <r>
    <x v="0"/>
    <x v="1"/>
    <n v="1321182"/>
    <m/>
    <m/>
    <m/>
    <m/>
    <n v="11.11666500015134"/>
    <n v="56.33"/>
    <x v="18"/>
  </r>
  <r>
    <x v="0"/>
    <x v="1"/>
    <n v="1321220"/>
    <m/>
    <m/>
    <m/>
    <m/>
    <n v="6.9999996667559179"/>
    <n v="55.63"/>
    <x v="19"/>
  </r>
  <r>
    <x v="0"/>
    <x v="1"/>
    <n v="1321186"/>
    <m/>
    <m/>
    <m/>
    <m/>
    <n v="9.8333326665929377"/>
    <n v="55.14"/>
    <x v="19"/>
  </r>
  <r>
    <x v="0"/>
    <x v="1"/>
    <n v="1321193"/>
    <m/>
    <m/>
    <m/>
    <m/>
    <n v="3.1499990000582079"/>
    <n v="56.55"/>
    <x v="20"/>
  </r>
  <r>
    <x v="0"/>
    <x v="1"/>
    <n v="1321185"/>
    <m/>
    <m/>
    <m/>
    <m/>
    <n v="10.349999666697711"/>
    <n v="55.99"/>
    <x v="20"/>
  </r>
  <r>
    <x v="0"/>
    <x v="1"/>
    <n v="1321213"/>
    <m/>
    <m/>
    <m/>
    <m/>
    <n v="3.9333320000116418"/>
    <n v="59.31"/>
    <x v="21"/>
  </r>
  <r>
    <x v="0"/>
    <x v="1"/>
    <n v="1321216"/>
    <m/>
    <m/>
    <m/>
    <m/>
    <n v="11.283331999965077"/>
    <n v="57.7"/>
    <x v="21"/>
  </r>
  <r>
    <x v="0"/>
    <x v="1"/>
    <n v="1321190"/>
    <m/>
    <m/>
    <m/>
    <m/>
    <n v="6.6333323333372141"/>
    <n v="60.1"/>
    <x v="22"/>
  </r>
  <r>
    <x v="0"/>
    <x v="1"/>
    <n v="1321210"/>
    <m/>
    <m/>
    <m/>
    <m/>
    <n v="3.6833330000582079"/>
    <n v="50.62"/>
    <x v="22"/>
  </r>
  <r>
    <x v="0"/>
    <x v="1"/>
    <n v="1321196"/>
    <m/>
    <m/>
    <m/>
    <m/>
    <n v="7.0999986666278616"/>
    <n v="63.16"/>
    <x v="23"/>
  </r>
  <r>
    <x v="0"/>
    <x v="1"/>
    <n v="1321187"/>
    <m/>
    <m/>
    <m/>
    <m/>
    <n v="9.466666666790843"/>
    <n v="54.08"/>
    <x v="23"/>
  </r>
  <r>
    <x v="0"/>
    <x v="1"/>
    <n v="1321149"/>
    <m/>
    <m/>
    <m/>
    <m/>
    <n v="13.183332666767559"/>
    <n v="69.430000000000007"/>
    <x v="24"/>
  </r>
  <r>
    <x v="0"/>
    <x v="1"/>
    <n v="1321194"/>
    <m/>
    <m/>
    <m/>
    <m/>
    <n v="2.8833326666162202"/>
    <n v="58.77"/>
    <x v="24"/>
  </r>
  <r>
    <x v="0"/>
    <x v="1"/>
    <n v="1321171"/>
    <m/>
    <m/>
    <m/>
    <m/>
    <n v="10.199999333337214"/>
    <n v="64.11"/>
    <x v="25"/>
  </r>
  <r>
    <x v="0"/>
    <x v="1"/>
    <n v="1321211"/>
    <m/>
    <m/>
    <m/>
    <m/>
    <n v="10.399999333348855"/>
    <n v="61.75"/>
    <x v="25"/>
  </r>
  <r>
    <x v="0"/>
    <x v="1"/>
    <n v="1321184"/>
    <m/>
    <m/>
    <m/>
    <m/>
    <n v="11.816665999941792"/>
    <n v="59.19"/>
    <x v="26"/>
  </r>
  <r>
    <x v="0"/>
    <x v="1"/>
    <n v="1321152"/>
    <m/>
    <m/>
    <m/>
    <m/>
    <n v="14.666665666639503"/>
    <n v="64.16"/>
    <x v="26"/>
  </r>
  <r>
    <x v="0"/>
    <x v="1"/>
    <n v="1321179"/>
    <m/>
    <m/>
    <m/>
    <m/>
    <n v="6.3333326665696532"/>
    <n v="56.53"/>
    <x v="27"/>
  </r>
  <r>
    <x v="0"/>
    <x v="1"/>
    <n v="1321146"/>
    <m/>
    <m/>
    <m/>
    <m/>
    <n v="9.6499983333139312"/>
    <n v="55.13"/>
    <x v="27"/>
  </r>
  <r>
    <x v="0"/>
    <x v="1"/>
    <n v="1321200"/>
    <m/>
    <m/>
    <m/>
    <m/>
    <n v="3.3999989999185094"/>
    <n v="49.15"/>
    <x v="28"/>
  </r>
  <r>
    <x v="0"/>
    <x v="2"/>
    <n v="1321205"/>
    <m/>
    <m/>
    <m/>
    <m/>
    <n v="5.9833323332207993"/>
    <n v="53.31"/>
    <x v="29"/>
  </r>
  <r>
    <x v="0"/>
    <x v="2"/>
    <n v="1321202"/>
    <m/>
    <m/>
    <m/>
    <m/>
    <n v="3.0499999999417922"/>
    <n v="58.9"/>
    <x v="29"/>
  </r>
  <r>
    <x v="0"/>
    <x v="2"/>
    <n v="1321219"/>
    <m/>
    <m/>
    <m/>
    <m/>
    <n v="3.6333320001164155"/>
    <n v="57.84"/>
    <x v="30"/>
  </r>
  <r>
    <x v="0"/>
    <x v="2"/>
    <n v="1321208"/>
    <m/>
    <m/>
    <m/>
    <m/>
    <n v="3.3499986665929367"/>
    <n v="55.57"/>
    <x v="30"/>
  </r>
  <r>
    <x v="0"/>
    <x v="2"/>
    <n v="1321214"/>
    <m/>
    <m/>
    <m/>
    <m/>
    <n v="4.2499989999534336"/>
    <n v="57.97"/>
    <x v="31"/>
  </r>
  <r>
    <x v="0"/>
    <x v="3"/>
    <n v="1321183"/>
    <m/>
    <m/>
    <m/>
    <m/>
    <n v="10.233332333337215"/>
    <n v="51.91"/>
    <x v="32"/>
  </r>
  <r>
    <x v="0"/>
    <x v="3"/>
    <n v="1321147"/>
    <m/>
    <m/>
    <m/>
    <m/>
    <n v="6.8333326666162204"/>
    <n v="54.32"/>
    <x v="32"/>
  </r>
  <r>
    <x v="0"/>
    <x v="3"/>
    <n v="1321165"/>
    <m/>
    <m/>
    <m/>
    <m/>
    <n v="10.183332000081492"/>
    <n v="58.79"/>
    <x v="33"/>
  </r>
  <r>
    <x v="0"/>
    <x v="3"/>
    <n v="1321148"/>
    <m/>
    <m/>
    <m/>
    <m/>
    <n v="10.733332666627861"/>
    <n v="62.13"/>
    <x v="33"/>
  </r>
  <r>
    <x v="0"/>
    <x v="3"/>
    <n v="1321176"/>
    <m/>
    <m/>
    <m/>
    <m/>
    <n v="11.399998666627862"/>
    <n v="62.25"/>
    <x v="3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R1"/>
    <d v="1899-12-31T00:00:00"/>
    <s v="ENERO"/>
    <d v="1899-12-31T00:00:00"/>
    <d v="1900-01-02T00:00:00"/>
    <d v="1899-12-31T00:00:00"/>
    <m/>
    <m/>
    <m/>
    <m/>
    <m/>
    <m/>
    <m/>
    <m/>
    <m/>
    <m/>
    <m/>
    <m/>
    <m/>
    <m/>
    <m/>
    <m/>
    <m/>
    <m/>
    <m/>
    <m/>
    <m/>
    <m/>
    <m/>
    <m/>
    <m/>
    <m/>
    <m/>
    <m/>
  </r>
  <r>
    <s v="R2"/>
    <d v="1899-12-31T00:00:00"/>
    <s v="ENERO"/>
    <d v="1899-12-31T00:00:00"/>
    <d v="1900-01-02T00:00:00"/>
    <d v="1899-12-31T00:00:00"/>
    <m/>
    <m/>
    <m/>
    <m/>
    <m/>
    <m/>
    <m/>
    <m/>
    <m/>
    <m/>
    <m/>
    <m/>
    <m/>
    <m/>
    <m/>
    <m/>
    <m/>
    <m/>
    <m/>
    <m/>
    <m/>
    <m/>
    <m/>
    <m/>
    <m/>
    <m/>
    <m/>
    <m/>
  </r>
  <r>
    <s v="R3"/>
    <d v="1899-12-31T00:00:00"/>
    <s v="ENERO"/>
    <d v="1899-12-31T00:00:00"/>
    <d v="1900-01-02T00:00:00"/>
    <d v="1899-12-30T15:07:12"/>
    <m/>
    <m/>
    <m/>
    <m/>
    <m/>
    <m/>
    <m/>
    <m/>
    <m/>
    <m/>
    <m/>
    <m/>
    <m/>
    <m/>
    <m/>
    <m/>
    <m/>
    <m/>
    <m/>
    <m/>
    <m/>
    <m/>
    <m/>
    <m/>
    <m/>
    <m/>
    <m/>
    <m/>
  </r>
  <r>
    <s v="R1"/>
    <d v="1899-12-31T00:00:00"/>
    <s v="ENERO"/>
    <d v="1899-12-31T00:00:00"/>
    <d v="1900-01-03T00:00:00"/>
    <d v="1899-12-30T23:45:36"/>
    <m/>
    <m/>
    <m/>
    <m/>
    <m/>
    <m/>
    <m/>
    <m/>
    <m/>
    <m/>
    <m/>
    <m/>
    <m/>
    <m/>
    <m/>
    <m/>
    <m/>
    <m/>
    <m/>
    <m/>
    <m/>
    <m/>
    <m/>
    <m/>
    <m/>
    <m/>
    <m/>
    <m/>
  </r>
  <r>
    <s v="R2"/>
    <d v="1899-12-31T00:00:00"/>
    <s v="ENERO"/>
    <d v="1899-12-31T00:00:00"/>
    <d v="1900-01-03T00:00:00"/>
    <d v="1899-12-30T23:16:48"/>
    <m/>
    <m/>
    <m/>
    <m/>
    <m/>
    <m/>
    <m/>
    <m/>
    <m/>
    <m/>
    <m/>
    <m/>
    <m/>
    <m/>
    <m/>
    <m/>
    <m/>
    <m/>
    <m/>
    <m/>
    <m/>
    <m/>
    <m/>
    <m/>
    <m/>
    <m/>
    <m/>
    <m/>
  </r>
  <r>
    <s v="R3"/>
    <d v="1899-12-31T00:00:00"/>
    <s v="ENERO"/>
    <d v="1899-12-31T00:00:00"/>
    <d v="1900-01-03T00:00:00"/>
    <d v="1899-12-30T10:33:36"/>
    <m/>
    <m/>
    <m/>
    <m/>
    <m/>
    <m/>
    <m/>
    <m/>
    <m/>
    <m/>
    <m/>
    <m/>
    <m/>
    <m/>
    <m/>
    <m/>
    <m/>
    <m/>
    <m/>
    <m/>
    <m/>
    <m/>
    <m/>
    <m/>
    <m/>
    <m/>
    <m/>
    <m/>
  </r>
  <r>
    <s v="R1"/>
    <d v="1899-12-31T00:00:00"/>
    <s v="ENERO"/>
    <d v="1899-12-31T00:00:00"/>
    <d v="1900-01-04T00:00:00"/>
    <d v="1899-12-30T22:48:00"/>
    <m/>
    <m/>
    <m/>
    <m/>
    <m/>
    <m/>
    <m/>
    <m/>
    <m/>
    <m/>
    <m/>
    <m/>
    <m/>
    <m/>
    <m/>
    <m/>
    <m/>
    <m/>
    <m/>
    <m/>
    <m/>
    <m/>
    <m/>
    <m/>
    <m/>
    <m/>
    <m/>
    <m/>
  </r>
  <r>
    <s v="R2"/>
    <d v="1899-12-31T00:00:00"/>
    <s v="ENERO"/>
    <d v="1899-12-31T00:00:00"/>
    <d v="1900-01-04T00:00:00"/>
    <d v="1899-12-30T21:50:24"/>
    <m/>
    <m/>
    <m/>
    <m/>
    <m/>
    <m/>
    <m/>
    <m/>
    <m/>
    <m/>
    <m/>
    <m/>
    <m/>
    <m/>
    <m/>
    <m/>
    <m/>
    <m/>
    <m/>
    <m/>
    <m/>
    <m/>
    <m/>
    <m/>
    <m/>
    <m/>
    <m/>
    <m/>
  </r>
  <r>
    <s v="R3"/>
    <d v="1899-12-31T00:00:00"/>
    <s v="ENERO"/>
    <d v="1899-12-31T00:00:00"/>
    <d v="1900-01-04T00:00:00"/>
    <d v="1899-12-30T19:12:00"/>
    <m/>
    <m/>
    <m/>
    <m/>
    <m/>
    <m/>
    <m/>
    <m/>
    <m/>
    <m/>
    <m/>
    <m/>
    <m/>
    <m/>
    <m/>
    <m/>
    <m/>
    <m/>
    <m/>
    <m/>
    <m/>
    <m/>
    <m/>
    <m/>
    <m/>
    <m/>
    <m/>
    <m/>
  </r>
  <r>
    <s v="R1"/>
    <d v="1899-12-31T00:00:00"/>
    <s v="ENERO"/>
    <d v="1899-12-31T00:00:00"/>
    <d v="1900-01-05T00:00:00"/>
    <d v="1899-12-30T16:19:12"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E24B58-8A28-48D4-8183-220DB695F690}" name="Tabla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:C18" firstHeaderRow="1" firstDataRow="1" firstDataCol="0"/>
  <pivotFields count="34">
    <pivotField showAll="0"/>
    <pivotField numFmtId="168" showAll="0"/>
    <pivotField showAll="0"/>
    <pivotField numFmtId="168" showAll="0"/>
    <pivotField numFmtId="168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9BC9A1-6CA2-4030-B7B2-A094344441BA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rowHeaderCaption="2cañeras">
  <location ref="M5:P41" firstHeaderRow="0" firstDataRow="1" firstDataCol="2" rowPageCount="1" colPageCount="1"/>
  <pivotFields count="10">
    <pivotField axis="axisPage" compact="0" numFmtId="14" outline="0" showAll="0">
      <items count="2">
        <item x="0"/>
        <item t="default"/>
      </items>
    </pivotField>
    <pivotField axis="axisRow" compact="0" outline="0" showAll="0" sortType="ascending" defaultSubtotal="0">
      <items count="8">
        <item m="1" x="4"/>
        <item x="0"/>
        <item m="1" x="7"/>
        <item x="1"/>
        <item x="2"/>
        <item m="1" x="5"/>
        <item x="3"/>
        <item m="1" x="6"/>
      </items>
    </pivotField>
    <pivotField compact="0" outline="0" showAll="0"/>
    <pivotField compact="0" outline="0" showAll="0"/>
    <pivotField compact="0" numFmtId="166" outline="0" showAll="0"/>
    <pivotField compact="0" numFmtId="166" outline="0" showAll="0"/>
    <pivotField compact="0" numFmtId="166" outline="0" showAll="0"/>
    <pivotField dataField="1" compact="0" numFmtId="166" outline="0" showAll="0"/>
    <pivotField dataField="1" compact="0" numFmtId="166" outline="0" showAll="0"/>
    <pivotField axis="axisRow" compact="0" outline="0" showAll="0">
      <items count="54">
        <item x="0"/>
        <item x="1"/>
        <item x="2"/>
        <item m="1" x="48"/>
        <item x="3"/>
        <item m="1" x="42"/>
        <item m="1" x="46"/>
        <item m="1" x="52"/>
        <item x="4"/>
        <item x="5"/>
        <item x="6"/>
        <item m="1" x="39"/>
        <item m="1" x="47"/>
        <item m="1" x="44"/>
        <item x="7"/>
        <item x="8"/>
        <item m="1" x="43"/>
        <item m="1" x="40"/>
        <item x="9"/>
        <item m="1" x="50"/>
        <item m="1" x="38"/>
        <item x="10"/>
        <item m="1" x="45"/>
        <item m="1" x="37"/>
        <item x="11"/>
        <item m="1" x="41"/>
        <item m="1" x="51"/>
        <item x="12"/>
        <item m="1" x="49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35"/>
        <item m="1" x="36"/>
        <item t="default"/>
      </items>
    </pivotField>
  </pivotFields>
  <rowFields count="2">
    <field x="1"/>
    <field x="9"/>
  </rowFields>
  <rowItems count="36">
    <i>
      <x v="1"/>
      <x/>
    </i>
    <i r="1">
      <x v="1"/>
    </i>
    <i r="1">
      <x v="2"/>
    </i>
    <i r="1">
      <x v="4"/>
    </i>
    <i r="1">
      <x v="8"/>
    </i>
    <i r="1">
      <x v="9"/>
    </i>
    <i r="1">
      <x v="10"/>
    </i>
    <i r="1">
      <x v="14"/>
    </i>
    <i r="1">
      <x v="15"/>
    </i>
    <i r="1">
      <x v="18"/>
    </i>
    <i r="1">
      <x v="21"/>
    </i>
    <i r="1">
      <x v="24"/>
    </i>
    <i r="1">
      <x v="27"/>
    </i>
    <i r="1">
      <x v="29"/>
    </i>
    <i>
      <x v="3"/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>
      <x v="4"/>
      <x v="45"/>
    </i>
    <i r="1">
      <x v="46"/>
    </i>
    <i r="1">
      <x v="47"/>
    </i>
    <i>
      <x v="6"/>
      <x v="48"/>
    </i>
    <i r="1">
      <x v="49"/>
    </i>
    <i r="1">
      <x v="50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Promedio de T_Total" fld="7" subtotal="average" baseField="9" baseItem="0" numFmtId="166"/>
    <dataField name="Suma de TN" fld="8" baseField="0" baseItem="0" numFmtId="166"/>
  </dataFields>
  <formats count="7">
    <format dxfId="125">
      <pivotArea type="all" dataOnly="0" outline="0" fieldPosition="0"/>
    </format>
    <format dxfId="124">
      <pivotArea field="1" type="button" dataOnly="0" labelOnly="1" outline="0" axis="axisRow" fieldPosition="0"/>
    </format>
    <format dxfId="123">
      <pivotArea dataOnly="0" labelOnly="1" outline="0" fieldPosition="0">
        <references count="1">
          <reference field="1" count="0"/>
        </references>
      </pivotArea>
    </format>
    <format dxfId="122">
      <pivotArea outline="0" collapsedLevelsAreSubtotals="1" fieldPosition="0"/>
    </format>
    <format dxfId="121">
      <pivotArea field="9" type="button" dataOnly="0" labelOnly="1" outline="0" axis="axisRow" fieldPosition="1"/>
    </format>
    <format dxfId="120">
      <pivotArea dataOnly="0" labelOnly="1" grandRow="1" outline="0" fieldPosition="0"/>
    </format>
    <format dxfId="1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.183.104.4 BiosChira TALHAO" connectionId="1" xr16:uid="{00000000-0016-0000-0200-000000000000}" autoFormatId="16" applyNumberFormats="0" applyBorderFormats="0" applyFontFormats="0" applyPatternFormats="0" applyAlignmentFormats="0" applyWidthHeightFormats="0">
  <queryTableRefresh nextId="205" unboundColumnsLeft="1" unboundColumnsRight="40">
    <queryTableFields count="106">
      <queryTableField id="120" dataBound="0" tableColumnId="71"/>
      <queryTableField id="140" name="fecha_muestra" tableColumnId="2"/>
      <queryTableField id="141" name="fecha_salida" tableColumnId="3"/>
      <queryTableField id="142" name="turno" tableColumnId="4"/>
      <queryTableField id="143" name="analista" tableColumnId="5"/>
      <queryTableField id="144" name="boletin_analisis" tableColumnId="6"/>
      <queryTableField id="145" name="liberacion" tableColumnId="7"/>
      <queryTableField id="146" name="cañera" tableColumnId="8"/>
      <queryTableField id="147" name="equipo" tableColumnId="9"/>
      <queryTableField id="148" name="turno_2" tableColumnId="10"/>
      <queryTableField id="149" name="parcela" tableColumnId="11"/>
      <queryTableField id="150" name="sector" tableColumnId="12"/>
      <queryTableField id="151" name="variedad" tableColumnId="13"/>
      <queryTableField id="152" name="tipo_caracteristica" tableColumnId="14"/>
      <queryTableField id="153" name="ph" tableColumnId="15"/>
      <queryTableField id="154" name="peso_bagazo" tableColumnId="16"/>
      <queryTableField id="155" name="brix_1" tableColumnId="17"/>
      <queryTableField id="156" name="brix_2" tableColumnId="18"/>
      <queryTableField id="157" name="brix_promedio" tableColumnId="19"/>
      <queryTableField id="158" name="lect_sacarimetrica" tableColumnId="20"/>
      <queryTableField id="159" name="pol_s" tableColumnId="21"/>
      <queryTableField id="160" name="coeficiente_s" tableColumnId="22"/>
      <queryTableField id="161" name="factor_ar" tableColumnId="23"/>
      <queryTableField id="162" name="ar_caldo" tableColumnId="24"/>
      <queryTableField id="163" name="atr_cana" tableColumnId="25"/>
      <queryTableField id="164" name="pesoinicial_muestrasucio" tableColumnId="26"/>
      <queryTableField id="165" name="pesofinal_muestrasucio" tableColumnId="27"/>
      <queryTableField id="166" name="pesoinicial_muestrablanco" tableColumnId="29"/>
      <queryTableField id="167" name="pesofinal_muestrablanco" tableColumnId="31"/>
      <queryTableField id="168" name="pesototal_muestra" tableColumnId="37"/>
      <queryTableField id="169" name="peso_hojas" tableColumnId="38"/>
      <queryTableField id="170" name="peso_cogollo" tableColumnId="41"/>
      <queryTableField id="171" name="peso_raices" tableColumnId="42"/>
      <queryTableField id="172" name="peso_materiaextrana" tableColumnId="43"/>
      <queryTableField id="173" name="peso_tierra" tableColumnId="44"/>
      <queryTableField id="174" name="peso_impureza" tableColumnId="55"/>
      <queryTableField id="175" name="brix" tableColumnId="56"/>
      <queryTableField id="176" name="pc_polcana" tableColumnId="57"/>
      <queryTableField id="177" name="arc_s" tableColumnId="67"/>
      <queryTableField id="178" name="art_confactor" tableColumnId="68"/>
      <queryTableField id="179" name="fibra" tableColumnId="69"/>
      <queryTableField id="180" name="pureza_s" tableColumnId="70"/>
      <queryTableField id="181" name="impureza_mineralsucio" tableColumnId="72"/>
      <queryTableField id="182" name="impureza_mineralblanco" tableColumnId="73"/>
      <queryTableField id="183" name="impureza_final" tableColumnId="74"/>
      <queryTableField id="184" name="hojas" tableColumnId="75"/>
      <queryTableField id="185" name="cogollo" tableColumnId="76"/>
      <queryTableField id="186" name="raices" tableColumnId="77"/>
      <queryTableField id="187" name="identificacion_materiaextrana" tableColumnId="90"/>
      <queryTableField id="188" name="tierra" tableColumnId="91"/>
      <queryTableField id="189" name="impureza_vegetal" tableColumnId="92"/>
      <queryTableField id="190" name="peso_inicial" tableColumnId="93"/>
      <queryTableField id="191" name="peso_final" tableColumnId="94"/>
      <queryTableField id="192" name="humedad" tableColumnId="95"/>
      <queryTableField id="193" name="codigoFundo" tableColumnId="96"/>
      <queryTableField id="194" name="observaciones" tableColumnId="97"/>
      <queryTableField id="195" name="INTEGRADO" tableColumnId="98"/>
      <queryTableField id="196" name="EDITADO" tableColumnId="99"/>
      <queryTableField id="197" name="fecha_registro" tableColumnId="100"/>
      <queryTableField id="198" name="fecha_modificacion" tableColumnId="101"/>
      <queryTableField id="199" name="fundo_fk.codigo" tableColumnId="102"/>
      <queryTableField id="200" name="fundo_fk.referencia" tableColumnId="103"/>
      <queryTableField id="201" name="fundo_fk.descripcion" tableColumnId="104"/>
      <queryTableField id="202" name="fundo_fk.tipo_fundo" tableColumnId="105"/>
      <queryTableField id="203" name="fundo_fk.estado" tableColumnId="106"/>
      <queryTableField id="204" name="fundo_fk.codigo_biosalc" tableColumnId="107"/>
      <queryTableField id="76" dataBound="0" tableColumnId="35"/>
      <queryTableField id="79" dataBound="0" tableColumnId="36"/>
      <queryTableField id="78" dataBound="0" tableColumnId="28"/>
      <queryTableField id="73" dataBound="0" tableColumnId="32"/>
      <queryTableField id="75" dataBound="0" tableColumnId="34"/>
      <queryTableField id="77" dataBound="0" tableColumnId="33"/>
      <queryTableField id="80" dataBound="0" tableColumnId="30"/>
      <queryTableField id="84" dataBound="0" tableColumnId="39"/>
      <queryTableField id="88" dataBound="0" tableColumnId="40"/>
      <queryTableField id="94" dataBound="0" tableColumnId="45"/>
      <queryTableField id="95" dataBound="0" tableColumnId="46"/>
      <queryTableField id="96" dataBound="0" tableColumnId="47"/>
      <queryTableField id="97" dataBound="0" tableColumnId="48"/>
      <queryTableField id="98" dataBound="0" tableColumnId="49"/>
      <queryTableField id="99" dataBound="0" tableColumnId="50"/>
      <queryTableField id="100" dataBound="0" tableColumnId="51"/>
      <queryTableField id="101" dataBound="0" tableColumnId="52"/>
      <queryTableField id="102" dataBound="0" tableColumnId="53"/>
      <queryTableField id="103" dataBound="0" tableColumnId="54"/>
      <queryTableField id="107" dataBound="0" tableColumnId="58"/>
      <queryTableField id="108" dataBound="0" tableColumnId="59"/>
      <queryTableField id="109" dataBound="0" tableColumnId="60"/>
      <queryTableField id="110" dataBound="0" tableColumnId="61"/>
      <queryTableField id="111" dataBound="0" tableColumnId="62"/>
      <queryTableField id="112" dataBound="0" tableColumnId="63"/>
      <queryTableField id="113" dataBound="0" tableColumnId="64"/>
      <queryTableField id="114" dataBound="0" tableColumnId="65"/>
      <queryTableField id="115" dataBound="0" tableColumnId="66"/>
      <queryTableField id="127" dataBound="0" tableColumnId="78"/>
      <queryTableField id="128" dataBound="0" tableColumnId="79"/>
      <queryTableField id="129" dataBound="0" tableColumnId="80"/>
      <queryTableField id="130" dataBound="0" tableColumnId="81"/>
      <queryTableField id="131" dataBound="0" tableColumnId="82"/>
      <queryTableField id="132" dataBound="0" tableColumnId="83"/>
      <queryTableField id="133" dataBound="0" tableColumnId="84"/>
      <queryTableField id="134" dataBound="0" tableColumnId="85"/>
      <queryTableField id="135" dataBound="0" tableColumnId="86"/>
      <queryTableField id="136" dataBound="0" tableColumnId="87"/>
      <queryTableField id="137" dataBound="0" tableColumnId="88"/>
      <queryTableField id="138" dataBound="0" tableColumnId="8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SIOP" displayName="SIOP" ref="A1:DB27" tableType="queryTable" totalsRowShown="0" headerRowDxfId="128" dataDxfId="126" headerRowBorderDxfId="127">
  <tableColumns count="106">
    <tableColumn id="71" xr3:uid="{C98BAB33-18DA-4089-8D89-BEE4C9C3ED53}" uniqueName="71" name="adiocnkal" queryTableFieldId="120" dataDxfId="105"/>
    <tableColumn id="2" xr3:uid="{20F9344C-0583-4ADC-A579-774D9BFCEA3C}" uniqueName="2" name="fecha_muestra" queryTableFieldId="140" dataDxfId="104"/>
    <tableColumn id="3" xr3:uid="{F446A3BF-8A50-4FCB-9DAD-8A7C1F08D122}" uniqueName="3" name="fecha_salida" queryTableFieldId="141" dataDxfId="103"/>
    <tableColumn id="4" xr3:uid="{4DC86A35-F0E8-46F8-B4E5-DF192CC775A9}" uniqueName="4" name="turno" queryTableFieldId="142" dataDxfId="102"/>
    <tableColumn id="5" xr3:uid="{0E82B5B6-8FD4-49D0-BEE0-3F5600B0B99B}" uniqueName="5" name="analista" queryTableFieldId="143" dataDxfId="101"/>
    <tableColumn id="6" xr3:uid="{317DD913-AC13-4070-8E33-5D2FE7FBA61D}" uniqueName="6" name="boletin_analisis" queryTableFieldId="144" dataDxfId="100"/>
    <tableColumn id="7" xr3:uid="{10E72E3D-386D-4497-B28C-78AD8C243345}" uniqueName="7" name="liberacion" queryTableFieldId="145" dataDxfId="99"/>
    <tableColumn id="8" xr3:uid="{E848ACB8-7CFA-42A1-ABD4-BEBF0DA721F9}" uniqueName="8" name="cañera" queryTableFieldId="146" dataDxfId="98"/>
    <tableColumn id="9" xr3:uid="{E057AC4C-1350-402C-AC7B-483519118F8A}" uniqueName="9" name="equipo" queryTableFieldId="147" dataDxfId="97"/>
    <tableColumn id="10" xr3:uid="{52FE6E00-A9E0-444B-84D8-9D7CECB369AF}" uniqueName="10" name="turno_2" queryTableFieldId="148" dataDxfId="96"/>
    <tableColumn id="11" xr3:uid="{85261B24-A0B4-44D1-824B-D95BE3C17F0C}" uniqueName="11" name="parcela" queryTableFieldId="149" dataDxfId="95"/>
    <tableColumn id="12" xr3:uid="{0810515C-1A86-419F-968A-3FB1854DFB54}" uniqueName="12" name="sector" queryTableFieldId="150" dataDxfId="94"/>
    <tableColumn id="13" xr3:uid="{1EA7E5DA-9577-4109-AF35-B2DF2F899745}" uniqueName="13" name="variedad" queryTableFieldId="151" dataDxfId="93"/>
    <tableColumn id="14" xr3:uid="{43E59F1D-553B-43D3-BAA4-A9A27E47B6D0}" uniqueName="14" name="tipo_caracteristica" queryTableFieldId="152" dataDxfId="92"/>
    <tableColumn id="15" xr3:uid="{2B97E33D-8885-4FE5-A690-520ABB47FE52}" uniqueName="15" name="ph" queryTableFieldId="153" dataDxfId="91"/>
    <tableColumn id="16" xr3:uid="{EBE05C3D-94A0-4DAD-85A8-B5D57BB29111}" uniqueName="16" name="peso_bagazo" queryTableFieldId="154" dataDxfId="90"/>
    <tableColumn id="17" xr3:uid="{FBC0BEA5-C442-43CB-A4E6-E744B8D0CB3F}" uniqueName="17" name="brix_1" queryTableFieldId="155" dataDxfId="89"/>
    <tableColumn id="18" xr3:uid="{FD57647A-5D4C-43C1-AD07-0991BB3011DA}" uniqueName="18" name="brix_2" queryTableFieldId="156" dataDxfId="88"/>
    <tableColumn id="19" xr3:uid="{1C3E9AE9-641F-432E-923D-7B85E962BB10}" uniqueName="19" name="brix_promedio" queryTableFieldId="157" dataDxfId="87"/>
    <tableColumn id="20" xr3:uid="{662CA89F-9AFB-47B8-8F5C-3CCE98598987}" uniqueName="20" name="lect_sacarimetrica" queryTableFieldId="158" dataDxfId="86"/>
    <tableColumn id="21" xr3:uid="{0C759AFE-C5D1-404D-BF86-B8AB8F8B03AB}" uniqueName="21" name="pol_s" queryTableFieldId="159" dataDxfId="85"/>
    <tableColumn id="22" xr3:uid="{F22E5562-E2C8-4699-84E9-0E100C853670}" uniqueName="22" name="coeficiente_s" queryTableFieldId="160" dataDxfId="84"/>
    <tableColumn id="23" xr3:uid="{8FD6A309-020B-4A9F-980D-1A32FB0BFA74}" uniqueName="23" name="factor_ar" queryTableFieldId="161" dataDxfId="83"/>
    <tableColumn id="24" xr3:uid="{0DB2B739-07AD-4EF0-A143-CDAB0E3C1ACC}" uniqueName="24" name="ar_caldo" queryTableFieldId="162" dataDxfId="82"/>
    <tableColumn id="25" xr3:uid="{A8AE78D2-2437-4B97-878F-117F31A38E98}" uniqueName="25" name="atr_cana" queryTableFieldId="163" dataDxfId="81"/>
    <tableColumn id="26" xr3:uid="{83075415-5DFF-48B4-93F3-D21E80EE07EB}" uniqueName="26" name="pesoinicial_muestrasucio" queryTableFieldId="164" dataDxfId="80"/>
    <tableColumn id="27" xr3:uid="{A4802D90-F9D0-4DD9-8583-8034C4922B83}" uniqueName="27" name="pesofinal_muestrasucio" queryTableFieldId="165" dataDxfId="79"/>
    <tableColumn id="29" xr3:uid="{48F863F2-0E53-4F30-8FFD-FC77167A054C}" uniqueName="29" name="pesoinicial_muestrablanco" queryTableFieldId="166" dataDxfId="78"/>
    <tableColumn id="31" xr3:uid="{DB4E2E87-96BA-4155-B74C-84FD4143D023}" uniqueName="31" name="pesofinal_muestrablanco" queryTableFieldId="167" dataDxfId="77"/>
    <tableColumn id="37" xr3:uid="{7A989A8D-89D7-435D-812C-18DEACE61D41}" uniqueName="37" name="pesototal_muestra" queryTableFieldId="168" dataDxfId="76"/>
    <tableColumn id="38" xr3:uid="{A7A3F75B-D58C-47E0-AF99-F735D1E74049}" uniqueName="38" name="peso_hojas" queryTableFieldId="169" dataDxfId="75"/>
    <tableColumn id="41" xr3:uid="{8C404B90-2767-43C1-8E27-959B57DE2581}" uniqueName="41" name="peso_cogollo" queryTableFieldId="170" dataDxfId="74"/>
    <tableColumn id="42" xr3:uid="{0FA73691-9FEF-4B8C-BC04-77337065BDD4}" uniqueName="42" name="peso_raices" queryTableFieldId="171" dataDxfId="73"/>
    <tableColumn id="43" xr3:uid="{A1E8B2BC-D035-4E08-B39F-C64390808928}" uniqueName="43" name="peso_materiaextrana" queryTableFieldId="172" dataDxfId="72"/>
    <tableColumn id="44" xr3:uid="{1839FB5A-0EE0-4164-8248-CDAEA34F8A85}" uniqueName="44" name="peso_tierra" queryTableFieldId="173" dataDxfId="71"/>
    <tableColumn id="55" xr3:uid="{A3FD657C-E85B-4EF4-855A-763B0456720D}" uniqueName="55" name="peso_impureza" queryTableFieldId="174" dataDxfId="70"/>
    <tableColumn id="56" xr3:uid="{E704762B-277A-4878-9DAB-DB3D218A208F}" uniqueName="56" name="brix" queryTableFieldId="175" dataDxfId="69"/>
    <tableColumn id="57" xr3:uid="{DEC3C0BF-1590-4D2A-BBBC-24B0E9FF2632}" uniqueName="57" name="pc_polcana" queryTableFieldId="176" dataDxfId="68"/>
    <tableColumn id="67" xr3:uid="{1325104A-0A90-4B24-BA3E-7EE9D3488792}" uniqueName="67" name="arc_s" queryTableFieldId="177" dataDxfId="67"/>
    <tableColumn id="68" xr3:uid="{F773102E-4050-45D1-B88A-A4065B404C96}" uniqueName="68" name="art_confactor" queryTableFieldId="178" dataDxfId="66"/>
    <tableColumn id="69" xr3:uid="{1919E875-BEA7-4E34-BEEE-7FDEC3D2CA0C}" uniqueName="69" name="fibra" queryTableFieldId="179" dataDxfId="65"/>
    <tableColumn id="70" xr3:uid="{2F4B16A0-8E32-4F52-B33D-69FA1BA46F4B}" uniqueName="70" name="pureza_s" queryTableFieldId="180" dataDxfId="64"/>
    <tableColumn id="72" xr3:uid="{5BC1E4FD-85AB-425C-A6F6-8EAB4D9BC16B}" uniqueName="72" name="impureza_mineralsucio" queryTableFieldId="181" dataDxfId="63"/>
    <tableColumn id="73" xr3:uid="{8F089285-6B23-49D6-A16A-F151DA2E234D}" uniqueName="73" name="impureza_mineralblanco" queryTableFieldId="182" dataDxfId="62"/>
    <tableColumn id="74" xr3:uid="{EFC82457-717E-45F7-B4CE-151E2C0F6589}" uniqueName="74" name="impureza_final" queryTableFieldId="183" dataDxfId="61"/>
    <tableColumn id="75" xr3:uid="{32DD15D2-9862-4664-92AA-0FF60DF7AAD5}" uniqueName="75" name="hojas" queryTableFieldId="184" dataDxfId="60"/>
    <tableColumn id="76" xr3:uid="{05716410-A81B-4CAA-B01E-E1267E392B7B}" uniqueName="76" name="cogollo" queryTableFieldId="185" dataDxfId="59"/>
    <tableColumn id="77" xr3:uid="{E9FC030F-61C5-48F9-A652-C5B8C8E1C427}" uniqueName="77" name="raices" queryTableFieldId="186" dataDxfId="58"/>
    <tableColumn id="90" xr3:uid="{E0E8478B-231E-4C0B-AE1A-DC8FA2B876C8}" uniqueName="90" name="identificacion_materiaextrana" queryTableFieldId="187" dataDxfId="57"/>
    <tableColumn id="91" xr3:uid="{FE4DD3E7-FEA0-4A8B-AFE4-8C8EA8004E4A}" uniqueName="91" name="tierra" queryTableFieldId="188" dataDxfId="56"/>
    <tableColumn id="92" xr3:uid="{5C36015F-555D-4510-BDA2-C81CA8E4EF31}" uniqueName="92" name="impureza_vegetal" queryTableFieldId="189" dataDxfId="55"/>
    <tableColumn id="93" xr3:uid="{2C1ABED5-DA01-43E6-8731-28DE542A88BF}" uniqueName="93" name="peso_inicial" queryTableFieldId="190" dataDxfId="54"/>
    <tableColumn id="94" xr3:uid="{584C62C5-9FC9-4E41-B357-EBBCFA6765ED}" uniqueName="94" name="peso_final" queryTableFieldId="191" dataDxfId="53"/>
    <tableColumn id="95" xr3:uid="{A2132037-C8AE-408D-AEBC-B673657DDEAE}" uniqueName="95" name="humedad" queryTableFieldId="192" dataDxfId="52"/>
    <tableColumn id="96" xr3:uid="{73454A31-9DA8-4200-843E-E34FFD7E3108}" uniqueName="96" name="codigoFundo" queryTableFieldId="193" dataDxfId="51"/>
    <tableColumn id="97" xr3:uid="{372FA7AF-8628-4340-9723-734764C2A7BE}" uniqueName="97" name="observaciones" queryTableFieldId="194" dataDxfId="50"/>
    <tableColumn id="98" xr3:uid="{3E81545D-BD02-403B-A4ED-E1E2F84B6ACA}" uniqueName="98" name="INTEGRADO" queryTableFieldId="195" dataDxfId="49"/>
    <tableColumn id="99" xr3:uid="{B92A777F-53A6-41A6-8C94-7278528F172C}" uniqueName="99" name="EDITADO" queryTableFieldId="196" dataDxfId="48"/>
    <tableColumn id="100" xr3:uid="{774E0905-2586-4139-BB79-923492C6557F}" uniqueName="100" name="fecha_registro" queryTableFieldId="197" dataDxfId="47"/>
    <tableColumn id="101" xr3:uid="{0E9288B7-C151-4A44-BDBF-1BCFD5CA2D59}" uniqueName="101" name="fecha_modificacion" queryTableFieldId="198" dataDxfId="46"/>
    <tableColumn id="102" xr3:uid="{3123BFD3-A576-4AD7-B52E-BF9CA38FB0F9}" uniqueName="102" name="fundo_fk.codigo" queryTableFieldId="199" dataDxfId="45"/>
    <tableColumn id="103" xr3:uid="{C00BC763-A980-4B47-91D8-FFAB75A4BE4E}" uniqueName="103" name="fundo_fk.referencia" queryTableFieldId="200" dataDxfId="44"/>
    <tableColumn id="104" xr3:uid="{680F7FFD-3FFD-4BB1-AE8D-7B7A832FBFB1}" uniqueName="104" name="fundo_fk.descripcion" queryTableFieldId="201" dataDxfId="43"/>
    <tableColumn id="105" xr3:uid="{408B1BF7-3D66-4159-A14D-9BAE08FD95ED}" uniqueName="105" name="fundo_fk.tipo_fundo" queryTableFieldId="202" dataDxfId="42"/>
    <tableColumn id="106" xr3:uid="{6E1145B3-2F97-4036-979F-4E5946C0B151}" uniqueName="106" name="fundo_fk.estado" queryTableFieldId="203" dataDxfId="41"/>
    <tableColumn id="107" xr3:uid="{7A2D083A-330C-4829-B4D7-465583DB659C}" uniqueName="107" name="fundo_fk.codigo_biosalc" queryTableFieldId="204" dataDxfId="40"/>
    <tableColumn id="35" xr3:uid="{00000000-0010-0000-0100-000023000000}" uniqueName="35" name="CAÑA COSECHADA" queryTableFieldId="76" dataDxfId="39"/>
    <tableColumn id="36" xr3:uid="{00000000-0010-0000-0100-000024000000}" uniqueName="36" name="BOLETIN DE ANÁLISIS (B.A)" queryTableFieldId="79" dataDxfId="38"/>
    <tableColumn id="28" xr3:uid="{00000000-0010-0000-0100-00001C000000}" uniqueName="28" name="Liberacion2" queryTableFieldId="78" dataDxfId="37"/>
    <tableColumn id="32" xr3:uid="{00000000-0010-0000-0100-000020000000}" uniqueName="32" name="Cañera N°/Placa " queryTableFieldId="73" dataDxfId="36"/>
    <tableColumn id="34" xr3:uid="{00000000-0010-0000-0100-000022000000}" uniqueName="34" name="Fundo" queryTableFieldId="75" dataDxfId="35"/>
    <tableColumn id="33" xr3:uid="{00000000-0010-0000-0100-000021000000}" uniqueName="33" name="Equipo3" queryTableFieldId="77" dataDxfId="34"/>
    <tableColumn id="30" xr3:uid="{00000000-0010-0000-0100-00001E000000}" uniqueName="30" name="Turno3" queryTableFieldId="80" dataDxfId="33"/>
    <tableColumn id="39" xr3:uid="{00000000-0010-0000-0100-000027000000}" uniqueName="39" name="Parcela4" queryTableFieldId="84" dataDxfId="32"/>
    <tableColumn id="40" xr3:uid="{00000000-0010-0000-0100-000028000000}" uniqueName="40" name="Variedad5" queryTableFieldId="88" dataDxfId="31"/>
    <tableColumn id="45" xr3:uid="{00000000-0010-0000-0100-00002D000000}" uniqueName="45" name="Tipo/Caracteristica" queryTableFieldId="94" dataDxfId="30" dataCellStyle="Millares"/>
    <tableColumn id="46" xr3:uid="{C17999D1-5E7C-450C-A09D-D0239BDA1C7F}" uniqueName="46" name="Análisis de jugo" queryTableFieldId="95" dataDxfId="29"/>
    <tableColumn id="47" xr3:uid="{D3ED0939-CE66-46F3-B51E-338C08EBB6F3}" uniqueName="47" name=" PH Jugo Prensado" queryTableFieldId="96" dataDxfId="28"/>
    <tableColumn id="48" xr3:uid="{F907A7BF-A24C-40EC-A391-58C9ED2B4231}" uniqueName="48" name="% Pol_S" queryTableFieldId="97" dataDxfId="27"/>
    <tableColumn id="49" xr3:uid="{190E7FEB-05B5-4315-9B31-30DBFD7FD2E9}" uniqueName="49" name="% BRIX" queryTableFieldId="98" dataDxfId="26"/>
    <tableColumn id="50" xr3:uid="{0F8AEC0C-B0AD-4519-AFAD-20489F81A334}" uniqueName="50" name="%PC (pol de caña_S)" queryTableFieldId="99" dataDxfId="25"/>
    <tableColumn id="51" xr3:uid="{23B10EDA-EA4C-4B2B-B34C-87BE57AB79F4}" uniqueName="51" name="%ARC_S" queryTableFieldId="100" dataDxfId="24"/>
    <tableColumn id="52" xr3:uid="{39EF4EFF-2D93-420B-A816-2E67B24B0C6A}" uniqueName="52" name="%ART con factor Ar_S( ≥ 14)" queryTableFieldId="101" dataDxfId="23"/>
    <tableColumn id="53" xr3:uid="{B1FB5F85-A4F7-4A6E-9D3F-C08680950447}" uniqueName="53" name="%FIBRA" queryTableFieldId="102" dataDxfId="22"/>
    <tableColumn id="54" xr3:uid="{3393C308-6228-4A2D-BAD5-679ADC8D0469}" uniqueName="54" name="Q(%PUREZA_S)" queryTableFieldId="103" dataDxfId="21"/>
    <tableColumn id="58" xr3:uid="{D0C9BDF4-5767-4059-8DF9-8DDB933A7E57}" uniqueName="58" name="Impureza Mineral Final≤ 6.00 (kg/tn (Sucio-Blanco)" queryTableFieldId="107" dataDxfId="20"/>
    <tableColumn id="59" xr3:uid="{9B1A5DA8-A5AD-44AE-8439-DC9EB771F6A1}" uniqueName="59" name="Hojas (Kg/T)" queryTableFieldId="108" dataDxfId="19"/>
    <tableColumn id="60" xr3:uid="{1E4FE2C0-498B-43CC-8EB4-0323B8A78202}" uniqueName="60" name="Cogollo (Kg/T)" queryTableFieldId="109" dataDxfId="18"/>
    <tableColumn id="61" xr3:uid="{3701CCF3-239D-4D8E-9369-8E4D53A52377}" uniqueName="61" name="Raices (Kg/T)" queryTableFieldId="110" dataDxfId="17"/>
    <tableColumn id="62" xr3:uid="{A0602DD7-A549-4C48-8EB6-F4A7BE3489B7}" uniqueName="62" name="Identificación de la Materia Extraña (Kg/T)" queryTableFieldId="111" dataDxfId="16"/>
    <tableColumn id="63" xr3:uid="{D4F1513C-C4E9-43B1-BCAB-72BD1C62F77F}" uniqueName="63" name="Tierra (Kg/T)" queryTableFieldId="112" dataDxfId="15"/>
    <tableColumn id="64" xr3:uid="{68665B33-84E6-40A8-93E7-73D28979EB9D}" uniqueName="64" name="Impureza vegetal ≤ 80 (Kg/T)" queryTableFieldId="113" dataDxfId="14"/>
    <tableColumn id="65" xr3:uid="{26E7DF40-B7B0-4811-A99C-A82EE1F85E89}" uniqueName="65" name="Análisis de %Humedad" queryTableFieldId="114" dataDxfId="13"/>
    <tableColumn id="66" xr3:uid="{C4CECD6B-6E0E-4452-976F-38254C789837}" uniqueName="66" name="%Humedad " queryTableFieldId="115" dataDxfId="12"/>
    <tableColumn id="78" xr3:uid="{3ED09A71-106E-4B80-8ED0-8272DBC67191}" uniqueName="78" name="OBSERVACIONES6" queryTableFieldId="127" dataDxfId="11"/>
    <tableColumn id="79" xr3:uid="{F91F7D71-937F-4FAA-8E4C-D22944E5D5A9}" uniqueName="79" name="FECHA EN DORMATO NORMAL" queryTableFieldId="128" dataDxfId="10">
      <calculatedColumnFormula>#REF!+0</calculatedColumnFormula>
    </tableColumn>
    <tableColumn id="80" xr3:uid="{043122BE-8597-40D7-BBDA-915A0EDA7005}" uniqueName="80" name="NUEVO FUNDOS" queryTableFieldId="129" dataDxfId="9"/>
    <tableColumn id="81" xr3:uid="{5F7B9C65-0AB9-4926-879A-09B2D6E59352}" uniqueName="81" name="TIPO" queryTableFieldId="130" dataDxfId="8">
      <calculatedColumnFormula>IF((LEFT(SIOP[[#This Row],[Equipo3]],1)="T"),"TERCEROS","PROPIOS")</calculatedColumnFormula>
    </tableColumn>
    <tableColumn id="82" xr3:uid="{234B3C4D-4BD6-4D10-84E6-5B256C251FB9}" uniqueName="82" name="LÍMITE I. MINERAL PROPIA" queryTableFieldId="131" dataDxfId="7"/>
    <tableColumn id="83" xr3:uid="{62DA96E5-6063-4420-9035-3954E4316507}" uniqueName="83" name="LÍMITE I. VEGETAL PROPIA" queryTableFieldId="132" dataDxfId="6"/>
    <tableColumn id="84" xr3:uid="{B3966667-0E76-4431-BEEF-3FD0B5F784D2}" uniqueName="84" name="LÍMITE I. MINERAL TERCEROS" queryTableFieldId="133" dataDxfId="5"/>
    <tableColumn id="85" xr3:uid="{80839CCC-DB13-48C2-A979-872A5E2E2A5B}" uniqueName="85" name="LÍMITE I. VEGETAL TERCEROS" queryTableFieldId="134" dataDxfId="4"/>
    <tableColumn id="86" xr3:uid="{1D904E75-2AB8-4CF4-A4A4-7AB5635C3F65}" uniqueName="86" name="MES2" queryTableFieldId="135" dataDxfId="3"/>
    <tableColumn id="87" xr3:uid="{29B08F26-3647-4769-96A2-344876900E78}" uniqueName="87" name="AÑO" queryTableFieldId="136" dataDxfId="2"/>
    <tableColumn id="88" xr3:uid="{F6AC4A23-53D4-4504-8CB0-61837A29ED2F}" uniqueName="88" name="ESTACIÓN DEL AÑO" queryTableFieldId="137" dataDxfId="1"/>
    <tableColumn id="89" xr3:uid="{E2656BB8-21B4-4160-808D-F44F07735FBA}" uniqueName="89" name="EQ - TR" queryTableFieldId="138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6CD372-015D-4735-86BD-353F269104F0}" name="Tabla2" displayName="Tabla2" ref="A2:J69" totalsRowShown="0" headerRowDxfId="118" dataDxfId="117">
  <autoFilter ref="A2:J69" xr:uid="{8C6CD372-015D-4735-86BD-353F269104F0}"/>
  <tableColumns count="10">
    <tableColumn id="1" xr3:uid="{6AE5E097-42D1-41BA-BCFC-6E80E9F6D9B3}" name="DiaOper_Balanza" dataDxfId="116"/>
    <tableColumn id="2" xr3:uid="{A594141D-FBC5-4EBD-9737-1F730C83D45B}" name="FD" dataDxfId="115"/>
    <tableColumn id="3" xr3:uid="{AD117FBD-8CD5-4523-AC4B-B160A0FCAA05}" name="ViajeBIO" dataDxfId="114"/>
    <tableColumn id="4" xr3:uid="{6FC2B4B7-B270-4434-97B5-A633C05CF1E7}" name="T_Llenado" dataDxfId="113"/>
    <tableColumn id="5" xr3:uid="{CCC841FB-7DDD-4676-9F2F-7BFB930F09B2}" name="T_Ruta" dataDxfId="112"/>
    <tableColumn id="6" xr3:uid="{EB22A43E-1DEE-4E3A-A022-70705ED0BFE8}" name="T_Patio" dataDxfId="111"/>
    <tableColumn id="7" xr3:uid="{B22CD08C-290F-4475-8A61-E836F031B096}" name="T_Descarga" dataDxfId="110"/>
    <tableColumn id="8" xr3:uid="{BC63F32E-2E7D-4712-9976-C9003BB76257}" name="T_Total" dataDxfId="109"/>
    <tableColumn id="9" xr3:uid="{2710DD46-EC71-4CDC-B817-A0F1466B3C50}" name="TN" dataDxfId="108"/>
    <tableColumn id="10" xr3:uid="{33EC9723-91D4-425B-AE94-AA7838703E8B}" name="Distribucion" dataDxfId="10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tabColor theme="9" tint="-0.249977111117893"/>
  </sheetPr>
  <dimension ref="A1:DH27"/>
  <sheetViews>
    <sheetView showGridLines="0" tabSelected="1" topLeftCell="K1" zoomScale="85" zoomScaleNormal="85" workbookViewId="0">
      <selection activeCell="T4" sqref="T4"/>
    </sheetView>
  </sheetViews>
  <sheetFormatPr baseColWidth="10" defaultColWidth="10.88671875" defaultRowHeight="14.4" x14ac:dyDescent="0.3"/>
  <cols>
    <col min="1" max="1" width="3.5546875" style="1" hidden="1" customWidth="1"/>
    <col min="2" max="2" width="14" style="1" bestFit="1" customWidth="1"/>
    <col min="3" max="3" width="15" style="1" bestFit="1" customWidth="1"/>
    <col min="4" max="4" width="3.5546875" style="1" bestFit="1" customWidth="1"/>
    <col min="5" max="5" width="9.21875" style="1" bestFit="1" customWidth="1"/>
    <col min="6" max="7" width="11.88671875" style="4" bestFit="1" customWidth="1"/>
    <col min="8" max="8" width="9.5546875" style="1" bestFit="1" customWidth="1"/>
    <col min="9" max="10" width="6.21875" style="1" bestFit="1" customWidth="1"/>
    <col min="11" max="11" width="10.33203125" style="1" bestFit="1" customWidth="1"/>
    <col min="12" max="12" width="5.109375" style="1" bestFit="1" customWidth="1"/>
    <col min="13" max="13" width="7.77734375" style="1" bestFit="1" customWidth="1"/>
    <col min="14" max="14" width="5.5546875" style="1" bestFit="1" customWidth="1"/>
    <col min="15" max="15" width="14" style="1" bestFit="1" customWidth="1"/>
    <col min="16" max="21" width="15" style="1" bestFit="1" customWidth="1"/>
    <col min="22" max="22" width="14" style="1" bestFit="1" customWidth="1"/>
    <col min="23" max="23" width="12.88671875" style="1" bestFit="1" customWidth="1"/>
    <col min="24" max="24" width="14" style="1" bestFit="1" customWidth="1"/>
    <col min="25" max="25" width="15" style="1" bestFit="1" customWidth="1"/>
    <col min="26" max="26" width="14" style="1" bestFit="1" customWidth="1"/>
    <col min="27" max="27" width="15" style="1" bestFit="1" customWidth="1"/>
    <col min="28" max="29" width="14" style="1" bestFit="1" customWidth="1"/>
    <col min="30" max="30" width="15" style="1" bestFit="1" customWidth="1"/>
    <col min="31" max="31" width="14" style="1" bestFit="1" customWidth="1"/>
    <col min="32" max="32" width="12.88671875" style="1" bestFit="1" customWidth="1"/>
    <col min="33" max="33" width="14" style="1" bestFit="1" customWidth="1"/>
    <col min="34" max="34" width="3.5546875" style="1" bestFit="1" customWidth="1"/>
    <col min="35" max="36" width="14" style="1" bestFit="1" customWidth="1"/>
    <col min="37" max="38" width="15" style="1" bestFit="1" customWidth="1"/>
    <col min="39" max="39" width="14" style="1" bestFit="1" customWidth="1"/>
    <col min="40" max="42" width="15" style="1" bestFit="1" customWidth="1"/>
    <col min="43" max="44" width="14" style="1" bestFit="1" customWidth="1"/>
    <col min="45" max="45" width="15" style="1" bestFit="1" customWidth="1"/>
    <col min="46" max="46" width="14" style="1" bestFit="1" customWidth="1"/>
    <col min="47" max="48" width="15" style="1" bestFit="1" customWidth="1"/>
    <col min="49" max="49" width="3.5546875" style="1" bestFit="1" customWidth="1"/>
    <col min="50" max="52" width="15" style="1" bestFit="1" customWidth="1"/>
    <col min="53" max="53" width="16.109375" style="1" bestFit="1" customWidth="1"/>
    <col min="54" max="55" width="14" style="1" bestFit="1" customWidth="1"/>
    <col min="56" max="56" width="80.88671875" style="1" bestFit="1" customWidth="1"/>
    <col min="57" max="58" width="12.88671875" style="1" bestFit="1" customWidth="1"/>
    <col min="59" max="60" width="15" style="1" bestFit="1" customWidth="1"/>
    <col min="61" max="61" width="14" style="1" bestFit="1" customWidth="1"/>
    <col min="62" max="62" width="5.109375" style="1" bestFit="1" customWidth="1"/>
    <col min="63" max="63" width="26.21875" style="1" bestFit="1" customWidth="1"/>
    <col min="64" max="65" width="12.88671875" style="1" bestFit="1" customWidth="1"/>
    <col min="66" max="66" width="14.88671875" style="1" bestFit="1" customWidth="1"/>
    <col min="67" max="69" width="3.5546875" style="1" bestFit="1" customWidth="1"/>
    <col min="70" max="70" width="3.88671875" style="1" bestFit="1" customWidth="1"/>
    <col min="71" max="80" width="3.5546875" style="1" bestFit="1" customWidth="1"/>
    <col min="81" max="81" width="3.5546875" style="17" bestFit="1" customWidth="1"/>
    <col min="82" max="85" width="3.5546875" style="1" bestFit="1" customWidth="1"/>
    <col min="86" max="86" width="6" style="5" bestFit="1" customWidth="1"/>
    <col min="87" max="95" width="3.5546875" style="1" bestFit="1" customWidth="1"/>
    <col min="96" max="96" width="6.33203125" style="3" bestFit="1" customWidth="1"/>
    <col min="97" max="97" width="3.5546875" style="3" bestFit="1" customWidth="1"/>
    <col min="98" max="98" width="8.44140625" style="1" bestFit="1" customWidth="1"/>
    <col min="99" max="102" width="3.5546875" style="1" bestFit="1" customWidth="1"/>
    <col min="103" max="103" width="35.21875" style="3" bestFit="1" customWidth="1"/>
    <col min="104" max="108" width="3.5546875" style="1" bestFit="1" customWidth="1"/>
    <col min="109" max="109" width="3.5546875" bestFit="1" customWidth="1"/>
    <col min="110" max="111" width="3.5546875" style="1" bestFit="1" customWidth="1"/>
    <col min="112" max="112" width="3.5546875" style="4" bestFit="1" customWidth="1"/>
    <col min="113" max="113" width="3.5546875" style="1" bestFit="1" customWidth="1"/>
    <col min="114" max="114" width="13.88671875" style="1" bestFit="1" customWidth="1"/>
    <col min="115" max="115" width="21.6640625" style="1" bestFit="1" customWidth="1"/>
    <col min="116" max="116" width="13.109375" style="1" bestFit="1" customWidth="1"/>
    <col min="117" max="117" width="8" style="1" customWidth="1"/>
    <col min="118" max="118" width="6.109375" style="1" customWidth="1"/>
    <col min="119" max="119" width="12.109375" style="1" bestFit="1" customWidth="1"/>
    <col min="120" max="120" width="5.5546875" style="1" customWidth="1"/>
    <col min="121" max="121" width="5.6640625" style="1" customWidth="1"/>
    <col min="122" max="122" width="5.44140625" style="1" customWidth="1"/>
    <col min="123" max="123" width="10.5546875" style="1" customWidth="1"/>
    <col min="124" max="124" width="7.6640625" style="1" customWidth="1"/>
    <col min="125" max="125" width="9" style="1" customWidth="1"/>
    <col min="126" max="126" width="9.88671875" style="1" customWidth="1"/>
    <col min="127" max="127" width="15.6640625" style="1" bestFit="1" customWidth="1"/>
    <col min="128" max="128" width="8" style="1" customWidth="1"/>
    <col min="129" max="129" width="15.6640625" style="1" customWidth="1"/>
    <col min="130" max="130" width="15.6640625" style="1" bestFit="1" customWidth="1"/>
    <col min="131" max="131" width="12.88671875" style="1" bestFit="1" customWidth="1"/>
    <col min="132" max="132" width="16.109375" style="1" bestFit="1" customWidth="1"/>
    <col min="133" max="133" width="15.6640625" style="1" bestFit="1" customWidth="1"/>
    <col min="134" max="134" width="15.33203125" style="1" bestFit="1" customWidth="1"/>
    <col min="135" max="135" width="7.44140625" style="1" bestFit="1" customWidth="1"/>
    <col min="136" max="136" width="13.33203125" style="1" bestFit="1" customWidth="1"/>
    <col min="137" max="137" width="7.109375" style="1" bestFit="1" customWidth="1"/>
    <col min="138" max="138" width="8" style="1" bestFit="1" customWidth="1"/>
    <col min="139" max="139" width="7.109375" style="1" bestFit="1" customWidth="1"/>
    <col min="140" max="140" width="6.109375" style="1" bestFit="1" customWidth="1"/>
    <col min="141" max="141" width="11.109375" style="1" bestFit="1" customWidth="1"/>
    <col min="142" max="142" width="13.33203125" style="1" bestFit="1" customWidth="1"/>
    <col min="143" max="143" width="6.5546875" style="1" bestFit="1" customWidth="1"/>
    <col min="144" max="144" width="14.5546875" style="1" bestFit="1" customWidth="1"/>
    <col min="145" max="145" width="11" style="1" customWidth="1"/>
    <col min="146" max="16384" width="10.88671875" style="1"/>
  </cols>
  <sheetData>
    <row r="1" spans="1:112" ht="239.4" x14ac:dyDescent="0.3">
      <c r="A1" s="36" t="s">
        <v>47</v>
      </c>
      <c r="B1" s="36" t="s">
        <v>190</v>
      </c>
      <c r="C1" s="36" t="s">
        <v>60</v>
      </c>
      <c r="D1" s="36" t="s">
        <v>61</v>
      </c>
      <c r="E1" s="36" t="s">
        <v>62</v>
      </c>
      <c r="F1" s="37" t="s">
        <v>63</v>
      </c>
      <c r="G1" s="37" t="s">
        <v>64</v>
      </c>
      <c r="H1" s="36" t="s">
        <v>65</v>
      </c>
      <c r="I1" s="36" t="s">
        <v>66</v>
      </c>
      <c r="J1" s="36" t="s">
        <v>67</v>
      </c>
      <c r="K1" s="36" t="s">
        <v>68</v>
      </c>
      <c r="L1" s="36" t="s">
        <v>69</v>
      </c>
      <c r="M1" s="36" t="s">
        <v>70</v>
      </c>
      <c r="N1" s="36" t="s">
        <v>71</v>
      </c>
      <c r="O1" s="36" t="s">
        <v>72</v>
      </c>
      <c r="P1" s="36" t="s">
        <v>73</v>
      </c>
      <c r="Q1" s="36" t="s">
        <v>74</v>
      </c>
      <c r="R1" s="36" t="s">
        <v>75</v>
      </c>
      <c r="S1" s="36" t="s">
        <v>76</v>
      </c>
      <c r="T1" s="36" t="s">
        <v>77</v>
      </c>
      <c r="U1" s="36" t="s">
        <v>78</v>
      </c>
      <c r="V1" s="36" t="s">
        <v>79</v>
      </c>
      <c r="W1" s="36" t="s">
        <v>80</v>
      </c>
      <c r="X1" s="36" t="s">
        <v>81</v>
      </c>
      <c r="Y1" s="36" t="s">
        <v>82</v>
      </c>
      <c r="Z1" s="36" t="s">
        <v>83</v>
      </c>
      <c r="AA1" s="36" t="s">
        <v>84</v>
      </c>
      <c r="AB1" s="36" t="s">
        <v>85</v>
      </c>
      <c r="AC1" s="36" t="s">
        <v>86</v>
      </c>
      <c r="AD1" s="36" t="s">
        <v>87</v>
      </c>
      <c r="AE1" s="36" t="s">
        <v>88</v>
      </c>
      <c r="AF1" s="36" t="s">
        <v>89</v>
      </c>
      <c r="AG1" s="36" t="s">
        <v>90</v>
      </c>
      <c r="AH1" s="36" t="s">
        <v>91</v>
      </c>
      <c r="AI1" s="36" t="s">
        <v>92</v>
      </c>
      <c r="AJ1" s="36" t="s">
        <v>93</v>
      </c>
      <c r="AK1" s="36" t="s">
        <v>94</v>
      </c>
      <c r="AL1" s="36" t="s">
        <v>95</v>
      </c>
      <c r="AM1" s="36" t="s">
        <v>96</v>
      </c>
      <c r="AN1" s="36" t="s">
        <v>97</v>
      </c>
      <c r="AO1" s="36" t="s">
        <v>98</v>
      </c>
      <c r="AP1" s="36" t="s">
        <v>99</v>
      </c>
      <c r="AQ1" s="36" t="s">
        <v>100</v>
      </c>
      <c r="AR1" s="36" t="s">
        <v>101</v>
      </c>
      <c r="AS1" s="36" t="s">
        <v>102</v>
      </c>
      <c r="AT1" s="36" t="s">
        <v>103</v>
      </c>
      <c r="AU1" s="36" t="s">
        <v>104</v>
      </c>
      <c r="AV1" s="36" t="s">
        <v>105</v>
      </c>
      <c r="AW1" s="36" t="s">
        <v>106</v>
      </c>
      <c r="AX1" s="36" t="s">
        <v>107</v>
      </c>
      <c r="AY1" s="36" t="s">
        <v>108</v>
      </c>
      <c r="AZ1" s="36" t="s">
        <v>109</v>
      </c>
      <c r="BA1" s="36" t="s">
        <v>110</v>
      </c>
      <c r="BB1" s="36" t="s">
        <v>111</v>
      </c>
      <c r="BC1" s="36" t="s">
        <v>112</v>
      </c>
      <c r="BD1" s="36" t="s">
        <v>113</v>
      </c>
      <c r="BE1" s="36" t="s">
        <v>114</v>
      </c>
      <c r="BF1" s="36" t="s">
        <v>115</v>
      </c>
      <c r="BG1" s="36" t="s">
        <v>116</v>
      </c>
      <c r="BH1" s="36" t="s">
        <v>117</v>
      </c>
      <c r="BI1" s="36" t="s">
        <v>118</v>
      </c>
      <c r="BJ1" s="36" t="s">
        <v>119</v>
      </c>
      <c r="BK1" s="36" t="s">
        <v>120</v>
      </c>
      <c r="BL1" s="36" t="s">
        <v>121</v>
      </c>
      <c r="BM1" s="36" t="s">
        <v>122</v>
      </c>
      <c r="BN1" s="36" t="s">
        <v>123</v>
      </c>
      <c r="BO1" s="33" t="s">
        <v>23</v>
      </c>
      <c r="BP1" s="20" t="s">
        <v>24</v>
      </c>
      <c r="BQ1" s="20" t="s">
        <v>185</v>
      </c>
      <c r="BR1" s="21" t="s">
        <v>25</v>
      </c>
      <c r="BS1" s="20" t="s">
        <v>26</v>
      </c>
      <c r="BT1" s="20" t="s">
        <v>186</v>
      </c>
      <c r="BU1" s="20" t="s">
        <v>46</v>
      </c>
      <c r="BV1" s="20" t="s">
        <v>187</v>
      </c>
      <c r="BW1" s="20" t="s">
        <v>188</v>
      </c>
      <c r="BX1" s="20" t="s">
        <v>27</v>
      </c>
      <c r="BY1" s="20" t="s">
        <v>28</v>
      </c>
      <c r="BZ1" s="20" t="s">
        <v>29</v>
      </c>
      <c r="CA1" s="20" t="s">
        <v>30</v>
      </c>
      <c r="CB1" s="20" t="s">
        <v>31</v>
      </c>
      <c r="CC1" s="20" t="s">
        <v>32</v>
      </c>
      <c r="CD1" s="20" t="s">
        <v>33</v>
      </c>
      <c r="CE1" s="20" t="s">
        <v>34</v>
      </c>
      <c r="CF1" s="20" t="s">
        <v>35</v>
      </c>
      <c r="CG1" s="20" t="s">
        <v>36</v>
      </c>
      <c r="CH1" s="20" t="s">
        <v>37</v>
      </c>
      <c r="CI1" s="20" t="s">
        <v>38</v>
      </c>
      <c r="CJ1" s="20" t="s">
        <v>39</v>
      </c>
      <c r="CK1" s="20" t="s">
        <v>40</v>
      </c>
      <c r="CL1" s="20" t="s">
        <v>41</v>
      </c>
      <c r="CM1" s="20" t="s">
        <v>42</v>
      </c>
      <c r="CN1" s="20" t="s">
        <v>43</v>
      </c>
      <c r="CO1" s="20" t="s">
        <v>44</v>
      </c>
      <c r="CP1" s="20" t="s">
        <v>45</v>
      </c>
      <c r="CQ1" s="32" t="s">
        <v>189</v>
      </c>
      <c r="CR1" s="34" t="s">
        <v>48</v>
      </c>
      <c r="CS1" s="35" t="s">
        <v>49</v>
      </c>
      <c r="CT1" s="32" t="s">
        <v>50</v>
      </c>
      <c r="CU1" s="35" t="s">
        <v>51</v>
      </c>
      <c r="CV1" s="35" t="s">
        <v>52</v>
      </c>
      <c r="CW1" s="35" t="s">
        <v>53</v>
      </c>
      <c r="CX1" s="35" t="s">
        <v>54</v>
      </c>
      <c r="CY1" s="32" t="s">
        <v>58</v>
      </c>
      <c r="CZ1" s="32" t="s">
        <v>55</v>
      </c>
      <c r="DA1" s="32" t="s">
        <v>56</v>
      </c>
      <c r="DB1" s="32" t="s">
        <v>57</v>
      </c>
      <c r="DE1" s="1"/>
      <c r="DH1" s="1"/>
    </row>
    <row r="2" spans="1:112" x14ac:dyDescent="0.3">
      <c r="A2" s="14"/>
      <c r="B2" s="14">
        <v>45700.038888888892</v>
      </c>
      <c r="C2" s="14">
        <v>45700.072916666664</v>
      </c>
      <c r="D2" s="14" t="s">
        <v>124</v>
      </c>
      <c r="E2" s="14" t="s">
        <v>125</v>
      </c>
      <c r="F2" s="4">
        <v>13283612</v>
      </c>
      <c r="G2" s="4">
        <v>11113309</v>
      </c>
      <c r="H2" s="14" t="s">
        <v>126</v>
      </c>
      <c r="I2" s="14" t="s">
        <v>127</v>
      </c>
      <c r="J2" s="14" t="s">
        <v>128</v>
      </c>
      <c r="K2" s="14" t="s">
        <v>129</v>
      </c>
      <c r="L2" s="14" t="s">
        <v>130</v>
      </c>
      <c r="M2" s="14" t="s">
        <v>131</v>
      </c>
      <c r="N2" s="14" t="s">
        <v>132</v>
      </c>
      <c r="O2" s="14">
        <v>5.48</v>
      </c>
      <c r="P2" s="14">
        <v>163</v>
      </c>
      <c r="Q2" s="14">
        <v>18.63</v>
      </c>
      <c r="R2" s="14">
        <v>18.63</v>
      </c>
      <c r="S2" s="14">
        <v>18.63</v>
      </c>
      <c r="T2" s="14">
        <v>66.45</v>
      </c>
      <c r="U2" s="14">
        <v>16.087</v>
      </c>
      <c r="V2" s="14">
        <v>0.95099999999999996</v>
      </c>
      <c r="W2" s="14">
        <v>1.0089999999999999</v>
      </c>
      <c r="X2" s="14">
        <v>0.67900000000000005</v>
      </c>
      <c r="Y2" s="14">
        <v>131.93600000000001</v>
      </c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>
        <v>18.63</v>
      </c>
      <c r="AL2" s="14">
        <v>13.17</v>
      </c>
      <c r="AM2" s="14">
        <v>0.55600000000000005</v>
      </c>
      <c r="AN2" s="14">
        <v>14.544</v>
      </c>
      <c r="AO2" s="14">
        <v>13.916</v>
      </c>
      <c r="AP2" s="14">
        <v>86.35</v>
      </c>
      <c r="AQ2" s="14"/>
      <c r="AR2" s="14"/>
      <c r="AS2" s="14"/>
      <c r="AT2" s="14"/>
      <c r="AU2" s="14"/>
      <c r="AV2" s="14"/>
      <c r="AW2" s="14"/>
      <c r="AX2" s="14"/>
      <c r="AY2" s="14"/>
      <c r="AZ2" s="14">
        <v>965</v>
      </c>
      <c r="BA2" s="14">
        <v>930.91</v>
      </c>
      <c r="BB2" s="14">
        <v>68.180000000000007</v>
      </c>
      <c r="BC2" s="14">
        <v>14</v>
      </c>
      <c r="BD2" s="14" t="s">
        <v>133</v>
      </c>
      <c r="BE2" s="14">
        <v>2</v>
      </c>
      <c r="BF2" s="14">
        <v>0</v>
      </c>
      <c r="BG2" s="14">
        <v>45686.597916666666</v>
      </c>
      <c r="BH2" s="14">
        <v>45686.597916666666</v>
      </c>
      <c r="BI2" s="14">
        <v>14</v>
      </c>
      <c r="BJ2" s="14" t="s">
        <v>130</v>
      </c>
      <c r="BK2" s="14" t="s">
        <v>134</v>
      </c>
      <c r="BL2" s="14">
        <v>1</v>
      </c>
      <c r="BM2" s="14">
        <v>1</v>
      </c>
      <c r="BN2" s="14" t="s">
        <v>135</v>
      </c>
      <c r="BP2" s="15"/>
      <c r="BQ2" s="4"/>
      <c r="BR2" s="4"/>
      <c r="BX2" s="22"/>
      <c r="CC2" s="1"/>
      <c r="CH2" s="1"/>
      <c r="CR2" s="3" t="e">
        <f>#REF!+0</f>
        <v>#REF!</v>
      </c>
      <c r="CS2" s="1"/>
      <c r="CT2" s="1" t="str">
        <f>IF((LEFT(SIOP[[#This Row],[Equipo3]],1)="T"),"TERCEROS","PROPIOS")</f>
        <v>PROPIOS</v>
      </c>
      <c r="CY2" s="1" t="s">
        <v>59</v>
      </c>
      <c r="DE2" s="1"/>
      <c r="DH2" s="1"/>
    </row>
    <row r="3" spans="1:112" x14ac:dyDescent="0.3">
      <c r="A3" s="14"/>
      <c r="B3" s="14">
        <v>45700.038888888892</v>
      </c>
      <c r="C3" s="14">
        <v>45700.072916666664</v>
      </c>
      <c r="D3" s="14" t="s">
        <v>124</v>
      </c>
      <c r="E3" s="14" t="s">
        <v>125</v>
      </c>
      <c r="F3" s="4">
        <v>13283611</v>
      </c>
      <c r="G3" s="4">
        <v>11113309</v>
      </c>
      <c r="H3" s="14" t="s">
        <v>136</v>
      </c>
      <c r="I3" s="14" t="s">
        <v>127</v>
      </c>
      <c r="J3" s="14" t="s">
        <v>128</v>
      </c>
      <c r="K3" s="14" t="s">
        <v>129</v>
      </c>
      <c r="L3" s="14" t="s">
        <v>130</v>
      </c>
      <c r="M3" s="14" t="s">
        <v>131</v>
      </c>
      <c r="N3" s="14" t="s">
        <v>132</v>
      </c>
      <c r="O3" s="14">
        <v>5.36</v>
      </c>
      <c r="P3" s="14">
        <v>158.63999999999999</v>
      </c>
      <c r="Q3" s="14">
        <v>19.52</v>
      </c>
      <c r="R3" s="14">
        <v>19.52</v>
      </c>
      <c r="S3" s="14">
        <v>19.52</v>
      </c>
      <c r="T3" s="14">
        <v>70.650000000000006</v>
      </c>
      <c r="U3" s="14">
        <v>17.042000000000002</v>
      </c>
      <c r="V3" s="14">
        <v>0.95299999999999996</v>
      </c>
      <c r="W3" s="14">
        <v>1.0089999999999999</v>
      </c>
      <c r="X3" s="14">
        <v>0.64600000000000002</v>
      </c>
      <c r="Y3" s="14">
        <v>140.07599999999999</v>
      </c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>
        <v>19.52</v>
      </c>
      <c r="AL3" s="14">
        <v>14.038</v>
      </c>
      <c r="AM3" s="14">
        <v>0.53200000000000003</v>
      </c>
      <c r="AN3" s="14">
        <v>15.442</v>
      </c>
      <c r="AO3" s="14">
        <v>13.567</v>
      </c>
      <c r="AP3" s="14">
        <v>87.305000000000007</v>
      </c>
      <c r="AQ3" s="14"/>
      <c r="AR3" s="14"/>
      <c r="AS3" s="14"/>
      <c r="AT3" s="14"/>
      <c r="AU3" s="14"/>
      <c r="AV3" s="14"/>
      <c r="AW3" s="14"/>
      <c r="AX3" s="14"/>
      <c r="AY3" s="14"/>
      <c r="AZ3" s="14">
        <v>965</v>
      </c>
      <c r="BA3" s="14">
        <v>930.91</v>
      </c>
      <c r="BB3" s="14">
        <v>68.180000000000007</v>
      </c>
      <c r="BC3" s="14">
        <v>14</v>
      </c>
      <c r="BD3" s="14" t="s">
        <v>133</v>
      </c>
      <c r="BE3" s="14">
        <v>2</v>
      </c>
      <c r="BF3" s="14">
        <v>0</v>
      </c>
      <c r="BG3" s="14">
        <v>45686.597916666666</v>
      </c>
      <c r="BH3" s="14">
        <v>45686.597916666666</v>
      </c>
      <c r="BI3" s="14">
        <v>14</v>
      </c>
      <c r="BJ3" s="14" t="s">
        <v>130</v>
      </c>
      <c r="BK3" s="14" t="s">
        <v>134</v>
      </c>
      <c r="BL3" s="14">
        <v>1</v>
      </c>
      <c r="BM3" s="14">
        <v>1</v>
      </c>
      <c r="BN3" s="14" t="s">
        <v>135</v>
      </c>
      <c r="BP3" s="15"/>
      <c r="BQ3" s="4"/>
      <c r="BR3" s="4"/>
      <c r="BS3" s="4"/>
      <c r="BT3" s="4"/>
      <c r="BU3" s="4"/>
      <c r="BV3" s="4"/>
      <c r="BW3" s="4"/>
      <c r="BX3" s="22"/>
      <c r="CC3" s="1"/>
      <c r="CH3" s="1"/>
      <c r="CR3" s="3" t="e">
        <f>#REF!+0</f>
        <v>#REF!</v>
      </c>
      <c r="CS3" s="1"/>
      <c r="CT3" s="1" t="str">
        <f>IF((LEFT(SIOP[[#This Row],[Equipo3]],1)="T"),"TERCEROS","PROPIOS")</f>
        <v>PROPIOS</v>
      </c>
      <c r="CY3" s="1"/>
      <c r="DE3" s="1"/>
      <c r="DH3" s="1"/>
    </row>
    <row r="4" spans="1:112" x14ac:dyDescent="0.3">
      <c r="A4" s="14"/>
      <c r="B4" s="14">
        <v>45700.074999999997</v>
      </c>
      <c r="C4" s="14">
        <v>45700.104861111111</v>
      </c>
      <c r="D4" s="14" t="s">
        <v>124</v>
      </c>
      <c r="E4" s="14" t="s">
        <v>125</v>
      </c>
      <c r="F4" s="4">
        <v>13283642</v>
      </c>
      <c r="G4" s="4">
        <v>11113307</v>
      </c>
      <c r="H4" s="14" t="s">
        <v>137</v>
      </c>
      <c r="I4" s="14" t="s">
        <v>138</v>
      </c>
      <c r="J4" s="14" t="s">
        <v>139</v>
      </c>
      <c r="K4" s="14" t="s">
        <v>140</v>
      </c>
      <c r="L4" s="14" t="s">
        <v>130</v>
      </c>
      <c r="M4" s="14" t="s">
        <v>131</v>
      </c>
      <c r="N4" s="14" t="s">
        <v>132</v>
      </c>
      <c r="O4" s="14">
        <v>5.18</v>
      </c>
      <c r="P4" s="14">
        <v>163.57</v>
      </c>
      <c r="Q4" s="14">
        <v>20.56</v>
      </c>
      <c r="R4" s="14">
        <v>20.56</v>
      </c>
      <c r="S4" s="14">
        <v>20.56</v>
      </c>
      <c r="T4" s="14">
        <v>73.209999999999994</v>
      </c>
      <c r="U4" s="14">
        <v>17.584</v>
      </c>
      <c r="V4" s="14">
        <v>0.95099999999999996</v>
      </c>
      <c r="W4" s="14">
        <v>1.01</v>
      </c>
      <c r="X4" s="14">
        <v>0.70699999999999996</v>
      </c>
      <c r="Y4" s="14">
        <v>143.86799999999999</v>
      </c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>
        <v>20.56</v>
      </c>
      <c r="AL4" s="14">
        <v>14.388</v>
      </c>
      <c r="AM4" s="14">
        <v>0.57799999999999996</v>
      </c>
      <c r="AN4" s="14">
        <v>15.875</v>
      </c>
      <c r="AO4" s="14">
        <v>13.962</v>
      </c>
      <c r="AP4" s="14">
        <v>85.525000000000006</v>
      </c>
      <c r="AQ4" s="14"/>
      <c r="AR4" s="14"/>
      <c r="AS4" s="14"/>
      <c r="AT4" s="14"/>
      <c r="AU4" s="14"/>
      <c r="AV4" s="14"/>
      <c r="AW4" s="14"/>
      <c r="AX4" s="14"/>
      <c r="AY4" s="14"/>
      <c r="AZ4" s="14">
        <v>1136.5899999999999</v>
      </c>
      <c r="BA4" s="14">
        <v>1102.9000000000001</v>
      </c>
      <c r="BB4" s="14">
        <v>67.38</v>
      </c>
      <c r="BC4" s="14">
        <v>14</v>
      </c>
      <c r="BD4" s="14" t="s">
        <v>133</v>
      </c>
      <c r="BE4" s="14">
        <v>2</v>
      </c>
      <c r="BF4" s="14">
        <v>0</v>
      </c>
      <c r="BG4" s="14">
        <v>45686.597916666666</v>
      </c>
      <c r="BH4" s="14">
        <v>45686.597916666666</v>
      </c>
      <c r="BI4" s="14">
        <v>14</v>
      </c>
      <c r="BJ4" s="14" t="s">
        <v>130</v>
      </c>
      <c r="BK4" s="14" t="s">
        <v>134</v>
      </c>
      <c r="BL4" s="14">
        <v>1</v>
      </c>
      <c r="BM4" s="14">
        <v>1</v>
      </c>
      <c r="BN4" s="14" t="s">
        <v>135</v>
      </c>
      <c r="BP4" s="15"/>
      <c r="BQ4" s="4"/>
      <c r="BR4" s="4"/>
      <c r="BX4" s="22"/>
      <c r="CC4" s="1"/>
      <c r="CH4" s="1"/>
      <c r="CR4" s="3" t="e">
        <f>#REF!+0</f>
        <v>#REF!</v>
      </c>
      <c r="CS4" s="1"/>
      <c r="CT4" s="1" t="str">
        <f>IF((LEFT(SIOP[[#This Row],[Equipo3]],1)="T"),"TERCEROS","PROPIOS")</f>
        <v>PROPIOS</v>
      </c>
      <c r="CY4" s="1"/>
      <c r="DE4" s="1"/>
      <c r="DH4" s="1"/>
    </row>
    <row r="5" spans="1:112" x14ac:dyDescent="0.3">
      <c r="A5" s="14"/>
      <c r="B5" s="14">
        <v>45700.074999999997</v>
      </c>
      <c r="C5" s="14">
        <v>45700.104861111111</v>
      </c>
      <c r="D5" s="14" t="s">
        <v>124</v>
      </c>
      <c r="E5" s="14" t="s">
        <v>125</v>
      </c>
      <c r="F5" s="4">
        <v>13283641</v>
      </c>
      <c r="G5" s="4">
        <v>11113307</v>
      </c>
      <c r="H5" s="14" t="s">
        <v>141</v>
      </c>
      <c r="I5" s="14" t="s">
        <v>138</v>
      </c>
      <c r="J5" s="14" t="s">
        <v>139</v>
      </c>
      <c r="K5" s="14" t="s">
        <v>140</v>
      </c>
      <c r="L5" s="14" t="s">
        <v>130</v>
      </c>
      <c r="M5" s="14" t="s">
        <v>131</v>
      </c>
      <c r="N5" s="14" t="s">
        <v>132</v>
      </c>
      <c r="O5" s="14">
        <v>5.16</v>
      </c>
      <c r="P5" s="14">
        <v>165.8</v>
      </c>
      <c r="Q5" s="14">
        <v>20.69</v>
      </c>
      <c r="R5" s="14">
        <v>20.69</v>
      </c>
      <c r="S5" s="14">
        <v>20.69</v>
      </c>
      <c r="T5" s="14">
        <v>74.05</v>
      </c>
      <c r="U5" s="14">
        <v>17.776</v>
      </c>
      <c r="V5" s="14">
        <v>0.95</v>
      </c>
      <c r="W5" s="14">
        <v>1.0089999999999999</v>
      </c>
      <c r="X5" s="14">
        <v>0.69399999999999995</v>
      </c>
      <c r="Y5" s="14">
        <v>144.827</v>
      </c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>
        <v>20.69</v>
      </c>
      <c r="AL5" s="14">
        <v>14.499000000000001</v>
      </c>
      <c r="AM5" s="14">
        <v>0.56599999999999995</v>
      </c>
      <c r="AN5" s="14">
        <v>15.965</v>
      </c>
      <c r="AO5" s="14">
        <v>14.14</v>
      </c>
      <c r="AP5" s="14">
        <v>85.915999999999997</v>
      </c>
      <c r="AQ5" s="14"/>
      <c r="AR5" s="14"/>
      <c r="AS5" s="14"/>
      <c r="AT5" s="14"/>
      <c r="AU5" s="14"/>
      <c r="AV5" s="14"/>
      <c r="AW5" s="14"/>
      <c r="AX5" s="14"/>
      <c r="AY5" s="14"/>
      <c r="AZ5" s="14">
        <v>1136.5899999999999</v>
      </c>
      <c r="BA5" s="14">
        <v>1102.9000000000001</v>
      </c>
      <c r="BB5" s="14">
        <v>67.38</v>
      </c>
      <c r="BC5" s="14">
        <v>14</v>
      </c>
      <c r="BD5" s="14" t="s">
        <v>133</v>
      </c>
      <c r="BE5" s="14">
        <v>2</v>
      </c>
      <c r="BF5" s="14">
        <v>0</v>
      </c>
      <c r="BG5" s="14">
        <v>45686.597916666666</v>
      </c>
      <c r="BH5" s="14">
        <v>45686.597916666666</v>
      </c>
      <c r="BI5" s="14">
        <v>14</v>
      </c>
      <c r="BJ5" s="14" t="s">
        <v>130</v>
      </c>
      <c r="BK5" s="14" t="s">
        <v>134</v>
      </c>
      <c r="BL5" s="14">
        <v>1</v>
      </c>
      <c r="BM5" s="14">
        <v>1</v>
      </c>
      <c r="BN5" s="14" t="s">
        <v>135</v>
      </c>
      <c r="BP5" s="15"/>
      <c r="BQ5" s="4"/>
      <c r="BR5" s="4"/>
      <c r="BS5" s="4"/>
      <c r="BT5" s="4"/>
      <c r="BU5" s="4"/>
      <c r="BV5" s="4"/>
      <c r="BW5" s="4"/>
      <c r="BX5" s="22"/>
      <c r="CC5" s="1"/>
      <c r="CH5" s="1"/>
      <c r="CR5" s="3" t="e">
        <f>#REF!+0</f>
        <v>#REF!</v>
      </c>
      <c r="CS5" s="1"/>
      <c r="CT5" s="1" t="str">
        <f>IF((LEFT(SIOP[[#This Row],[Equipo3]],1)="T"),"TERCEROS","PROPIOS")</f>
        <v>PROPIOS</v>
      </c>
      <c r="CY5" s="1"/>
      <c r="DE5" s="1"/>
      <c r="DH5" s="1"/>
    </row>
    <row r="6" spans="1:112" x14ac:dyDescent="0.3">
      <c r="A6" s="14"/>
      <c r="B6" s="14">
        <v>45700.091666666667</v>
      </c>
      <c r="C6" s="14">
        <v>45700.124305555553</v>
      </c>
      <c r="D6" s="14" t="s">
        <v>124</v>
      </c>
      <c r="E6" s="14" t="s">
        <v>125</v>
      </c>
      <c r="F6" s="4">
        <v>13283662</v>
      </c>
      <c r="G6" s="4">
        <v>11113307</v>
      </c>
      <c r="H6" s="14" t="s">
        <v>142</v>
      </c>
      <c r="I6" s="14" t="s">
        <v>138</v>
      </c>
      <c r="J6" s="14" t="s">
        <v>139</v>
      </c>
      <c r="K6" s="14" t="s">
        <v>140</v>
      </c>
      <c r="L6" s="14" t="s">
        <v>130</v>
      </c>
      <c r="M6" s="14" t="s">
        <v>131</v>
      </c>
      <c r="N6" s="14" t="s">
        <v>132</v>
      </c>
      <c r="O6" s="14">
        <v>5.14</v>
      </c>
      <c r="P6" s="14">
        <v>165.76</v>
      </c>
      <c r="Q6" s="14">
        <v>20.04</v>
      </c>
      <c r="R6" s="14">
        <v>20.04</v>
      </c>
      <c r="S6" s="14">
        <v>20.04</v>
      </c>
      <c r="T6" s="14">
        <v>71.25</v>
      </c>
      <c r="U6" s="14">
        <v>17.149999999999999</v>
      </c>
      <c r="V6" s="14">
        <v>0.95</v>
      </c>
      <c r="W6" s="14">
        <v>1.01</v>
      </c>
      <c r="X6" s="14">
        <v>0.70599999999999996</v>
      </c>
      <c r="Y6" s="14">
        <v>140.00700000000001</v>
      </c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>
        <v>20.04</v>
      </c>
      <c r="AL6" s="14">
        <v>13.989000000000001</v>
      </c>
      <c r="AM6" s="14">
        <v>0.57599999999999996</v>
      </c>
      <c r="AN6" s="14">
        <v>15.449</v>
      </c>
      <c r="AO6" s="14">
        <v>14.137</v>
      </c>
      <c r="AP6" s="14">
        <v>85.578999999999994</v>
      </c>
      <c r="AQ6" s="14"/>
      <c r="AR6" s="14"/>
      <c r="AS6" s="14"/>
      <c r="AT6" s="14"/>
      <c r="AU6" s="14"/>
      <c r="AV6" s="14"/>
      <c r="AW6" s="14"/>
      <c r="AX6" s="14"/>
      <c r="AY6" s="14"/>
      <c r="AZ6" s="14">
        <v>1109.5999999999999</v>
      </c>
      <c r="BA6" s="14">
        <v>1075.8499999999999</v>
      </c>
      <c r="BB6" s="14">
        <v>67.5</v>
      </c>
      <c r="BC6" s="14">
        <v>14</v>
      </c>
      <c r="BD6" s="14" t="s">
        <v>133</v>
      </c>
      <c r="BE6" s="14">
        <v>2</v>
      </c>
      <c r="BF6" s="14">
        <v>0</v>
      </c>
      <c r="BG6" s="14">
        <v>45686.597916666666</v>
      </c>
      <c r="BH6" s="14">
        <v>45686.597916666666</v>
      </c>
      <c r="BI6" s="14">
        <v>14</v>
      </c>
      <c r="BJ6" s="14" t="s">
        <v>130</v>
      </c>
      <c r="BK6" s="14" t="s">
        <v>134</v>
      </c>
      <c r="BL6" s="14">
        <v>1</v>
      </c>
      <c r="BM6" s="14">
        <v>1</v>
      </c>
      <c r="BN6" s="14" t="s">
        <v>135</v>
      </c>
      <c r="BP6" s="15"/>
      <c r="BQ6" s="4"/>
      <c r="BR6" s="4"/>
      <c r="BS6" s="4"/>
      <c r="BT6" s="4"/>
      <c r="BU6" s="4"/>
      <c r="BV6" s="4"/>
      <c r="BW6" s="4"/>
      <c r="BX6" s="22"/>
      <c r="CC6" s="1"/>
      <c r="CH6" s="1"/>
      <c r="CR6" s="3" t="e">
        <f>#REF!+0</f>
        <v>#REF!</v>
      </c>
      <c r="CS6" s="1"/>
      <c r="CT6" s="1" t="str">
        <f>IF((LEFT(SIOP[[#This Row],[Equipo3]],1)="T"),"TERCEROS","PROPIOS")</f>
        <v>PROPIOS</v>
      </c>
      <c r="CY6" s="1"/>
      <c r="DE6" s="1"/>
      <c r="DH6" s="1"/>
    </row>
    <row r="7" spans="1:112" x14ac:dyDescent="0.3">
      <c r="A7" s="14"/>
      <c r="B7" s="14">
        <v>45700.091666666667</v>
      </c>
      <c r="C7" s="14">
        <v>45700.124305555553</v>
      </c>
      <c r="D7" s="14" t="s">
        <v>124</v>
      </c>
      <c r="E7" s="14" t="s">
        <v>125</v>
      </c>
      <c r="F7" s="4">
        <v>13283661</v>
      </c>
      <c r="G7" s="4">
        <v>11113307</v>
      </c>
      <c r="H7" s="14" t="s">
        <v>143</v>
      </c>
      <c r="I7" s="14" t="s">
        <v>138</v>
      </c>
      <c r="J7" s="14" t="s">
        <v>139</v>
      </c>
      <c r="K7" s="14" t="s">
        <v>140</v>
      </c>
      <c r="L7" s="14" t="s">
        <v>130</v>
      </c>
      <c r="M7" s="14" t="s">
        <v>131</v>
      </c>
      <c r="N7" s="14" t="s">
        <v>132</v>
      </c>
      <c r="O7" s="14">
        <v>5.04</v>
      </c>
      <c r="P7" s="14">
        <v>164.81</v>
      </c>
      <c r="Q7" s="14">
        <v>20.36</v>
      </c>
      <c r="R7" s="14">
        <v>20.36</v>
      </c>
      <c r="S7" s="14">
        <v>20.36</v>
      </c>
      <c r="T7" s="14">
        <v>72.06</v>
      </c>
      <c r="U7" s="14">
        <v>17.321999999999999</v>
      </c>
      <c r="V7" s="14">
        <v>0.95</v>
      </c>
      <c r="W7" s="14">
        <v>1.01</v>
      </c>
      <c r="X7" s="14">
        <v>0.72299999999999998</v>
      </c>
      <c r="Y7" s="14">
        <v>141.60900000000001</v>
      </c>
      <c r="Z7" s="14"/>
      <c r="AA7" s="14"/>
      <c r="AB7" s="14"/>
      <c r="AC7" s="14"/>
      <c r="AD7" s="14">
        <v>12.75</v>
      </c>
      <c r="AE7" s="14">
        <v>0.55000000000000004</v>
      </c>
      <c r="AF7" s="14">
        <v>0.3</v>
      </c>
      <c r="AG7" s="14">
        <v>0.15</v>
      </c>
      <c r="AH7" s="14"/>
      <c r="AI7" s="14">
        <v>0.1</v>
      </c>
      <c r="AJ7" s="14">
        <v>1</v>
      </c>
      <c r="AK7" s="14">
        <v>20.36</v>
      </c>
      <c r="AL7" s="14">
        <v>14.141999999999999</v>
      </c>
      <c r="AM7" s="14">
        <v>0.59</v>
      </c>
      <c r="AN7" s="14">
        <v>15.625</v>
      </c>
      <c r="AO7" s="14">
        <v>14.061</v>
      </c>
      <c r="AP7" s="14">
        <v>85.078999999999994</v>
      </c>
      <c r="AQ7" s="14"/>
      <c r="AR7" s="14"/>
      <c r="AS7" s="14"/>
      <c r="AT7" s="14">
        <v>43.137</v>
      </c>
      <c r="AU7" s="14">
        <v>23.529</v>
      </c>
      <c r="AV7" s="14">
        <v>11.765000000000001</v>
      </c>
      <c r="AW7" s="14"/>
      <c r="AX7" s="14">
        <v>7.843</v>
      </c>
      <c r="AY7" s="14">
        <v>78.430999999999997</v>
      </c>
      <c r="AZ7" s="14">
        <v>1109.5999999999999</v>
      </c>
      <c r="BA7" s="14">
        <v>1075.8499999999999</v>
      </c>
      <c r="BB7" s="14">
        <v>67.5</v>
      </c>
      <c r="BC7" s="14">
        <v>14</v>
      </c>
      <c r="BD7" s="14" t="s">
        <v>144</v>
      </c>
      <c r="BE7" s="14">
        <v>2</v>
      </c>
      <c r="BF7" s="14">
        <v>0</v>
      </c>
      <c r="BG7" s="14">
        <v>45686.597916666666</v>
      </c>
      <c r="BH7" s="14">
        <v>45686.597916666666</v>
      </c>
      <c r="BI7" s="14">
        <v>14</v>
      </c>
      <c r="BJ7" s="14" t="s">
        <v>130</v>
      </c>
      <c r="BK7" s="14" t="s">
        <v>134</v>
      </c>
      <c r="BL7" s="14">
        <v>1</v>
      </c>
      <c r="BM7" s="14">
        <v>1</v>
      </c>
      <c r="BN7" s="14" t="s">
        <v>135</v>
      </c>
      <c r="BP7" s="15"/>
      <c r="BQ7" s="4"/>
      <c r="BR7" s="4"/>
      <c r="BS7" s="4"/>
      <c r="BT7" s="4"/>
      <c r="BU7" s="4"/>
      <c r="BV7" s="4"/>
      <c r="BW7" s="4"/>
      <c r="BX7" s="22"/>
      <c r="CC7" s="1"/>
      <c r="CH7" s="1"/>
      <c r="CR7" s="3" t="e">
        <f>#REF!+0</f>
        <v>#REF!</v>
      </c>
      <c r="CS7" s="1"/>
      <c r="CT7" s="1" t="str">
        <f>IF((LEFT(SIOP[[#This Row],[Equipo3]],1)="T"),"TERCEROS","PROPIOS")</f>
        <v>PROPIOS</v>
      </c>
      <c r="CY7" s="1"/>
      <c r="DE7" s="1"/>
      <c r="DH7" s="1"/>
    </row>
    <row r="8" spans="1:112" x14ac:dyDescent="0.3">
      <c r="A8" s="14"/>
      <c r="B8" s="14">
        <v>45700.094444444447</v>
      </c>
      <c r="C8" s="14">
        <v>45700.161111111112</v>
      </c>
      <c r="D8" s="14" t="s">
        <v>124</v>
      </c>
      <c r="E8" s="14" t="s">
        <v>125</v>
      </c>
      <c r="F8" s="4">
        <v>13283671</v>
      </c>
      <c r="G8" s="4">
        <v>11113309</v>
      </c>
      <c r="H8" s="14" t="s">
        <v>145</v>
      </c>
      <c r="I8" s="14" t="s">
        <v>127</v>
      </c>
      <c r="J8" s="14" t="s">
        <v>128</v>
      </c>
      <c r="K8" s="14" t="s">
        <v>129</v>
      </c>
      <c r="L8" s="14" t="s">
        <v>130</v>
      </c>
      <c r="M8" s="14" t="s">
        <v>131</v>
      </c>
      <c r="N8" s="14" t="s">
        <v>132</v>
      </c>
      <c r="O8" s="14">
        <v>5.32</v>
      </c>
      <c r="P8" s="14">
        <v>149.88999999999999</v>
      </c>
      <c r="Q8" s="14">
        <v>18.16</v>
      </c>
      <c r="R8" s="14">
        <v>18.16</v>
      </c>
      <c r="S8" s="14">
        <v>18.16</v>
      </c>
      <c r="T8" s="14">
        <v>61.46</v>
      </c>
      <c r="U8" s="14">
        <v>14.907</v>
      </c>
      <c r="V8" s="14">
        <v>0.95699999999999996</v>
      </c>
      <c r="W8" s="14">
        <v>1.0109999999999999</v>
      </c>
      <c r="X8" s="14">
        <v>0.82499999999999996</v>
      </c>
      <c r="Y8" s="14">
        <v>126.01600000000001</v>
      </c>
      <c r="Z8" s="14">
        <v>116.12</v>
      </c>
      <c r="AA8" s="14">
        <v>86.66</v>
      </c>
      <c r="AB8" s="14">
        <v>123.92</v>
      </c>
      <c r="AC8" s="14">
        <v>94.05</v>
      </c>
      <c r="AD8" s="14">
        <v>13.75</v>
      </c>
      <c r="AE8" s="14">
        <v>0.45</v>
      </c>
      <c r="AF8" s="14">
        <v>0.25</v>
      </c>
      <c r="AG8" s="14">
        <v>0.8</v>
      </c>
      <c r="AH8" s="14"/>
      <c r="AI8" s="14">
        <v>1.35</v>
      </c>
      <c r="AJ8" s="14">
        <v>1.5</v>
      </c>
      <c r="AK8" s="14">
        <v>18.16</v>
      </c>
      <c r="AL8" s="14">
        <v>12.43</v>
      </c>
      <c r="AM8" s="14">
        <v>0.68799999999999994</v>
      </c>
      <c r="AN8" s="14">
        <v>13.916</v>
      </c>
      <c r="AO8" s="14">
        <v>12.867000000000001</v>
      </c>
      <c r="AP8" s="14">
        <v>82.087000000000003</v>
      </c>
      <c r="AQ8" s="14">
        <v>18</v>
      </c>
      <c r="AR8" s="14">
        <v>4.3330000000000002</v>
      </c>
      <c r="AS8" s="14">
        <v>13.667</v>
      </c>
      <c r="AT8" s="14">
        <v>32.726999999999997</v>
      </c>
      <c r="AU8" s="14">
        <v>18.181999999999999</v>
      </c>
      <c r="AV8" s="14">
        <v>58.182000000000002</v>
      </c>
      <c r="AW8" s="14"/>
      <c r="AX8" s="14">
        <v>98.182000000000002</v>
      </c>
      <c r="AY8" s="14">
        <v>109.09099999999999</v>
      </c>
      <c r="AZ8" s="14">
        <v>964.91</v>
      </c>
      <c r="BA8" s="14">
        <v>929.34</v>
      </c>
      <c r="BB8" s="14">
        <v>71.14</v>
      </c>
      <c r="BC8" s="14">
        <v>14</v>
      </c>
      <c r="BD8" s="14" t="s">
        <v>146</v>
      </c>
      <c r="BE8" s="14">
        <v>2</v>
      </c>
      <c r="BF8" s="14">
        <v>0</v>
      </c>
      <c r="BG8" s="14">
        <v>45686.597916666666</v>
      </c>
      <c r="BH8" s="14">
        <v>45686.597916666666</v>
      </c>
      <c r="BI8" s="14">
        <v>14</v>
      </c>
      <c r="BJ8" s="14" t="s">
        <v>130</v>
      </c>
      <c r="BK8" s="14" t="s">
        <v>134</v>
      </c>
      <c r="BL8" s="14">
        <v>1</v>
      </c>
      <c r="BM8" s="14">
        <v>1</v>
      </c>
      <c r="BN8" s="14" t="s">
        <v>135</v>
      </c>
      <c r="BP8" s="15"/>
      <c r="BQ8" s="4"/>
      <c r="BR8" s="4"/>
      <c r="BS8" s="4"/>
      <c r="BT8" s="4"/>
      <c r="BU8" s="4"/>
      <c r="BV8" s="4"/>
      <c r="BW8" s="4"/>
      <c r="BX8" s="22"/>
      <c r="CC8" s="1"/>
      <c r="CH8" s="1"/>
      <c r="CR8" s="3" t="e">
        <f>#REF!+0</f>
        <v>#REF!</v>
      </c>
      <c r="CS8" s="1"/>
      <c r="CT8" s="1" t="str">
        <f>IF((LEFT(SIOP[[#This Row],[Equipo3]],1)="T"),"TERCEROS","PROPIOS")</f>
        <v>PROPIOS</v>
      </c>
      <c r="CY8" s="1"/>
      <c r="DE8" s="1"/>
      <c r="DH8" s="1"/>
    </row>
    <row r="9" spans="1:112" x14ac:dyDescent="0.3">
      <c r="A9" s="14"/>
      <c r="B9" s="14">
        <v>45700.094444444447</v>
      </c>
      <c r="C9" s="14">
        <v>45700.161111111112</v>
      </c>
      <c r="D9" s="14" t="s">
        <v>124</v>
      </c>
      <c r="E9" s="14" t="s">
        <v>125</v>
      </c>
      <c r="F9" s="4">
        <v>13283672</v>
      </c>
      <c r="G9" s="4">
        <v>11113309</v>
      </c>
      <c r="H9" s="14" t="s">
        <v>147</v>
      </c>
      <c r="I9" s="14" t="s">
        <v>127</v>
      </c>
      <c r="J9" s="14" t="s">
        <v>128</v>
      </c>
      <c r="K9" s="14" t="s">
        <v>129</v>
      </c>
      <c r="L9" s="14" t="s">
        <v>130</v>
      </c>
      <c r="M9" s="14" t="s">
        <v>131</v>
      </c>
      <c r="N9" s="14" t="s">
        <v>132</v>
      </c>
      <c r="O9" s="14">
        <v>5.31</v>
      </c>
      <c r="P9" s="14">
        <v>153.37</v>
      </c>
      <c r="Q9" s="14">
        <v>18.04</v>
      </c>
      <c r="R9" s="14">
        <v>18.04</v>
      </c>
      <c r="S9" s="14">
        <v>18.04</v>
      </c>
      <c r="T9" s="14">
        <v>61.57</v>
      </c>
      <c r="U9" s="14">
        <v>14.941000000000001</v>
      </c>
      <c r="V9" s="14">
        <v>0.95599999999999996</v>
      </c>
      <c r="W9" s="14">
        <v>1.0109999999999999</v>
      </c>
      <c r="X9" s="14">
        <v>0.8</v>
      </c>
      <c r="Y9" s="14">
        <v>125.565</v>
      </c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>
        <v>18.04</v>
      </c>
      <c r="AL9" s="14">
        <v>12.406000000000001</v>
      </c>
      <c r="AM9" s="14">
        <v>0.66400000000000003</v>
      </c>
      <c r="AN9" s="14">
        <v>13.867000000000001</v>
      </c>
      <c r="AO9" s="14">
        <v>13.146000000000001</v>
      </c>
      <c r="AP9" s="14">
        <v>82.822000000000003</v>
      </c>
      <c r="AQ9" s="14"/>
      <c r="AR9" s="14"/>
      <c r="AS9" s="14"/>
      <c r="AT9" s="14"/>
      <c r="AU9" s="14"/>
      <c r="AV9" s="14"/>
      <c r="AW9" s="14"/>
      <c r="AX9" s="14"/>
      <c r="AY9" s="14"/>
      <c r="AZ9" s="14">
        <v>964.91</v>
      </c>
      <c r="BA9" s="14">
        <v>929.34</v>
      </c>
      <c r="BB9" s="14">
        <v>71.14</v>
      </c>
      <c r="BC9" s="14">
        <v>14</v>
      </c>
      <c r="BD9" s="14" t="s">
        <v>133</v>
      </c>
      <c r="BE9" s="14">
        <v>2</v>
      </c>
      <c r="BF9" s="14">
        <v>0</v>
      </c>
      <c r="BG9" s="14">
        <v>45686.597916666666</v>
      </c>
      <c r="BH9" s="14">
        <v>45686.597916666666</v>
      </c>
      <c r="BI9" s="14">
        <v>14</v>
      </c>
      <c r="BJ9" s="14" t="s">
        <v>130</v>
      </c>
      <c r="BK9" s="14" t="s">
        <v>134</v>
      </c>
      <c r="BL9" s="14">
        <v>1</v>
      </c>
      <c r="BM9" s="14">
        <v>1</v>
      </c>
      <c r="BN9" s="14" t="s">
        <v>135</v>
      </c>
      <c r="BP9" s="15"/>
      <c r="BQ9" s="4"/>
      <c r="BR9" s="4"/>
      <c r="BS9" s="4"/>
      <c r="BT9" s="4"/>
      <c r="BU9" s="4"/>
      <c r="BV9" s="4"/>
      <c r="BW9" s="4"/>
      <c r="BX9" s="22"/>
      <c r="CC9" s="1"/>
      <c r="CH9" s="1"/>
      <c r="CR9" s="3" t="e">
        <f>#REF!+0</f>
        <v>#REF!</v>
      </c>
      <c r="CS9" s="1"/>
      <c r="CT9" s="1" t="str">
        <f>IF((LEFT(SIOP[[#This Row],[Equipo3]],1)="T"),"TERCEROS","PROPIOS")</f>
        <v>PROPIOS</v>
      </c>
      <c r="CY9" s="1"/>
      <c r="DE9" s="1"/>
      <c r="DH9" s="1"/>
    </row>
    <row r="10" spans="1:112" x14ac:dyDescent="0.3">
      <c r="A10" s="14"/>
      <c r="B10" s="14">
        <v>45700.144444444442</v>
      </c>
      <c r="C10" s="14">
        <v>45700.182638888888</v>
      </c>
      <c r="D10" s="14" t="s">
        <v>124</v>
      </c>
      <c r="E10" s="14" t="s">
        <v>125</v>
      </c>
      <c r="F10" s="4">
        <v>13283712</v>
      </c>
      <c r="G10" s="4">
        <v>11113309</v>
      </c>
      <c r="H10" s="14" t="s">
        <v>148</v>
      </c>
      <c r="I10" s="14" t="s">
        <v>127</v>
      </c>
      <c r="J10" s="14" t="s">
        <v>128</v>
      </c>
      <c r="K10" s="14" t="s">
        <v>129</v>
      </c>
      <c r="L10" s="14" t="s">
        <v>130</v>
      </c>
      <c r="M10" s="14" t="s">
        <v>131</v>
      </c>
      <c r="N10" s="14" t="s">
        <v>132</v>
      </c>
      <c r="O10" s="14">
        <v>5.43</v>
      </c>
      <c r="P10" s="14">
        <v>151.6</v>
      </c>
      <c r="Q10" s="14">
        <v>16.5</v>
      </c>
      <c r="R10" s="14">
        <v>16.5</v>
      </c>
      <c r="S10" s="14">
        <v>16.5</v>
      </c>
      <c r="T10" s="14">
        <v>55.89</v>
      </c>
      <c r="U10" s="14">
        <v>13.648</v>
      </c>
      <c r="V10" s="14">
        <v>0.95699999999999996</v>
      </c>
      <c r="W10" s="14">
        <v>1.0109999999999999</v>
      </c>
      <c r="X10" s="14">
        <v>0.80400000000000005</v>
      </c>
      <c r="Y10" s="14">
        <v>115.565</v>
      </c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>
        <v>16.5</v>
      </c>
      <c r="AL10" s="14">
        <v>11.363</v>
      </c>
      <c r="AM10" s="14">
        <v>0.66900000000000004</v>
      </c>
      <c r="AN10" s="14">
        <v>12.762</v>
      </c>
      <c r="AO10" s="14">
        <v>13.004</v>
      </c>
      <c r="AP10" s="14">
        <v>82.715000000000003</v>
      </c>
      <c r="AQ10" s="14"/>
      <c r="AR10" s="14"/>
      <c r="AS10" s="14"/>
      <c r="AT10" s="14"/>
      <c r="AU10" s="14"/>
      <c r="AV10" s="14"/>
      <c r="AW10" s="14"/>
      <c r="AX10" s="14"/>
      <c r="AY10" s="14"/>
      <c r="AZ10" s="14">
        <v>972.68</v>
      </c>
      <c r="BA10" s="14">
        <v>937.14</v>
      </c>
      <c r="BB10" s="14">
        <v>71.08</v>
      </c>
      <c r="BC10" s="14">
        <v>14</v>
      </c>
      <c r="BD10" s="14" t="s">
        <v>133</v>
      </c>
      <c r="BE10" s="14">
        <v>2</v>
      </c>
      <c r="BF10" s="14">
        <v>0</v>
      </c>
      <c r="BG10" s="14">
        <v>45686.597916666666</v>
      </c>
      <c r="BH10" s="14">
        <v>45686.597916666666</v>
      </c>
      <c r="BI10" s="14">
        <v>14</v>
      </c>
      <c r="BJ10" s="14" t="s">
        <v>130</v>
      </c>
      <c r="BK10" s="14" t="s">
        <v>134</v>
      </c>
      <c r="BL10" s="14">
        <v>1</v>
      </c>
      <c r="BM10" s="14">
        <v>1</v>
      </c>
      <c r="BN10" s="14" t="s">
        <v>135</v>
      </c>
      <c r="BP10" s="15"/>
      <c r="BQ10" s="4"/>
      <c r="BR10" s="4"/>
      <c r="BS10" s="4"/>
      <c r="BT10" s="4"/>
      <c r="BU10" s="4"/>
      <c r="BV10" s="4"/>
      <c r="BW10" s="4"/>
      <c r="BX10" s="22"/>
      <c r="CC10" s="1"/>
      <c r="CH10" s="1"/>
      <c r="CR10" s="3" t="e">
        <f>#REF!+0</f>
        <v>#REF!</v>
      </c>
      <c r="CS10" s="1"/>
      <c r="CT10" s="1" t="str">
        <f>IF((LEFT(SIOP[[#This Row],[Equipo3]],1)="T"),"TERCEROS","PROPIOS")</f>
        <v>PROPIOS</v>
      </c>
      <c r="CY10" s="1"/>
      <c r="DE10" s="1"/>
      <c r="DH10" s="1"/>
    </row>
    <row r="11" spans="1:112" x14ac:dyDescent="0.3">
      <c r="A11" s="14"/>
      <c r="B11" s="14">
        <v>45700.144444444442</v>
      </c>
      <c r="C11" s="14">
        <v>45700.182638888888</v>
      </c>
      <c r="D11" s="14" t="s">
        <v>124</v>
      </c>
      <c r="E11" s="14" t="s">
        <v>125</v>
      </c>
      <c r="F11" s="4">
        <v>13283711</v>
      </c>
      <c r="G11" s="4">
        <v>11113309</v>
      </c>
      <c r="H11" s="14" t="s">
        <v>149</v>
      </c>
      <c r="I11" s="14" t="s">
        <v>127</v>
      </c>
      <c r="J11" s="14" t="s">
        <v>128</v>
      </c>
      <c r="K11" s="14" t="s">
        <v>129</v>
      </c>
      <c r="L11" s="14" t="s">
        <v>130</v>
      </c>
      <c r="M11" s="14" t="s">
        <v>131</v>
      </c>
      <c r="N11" s="14" t="s">
        <v>132</v>
      </c>
      <c r="O11" s="14">
        <v>5.3</v>
      </c>
      <c r="P11" s="14">
        <v>152.19999999999999</v>
      </c>
      <c r="Q11" s="14">
        <v>16.86</v>
      </c>
      <c r="R11" s="14">
        <v>16.86</v>
      </c>
      <c r="S11" s="14">
        <v>16.86</v>
      </c>
      <c r="T11" s="14">
        <v>56.95</v>
      </c>
      <c r="U11" s="14">
        <v>13.887</v>
      </c>
      <c r="V11" s="14">
        <v>0.95599999999999996</v>
      </c>
      <c r="W11" s="14">
        <v>1.0109999999999999</v>
      </c>
      <c r="X11" s="14">
        <v>0.81599999999999995</v>
      </c>
      <c r="Y11" s="14">
        <v>117.381</v>
      </c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>
        <v>16.86</v>
      </c>
      <c r="AL11" s="14">
        <v>11.542999999999999</v>
      </c>
      <c r="AM11" s="14">
        <v>0.67800000000000005</v>
      </c>
      <c r="AN11" s="14">
        <v>12.962</v>
      </c>
      <c r="AO11" s="14">
        <v>13.052</v>
      </c>
      <c r="AP11" s="14">
        <v>82.367000000000004</v>
      </c>
      <c r="AQ11" s="14"/>
      <c r="AR11" s="14"/>
      <c r="AS11" s="14"/>
      <c r="AT11" s="14"/>
      <c r="AU11" s="14"/>
      <c r="AV11" s="14"/>
      <c r="AW11" s="14"/>
      <c r="AX11" s="14"/>
      <c r="AY11" s="14"/>
      <c r="AZ11" s="14">
        <v>972.68</v>
      </c>
      <c r="BA11" s="14">
        <v>937.14</v>
      </c>
      <c r="BB11" s="14">
        <v>71.08</v>
      </c>
      <c r="BC11" s="14">
        <v>14</v>
      </c>
      <c r="BD11" s="14" t="s">
        <v>133</v>
      </c>
      <c r="BE11" s="14">
        <v>2</v>
      </c>
      <c r="BF11" s="14">
        <v>0</v>
      </c>
      <c r="BG11" s="14">
        <v>45686.597916666666</v>
      </c>
      <c r="BH11" s="14">
        <v>45686.597916666666</v>
      </c>
      <c r="BI11" s="14">
        <v>14</v>
      </c>
      <c r="BJ11" s="14" t="s">
        <v>130</v>
      </c>
      <c r="BK11" s="14" t="s">
        <v>134</v>
      </c>
      <c r="BL11" s="14">
        <v>1</v>
      </c>
      <c r="BM11" s="14">
        <v>1</v>
      </c>
      <c r="BN11" s="14" t="s">
        <v>135</v>
      </c>
      <c r="BP11" s="15"/>
      <c r="BQ11" s="4"/>
      <c r="BR11" s="4"/>
      <c r="BS11" s="4"/>
      <c r="BT11" s="4"/>
      <c r="BU11" s="4"/>
      <c r="BV11" s="4"/>
      <c r="BW11" s="4"/>
      <c r="BX11" s="22"/>
      <c r="CC11" s="1"/>
      <c r="CH11" s="1"/>
      <c r="CR11" s="3" t="e">
        <f>#REF!+0</f>
        <v>#REF!</v>
      </c>
      <c r="CS11" s="1"/>
      <c r="CT11" s="1" t="str">
        <f>IF((LEFT(SIOP[[#This Row],[Equipo3]],1)="T"),"TERCEROS","PROPIOS")</f>
        <v>PROPIOS</v>
      </c>
      <c r="CY11" s="1"/>
      <c r="DE11" s="1"/>
      <c r="DH11" s="1"/>
    </row>
    <row r="12" spans="1:112" x14ac:dyDescent="0.3">
      <c r="A12" s="14"/>
      <c r="B12" s="14">
        <v>45700.197916666664</v>
      </c>
      <c r="C12" s="14">
        <v>45700.23541666667</v>
      </c>
      <c r="D12" s="14" t="s">
        <v>124</v>
      </c>
      <c r="E12" s="14" t="s">
        <v>125</v>
      </c>
      <c r="F12" s="4">
        <v>13283751</v>
      </c>
      <c r="G12" s="4">
        <v>11113309</v>
      </c>
      <c r="H12" s="14" t="s">
        <v>150</v>
      </c>
      <c r="I12" s="14" t="s">
        <v>127</v>
      </c>
      <c r="J12" s="14" t="s">
        <v>128</v>
      </c>
      <c r="K12" s="14" t="s">
        <v>129</v>
      </c>
      <c r="L12" s="14" t="s">
        <v>130</v>
      </c>
      <c r="M12" s="14" t="s">
        <v>131</v>
      </c>
      <c r="N12" s="14" t="s">
        <v>132</v>
      </c>
      <c r="O12" s="14">
        <v>5.41</v>
      </c>
      <c r="P12" s="14">
        <v>152.19</v>
      </c>
      <c r="Q12" s="14">
        <v>17.899999999999999</v>
      </c>
      <c r="R12" s="14">
        <v>17.899999999999999</v>
      </c>
      <c r="S12" s="14">
        <v>17.899999999999999</v>
      </c>
      <c r="T12" s="14">
        <v>61.71</v>
      </c>
      <c r="U12" s="14">
        <v>14.984</v>
      </c>
      <c r="V12" s="14">
        <v>0.95599999999999996</v>
      </c>
      <c r="W12" s="14">
        <v>1.0109999999999999</v>
      </c>
      <c r="X12" s="14">
        <v>0.77</v>
      </c>
      <c r="Y12" s="14">
        <v>125.818</v>
      </c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>
        <v>17.899999999999999</v>
      </c>
      <c r="AL12" s="14">
        <v>12.455</v>
      </c>
      <c r="AM12" s="14">
        <v>0.64</v>
      </c>
      <c r="AN12" s="14">
        <v>13.895</v>
      </c>
      <c r="AO12" s="14">
        <v>13.051</v>
      </c>
      <c r="AP12" s="14">
        <v>83.709000000000003</v>
      </c>
      <c r="AQ12" s="14"/>
      <c r="AR12" s="14"/>
      <c r="AS12" s="14"/>
      <c r="AT12" s="14"/>
      <c r="AU12" s="14"/>
      <c r="AV12" s="14"/>
      <c r="AW12" s="14"/>
      <c r="AX12" s="14"/>
      <c r="AY12" s="14"/>
      <c r="AZ12" s="14">
        <v>1109.69</v>
      </c>
      <c r="BA12" s="14">
        <v>1074.95</v>
      </c>
      <c r="BB12" s="14">
        <v>69.48</v>
      </c>
      <c r="BC12" s="14">
        <v>14</v>
      </c>
      <c r="BD12" s="14" t="s">
        <v>133</v>
      </c>
      <c r="BE12" s="14">
        <v>2</v>
      </c>
      <c r="BF12" s="14">
        <v>0</v>
      </c>
      <c r="BG12" s="14">
        <v>45686.597916666666</v>
      </c>
      <c r="BH12" s="14">
        <v>45686.597916666666</v>
      </c>
      <c r="BI12" s="14">
        <v>14</v>
      </c>
      <c r="BJ12" s="14" t="s">
        <v>130</v>
      </c>
      <c r="BK12" s="14" t="s">
        <v>134</v>
      </c>
      <c r="BL12" s="14">
        <v>1</v>
      </c>
      <c r="BM12" s="14">
        <v>1</v>
      </c>
      <c r="BN12" s="14" t="s">
        <v>135</v>
      </c>
      <c r="BP12" s="15"/>
      <c r="BQ12" s="4"/>
      <c r="BR12" s="4"/>
      <c r="BS12" s="4"/>
      <c r="BT12" s="4"/>
      <c r="BU12" s="4"/>
      <c r="BV12" s="4"/>
      <c r="BW12" s="4"/>
      <c r="BX12" s="22"/>
      <c r="CC12" s="1"/>
      <c r="CH12" s="1"/>
      <c r="CR12" s="3" t="e">
        <f>#REF!+0</f>
        <v>#REF!</v>
      </c>
      <c r="CS12" s="1"/>
      <c r="CT12" s="1" t="str">
        <f>IF((LEFT(SIOP[[#This Row],[Equipo3]],1)="T"),"TERCEROS","PROPIOS")</f>
        <v>PROPIOS</v>
      </c>
      <c r="CY12" s="1"/>
      <c r="DD12"/>
      <c r="DE12" s="1"/>
      <c r="DG12" s="4"/>
      <c r="DH12" s="1"/>
    </row>
    <row r="13" spans="1:112" x14ac:dyDescent="0.3">
      <c r="A13" s="14"/>
      <c r="B13" s="14">
        <v>45700.197916666664</v>
      </c>
      <c r="C13" s="14">
        <v>45700.23541666667</v>
      </c>
      <c r="D13" s="14" t="s">
        <v>124</v>
      </c>
      <c r="E13" s="14" t="s">
        <v>125</v>
      </c>
      <c r="F13" s="4">
        <v>13283752</v>
      </c>
      <c r="G13" s="4">
        <v>11113309</v>
      </c>
      <c r="H13" s="14" t="s">
        <v>151</v>
      </c>
      <c r="I13" s="14" t="s">
        <v>127</v>
      </c>
      <c r="J13" s="14" t="s">
        <v>128</v>
      </c>
      <c r="K13" s="14" t="s">
        <v>129</v>
      </c>
      <c r="L13" s="14" t="s">
        <v>130</v>
      </c>
      <c r="M13" s="14" t="s">
        <v>131</v>
      </c>
      <c r="N13" s="14" t="s">
        <v>132</v>
      </c>
      <c r="O13" s="14">
        <v>5.29</v>
      </c>
      <c r="P13" s="14">
        <v>158.79</v>
      </c>
      <c r="Q13" s="14">
        <v>20.02</v>
      </c>
      <c r="R13" s="14">
        <v>20.02</v>
      </c>
      <c r="S13" s="14">
        <v>20.02</v>
      </c>
      <c r="T13" s="14">
        <v>70.72</v>
      </c>
      <c r="U13" s="14">
        <v>17.023</v>
      </c>
      <c r="V13" s="14">
        <v>0.95299999999999996</v>
      </c>
      <c r="W13" s="14">
        <v>1.01</v>
      </c>
      <c r="X13" s="14">
        <v>0.72399999999999998</v>
      </c>
      <c r="Y13" s="14">
        <v>140.488</v>
      </c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>
        <v>20.02</v>
      </c>
      <c r="AL13" s="14">
        <v>14.02</v>
      </c>
      <c r="AM13" s="14">
        <v>0.59599999999999997</v>
      </c>
      <c r="AN13" s="14">
        <v>15.500999999999999</v>
      </c>
      <c r="AO13" s="14">
        <v>13.579000000000001</v>
      </c>
      <c r="AP13" s="14">
        <v>85.03</v>
      </c>
      <c r="AQ13" s="14"/>
      <c r="AR13" s="14"/>
      <c r="AS13" s="14"/>
      <c r="AT13" s="14"/>
      <c r="AU13" s="14"/>
      <c r="AV13" s="14"/>
      <c r="AW13" s="14"/>
      <c r="AX13" s="14"/>
      <c r="AY13" s="14"/>
      <c r="AZ13" s="14">
        <v>1109.69</v>
      </c>
      <c r="BA13" s="14">
        <v>1074.95</v>
      </c>
      <c r="BB13" s="14">
        <v>69.48</v>
      </c>
      <c r="BC13" s="14">
        <v>14</v>
      </c>
      <c r="BD13" s="14" t="s">
        <v>133</v>
      </c>
      <c r="BE13" s="14">
        <v>2</v>
      </c>
      <c r="BF13" s="14">
        <v>0</v>
      </c>
      <c r="BG13" s="14">
        <v>45686.597916666666</v>
      </c>
      <c r="BH13" s="14">
        <v>45686.597916666666</v>
      </c>
      <c r="BI13" s="14">
        <v>14</v>
      </c>
      <c r="BJ13" s="14" t="s">
        <v>130</v>
      </c>
      <c r="BK13" s="14" t="s">
        <v>134</v>
      </c>
      <c r="BL13" s="14">
        <v>1</v>
      </c>
      <c r="BM13" s="14">
        <v>1</v>
      </c>
      <c r="BN13" s="14" t="s">
        <v>135</v>
      </c>
      <c r="BP13" s="15"/>
      <c r="BQ13" s="4"/>
      <c r="BR13" s="4"/>
      <c r="BS13" s="4"/>
      <c r="BT13" s="4"/>
      <c r="BU13" s="4"/>
      <c r="BV13" s="4"/>
      <c r="BW13" s="4"/>
      <c r="BX13" s="22"/>
      <c r="CC13" s="1"/>
      <c r="CH13" s="1"/>
      <c r="CR13" s="3" t="e">
        <f>#REF!+0</f>
        <v>#REF!</v>
      </c>
      <c r="CS13" s="1"/>
      <c r="CT13" s="1" t="str">
        <f>IF((LEFT(SIOP[[#This Row],[Equipo3]],1)="T"),"TERCEROS","PROPIOS")</f>
        <v>PROPIOS</v>
      </c>
      <c r="CY13" s="1"/>
      <c r="DD13"/>
      <c r="DE13" s="1"/>
      <c r="DG13" s="4"/>
      <c r="DH13" s="1"/>
    </row>
    <row r="14" spans="1:112" x14ac:dyDescent="0.3">
      <c r="A14" s="14"/>
      <c r="B14" s="14">
        <v>45700.20208333333</v>
      </c>
      <c r="C14" s="14">
        <v>45700.224999999999</v>
      </c>
      <c r="D14" s="14" t="s">
        <v>124</v>
      </c>
      <c r="E14" s="14" t="s">
        <v>125</v>
      </c>
      <c r="F14" s="4">
        <v>13283761</v>
      </c>
      <c r="G14" s="4">
        <v>11113307</v>
      </c>
      <c r="H14" s="14" t="s">
        <v>152</v>
      </c>
      <c r="I14" s="14" t="s">
        <v>138</v>
      </c>
      <c r="J14" s="14" t="s">
        <v>139</v>
      </c>
      <c r="K14" s="14" t="s">
        <v>140</v>
      </c>
      <c r="L14" s="14" t="s">
        <v>130</v>
      </c>
      <c r="M14" s="14" t="s">
        <v>131</v>
      </c>
      <c r="N14" s="14" t="s">
        <v>132</v>
      </c>
      <c r="O14" s="14">
        <v>5.29</v>
      </c>
      <c r="P14" s="14">
        <v>155.86000000000001</v>
      </c>
      <c r="Q14" s="14">
        <v>20.399999999999999</v>
      </c>
      <c r="R14" s="14">
        <v>20.399999999999999</v>
      </c>
      <c r="S14" s="14">
        <v>20.399999999999999</v>
      </c>
      <c r="T14" s="14">
        <v>73.38</v>
      </c>
      <c r="U14" s="14">
        <v>17.635999999999999</v>
      </c>
      <c r="V14" s="14">
        <v>0.95499999999999996</v>
      </c>
      <c r="W14" s="14">
        <v>1.0089999999999999</v>
      </c>
      <c r="X14" s="14">
        <v>0.67600000000000005</v>
      </c>
      <c r="Y14" s="14">
        <v>145.68799999999999</v>
      </c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>
        <v>20.399999999999999</v>
      </c>
      <c r="AL14" s="14">
        <v>14.595000000000001</v>
      </c>
      <c r="AM14" s="14">
        <v>0.55900000000000005</v>
      </c>
      <c r="AN14" s="14">
        <v>16.059999999999999</v>
      </c>
      <c r="AO14" s="14">
        <v>13.345000000000001</v>
      </c>
      <c r="AP14" s="14">
        <v>86.450999999999993</v>
      </c>
      <c r="AQ14" s="14"/>
      <c r="AR14" s="14"/>
      <c r="AS14" s="14"/>
      <c r="AT14" s="14"/>
      <c r="AU14" s="14"/>
      <c r="AV14" s="14"/>
      <c r="AW14" s="14"/>
      <c r="AX14" s="14"/>
      <c r="AY14" s="14"/>
      <c r="AZ14" s="14">
        <v>965.22</v>
      </c>
      <c r="BA14" s="14">
        <v>930.68</v>
      </c>
      <c r="BB14" s="14">
        <v>69.08</v>
      </c>
      <c r="BC14" s="14">
        <v>14</v>
      </c>
      <c r="BD14" s="14" t="s">
        <v>133</v>
      </c>
      <c r="BE14" s="14">
        <v>2</v>
      </c>
      <c r="BF14" s="14">
        <v>0</v>
      </c>
      <c r="BG14" s="14">
        <v>45686.597916666666</v>
      </c>
      <c r="BH14" s="14">
        <v>45686.597916666666</v>
      </c>
      <c r="BI14" s="14">
        <v>14</v>
      </c>
      <c r="BJ14" s="14" t="s">
        <v>130</v>
      </c>
      <c r="BK14" s="14" t="s">
        <v>134</v>
      </c>
      <c r="BL14" s="14">
        <v>1</v>
      </c>
      <c r="BM14" s="14">
        <v>1</v>
      </c>
      <c r="BN14" s="14" t="s">
        <v>135</v>
      </c>
      <c r="BP14" s="15"/>
      <c r="BQ14" s="4"/>
      <c r="BR14" s="4"/>
      <c r="BS14" s="4"/>
      <c r="BT14" s="4"/>
      <c r="BU14" s="4"/>
      <c r="BV14" s="4"/>
      <c r="BW14" s="4"/>
      <c r="BX14" s="22"/>
      <c r="CC14" s="1"/>
      <c r="CH14" s="1"/>
      <c r="CR14" s="3" t="e">
        <f>#REF!+0</f>
        <v>#REF!</v>
      </c>
      <c r="CS14" s="1"/>
      <c r="CT14" s="1" t="str">
        <f>IF((LEFT(SIOP[[#This Row],[Equipo3]],1)="T"),"TERCEROS","PROPIOS")</f>
        <v>PROPIOS</v>
      </c>
      <c r="CY14" s="1"/>
      <c r="DD14"/>
      <c r="DE14" s="1"/>
      <c r="DG14" s="4"/>
      <c r="DH14" s="1"/>
    </row>
    <row r="15" spans="1:112" x14ac:dyDescent="0.3">
      <c r="A15" s="14"/>
      <c r="B15" s="14">
        <v>45700.20208333333</v>
      </c>
      <c r="C15" s="14">
        <v>45700.224999999999</v>
      </c>
      <c r="D15" s="14" t="s">
        <v>124</v>
      </c>
      <c r="E15" s="14" t="s">
        <v>125</v>
      </c>
      <c r="F15" s="4">
        <v>13283762</v>
      </c>
      <c r="G15" s="4">
        <v>11113307</v>
      </c>
      <c r="H15" s="14" t="s">
        <v>153</v>
      </c>
      <c r="I15" s="14" t="s">
        <v>138</v>
      </c>
      <c r="J15" s="14" t="s">
        <v>139</v>
      </c>
      <c r="K15" s="14" t="s">
        <v>140</v>
      </c>
      <c r="L15" s="14" t="s">
        <v>130</v>
      </c>
      <c r="M15" s="14" t="s">
        <v>131</v>
      </c>
      <c r="N15" s="14" t="s">
        <v>132</v>
      </c>
      <c r="O15" s="14">
        <v>5.15</v>
      </c>
      <c r="P15" s="14">
        <v>158.80000000000001</v>
      </c>
      <c r="Q15" s="14">
        <v>20.7</v>
      </c>
      <c r="R15" s="14">
        <v>20.7</v>
      </c>
      <c r="S15" s="14">
        <v>20.7</v>
      </c>
      <c r="T15" s="14">
        <v>75.489999999999995</v>
      </c>
      <c r="U15" s="14">
        <v>18.120999999999999</v>
      </c>
      <c r="V15" s="14">
        <v>0.95299999999999996</v>
      </c>
      <c r="W15" s="14">
        <v>1.0089999999999999</v>
      </c>
      <c r="X15" s="14">
        <v>0.63800000000000001</v>
      </c>
      <c r="Y15" s="14">
        <v>148.54599999999999</v>
      </c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>
        <v>20.7</v>
      </c>
      <c r="AL15" s="14">
        <v>14.923999999999999</v>
      </c>
      <c r="AM15" s="14">
        <v>0.52500000000000002</v>
      </c>
      <c r="AN15" s="14">
        <v>16.376000000000001</v>
      </c>
      <c r="AO15" s="14">
        <v>13.58</v>
      </c>
      <c r="AP15" s="14">
        <v>87.540999999999997</v>
      </c>
      <c r="AQ15" s="14"/>
      <c r="AR15" s="14"/>
      <c r="AS15" s="14"/>
      <c r="AT15" s="14"/>
      <c r="AU15" s="14"/>
      <c r="AV15" s="14"/>
      <c r="AW15" s="14"/>
      <c r="AX15" s="14"/>
      <c r="AY15" s="14"/>
      <c r="AZ15" s="14">
        <v>965.22</v>
      </c>
      <c r="BA15" s="14">
        <v>930.68</v>
      </c>
      <c r="BB15" s="14">
        <v>69.08</v>
      </c>
      <c r="BC15" s="14">
        <v>14</v>
      </c>
      <c r="BD15" s="14" t="s">
        <v>133</v>
      </c>
      <c r="BE15" s="14">
        <v>2</v>
      </c>
      <c r="BF15" s="14">
        <v>0</v>
      </c>
      <c r="BG15" s="14">
        <v>45686.597916666666</v>
      </c>
      <c r="BH15" s="14">
        <v>45686.597916666666</v>
      </c>
      <c r="BI15" s="14">
        <v>14</v>
      </c>
      <c r="BJ15" s="14" t="s">
        <v>130</v>
      </c>
      <c r="BK15" s="14" t="s">
        <v>134</v>
      </c>
      <c r="BL15" s="14">
        <v>1</v>
      </c>
      <c r="BM15" s="14">
        <v>1</v>
      </c>
      <c r="BN15" s="14" t="s">
        <v>135</v>
      </c>
      <c r="BP15" s="15"/>
      <c r="BQ15" s="4"/>
      <c r="BR15" s="4"/>
      <c r="BS15" s="4"/>
      <c r="BT15" s="4"/>
      <c r="BU15" s="4"/>
      <c r="BV15" s="4"/>
      <c r="BW15" s="4"/>
      <c r="BX15" s="22"/>
      <c r="CC15" s="1"/>
      <c r="CH15" s="1"/>
      <c r="CR15" s="3" t="e">
        <f>#REF!+0</f>
        <v>#REF!</v>
      </c>
      <c r="CS15" s="1"/>
      <c r="CT15" s="1" t="str">
        <f>IF((LEFT(SIOP[[#This Row],[Equipo3]],1)="T"),"TERCEROS","PROPIOS")</f>
        <v>PROPIOS</v>
      </c>
      <c r="CY15" s="1"/>
      <c r="DD15"/>
      <c r="DE15" s="1"/>
      <c r="DG15" s="4"/>
      <c r="DH15" s="1"/>
    </row>
    <row r="16" spans="1:112" x14ac:dyDescent="0.3">
      <c r="A16" s="14"/>
      <c r="B16" s="14">
        <v>45700.277777777781</v>
      </c>
      <c r="C16" s="14">
        <v>45700.290972222225</v>
      </c>
      <c r="D16" s="14" t="s">
        <v>154</v>
      </c>
      <c r="E16" s="14" t="s">
        <v>125</v>
      </c>
      <c r="F16" s="4">
        <v>13283801</v>
      </c>
      <c r="G16" s="4">
        <v>11113309</v>
      </c>
      <c r="H16" s="14" t="s">
        <v>155</v>
      </c>
      <c r="I16" s="14" t="s">
        <v>127</v>
      </c>
      <c r="J16" s="14" t="s">
        <v>128</v>
      </c>
      <c r="K16" s="14" t="s">
        <v>129</v>
      </c>
      <c r="L16" s="14" t="s">
        <v>130</v>
      </c>
      <c r="M16" s="14" t="s">
        <v>131</v>
      </c>
      <c r="N16" s="14" t="s">
        <v>132</v>
      </c>
      <c r="O16" s="14">
        <v>5.31</v>
      </c>
      <c r="P16" s="14">
        <v>180.11</v>
      </c>
      <c r="Q16" s="14">
        <v>18.8</v>
      </c>
      <c r="R16" s="14">
        <v>18.8</v>
      </c>
      <c r="S16" s="14">
        <v>18.8</v>
      </c>
      <c r="T16" s="14">
        <v>65.27</v>
      </c>
      <c r="U16" s="14">
        <v>15.79</v>
      </c>
      <c r="V16" s="14">
        <v>0.94299999999999995</v>
      </c>
      <c r="W16" s="14">
        <v>1.01</v>
      </c>
      <c r="X16" s="14">
        <v>0.76</v>
      </c>
      <c r="Y16" s="14">
        <v>127.047</v>
      </c>
      <c r="Z16" s="14">
        <v>123.8</v>
      </c>
      <c r="AA16" s="14">
        <v>94.32</v>
      </c>
      <c r="AB16" s="14">
        <v>116.09</v>
      </c>
      <c r="AC16" s="14">
        <v>86.25</v>
      </c>
      <c r="AD16" s="14">
        <v>11.85</v>
      </c>
      <c r="AE16" s="14">
        <v>0.55000000000000004</v>
      </c>
      <c r="AF16" s="14">
        <v>0.3</v>
      </c>
      <c r="AG16" s="14">
        <v>0.65</v>
      </c>
      <c r="AH16" s="14"/>
      <c r="AI16" s="14">
        <v>0.15</v>
      </c>
      <c r="AJ16" s="14">
        <v>1.5</v>
      </c>
      <c r="AK16" s="14">
        <v>18.8</v>
      </c>
      <c r="AL16" s="14">
        <v>12.614000000000001</v>
      </c>
      <c r="AM16" s="14">
        <v>0.60699999999999998</v>
      </c>
      <c r="AN16" s="14">
        <v>14.018000000000001</v>
      </c>
      <c r="AO16" s="14">
        <v>15.285</v>
      </c>
      <c r="AP16" s="14">
        <v>83.989000000000004</v>
      </c>
      <c r="AQ16" s="14">
        <v>17.332999999999998</v>
      </c>
      <c r="AR16" s="14">
        <v>5.3330000000000002</v>
      </c>
      <c r="AS16" s="14">
        <v>12</v>
      </c>
      <c r="AT16" s="14">
        <v>46.414000000000001</v>
      </c>
      <c r="AU16" s="14">
        <v>25.315999999999999</v>
      </c>
      <c r="AV16" s="14">
        <v>54.851999999999997</v>
      </c>
      <c r="AW16" s="14"/>
      <c r="AX16" s="14">
        <v>12.657999999999999</v>
      </c>
      <c r="AY16" s="14">
        <v>126.58199999999999</v>
      </c>
      <c r="AZ16" s="14">
        <v>848.01</v>
      </c>
      <c r="BA16" s="14">
        <v>813.7</v>
      </c>
      <c r="BB16" s="14">
        <v>68.62</v>
      </c>
      <c r="BC16" s="14">
        <v>14</v>
      </c>
      <c r="BD16" s="14" t="s">
        <v>156</v>
      </c>
      <c r="BE16" s="14">
        <v>2</v>
      </c>
      <c r="BF16" s="14">
        <v>0</v>
      </c>
      <c r="BG16" s="14">
        <v>45686.597916666666</v>
      </c>
      <c r="BH16" s="14">
        <v>45686.597916666666</v>
      </c>
      <c r="BI16" s="14">
        <v>14</v>
      </c>
      <c r="BJ16" s="14" t="s">
        <v>130</v>
      </c>
      <c r="BK16" s="14" t="s">
        <v>134</v>
      </c>
      <c r="BL16" s="14">
        <v>1</v>
      </c>
      <c r="BM16" s="14">
        <v>1</v>
      </c>
      <c r="BN16" s="14" t="s">
        <v>135</v>
      </c>
      <c r="BP16" s="15"/>
      <c r="BQ16" s="4"/>
      <c r="BR16" s="4"/>
      <c r="BS16" s="4"/>
      <c r="BT16" s="4"/>
      <c r="BU16" s="4"/>
      <c r="BV16" s="4"/>
      <c r="BW16" s="4"/>
      <c r="BX16" s="22"/>
      <c r="CC16" s="1"/>
      <c r="CH16" s="1"/>
      <c r="CR16" s="3" t="e">
        <f>#REF!+0</f>
        <v>#REF!</v>
      </c>
      <c r="CS16" s="1"/>
      <c r="CT16" s="1" t="str">
        <f>IF((LEFT(SIOP[[#This Row],[Equipo3]],1)="T"),"TERCEROS","PROPIOS")</f>
        <v>PROPIOS</v>
      </c>
      <c r="CY16" s="1"/>
      <c r="DD16"/>
      <c r="DE16" s="1"/>
      <c r="DG16" s="4"/>
      <c r="DH16" s="1"/>
    </row>
    <row r="17" spans="1:112" x14ac:dyDescent="0.3">
      <c r="A17" s="14"/>
      <c r="B17" s="14">
        <v>45700.277777777781</v>
      </c>
      <c r="C17" s="14">
        <v>45700.290972222225</v>
      </c>
      <c r="D17" s="14" t="s">
        <v>154</v>
      </c>
      <c r="E17" s="14" t="s">
        <v>125</v>
      </c>
      <c r="F17" s="4">
        <v>13283802</v>
      </c>
      <c r="G17" s="4">
        <v>11113309</v>
      </c>
      <c r="H17" s="14" t="s">
        <v>157</v>
      </c>
      <c r="I17" s="14" t="s">
        <v>127</v>
      </c>
      <c r="J17" s="14" t="s">
        <v>128</v>
      </c>
      <c r="K17" s="14" t="s">
        <v>129</v>
      </c>
      <c r="L17" s="14" t="s">
        <v>130</v>
      </c>
      <c r="M17" s="14" t="s">
        <v>131</v>
      </c>
      <c r="N17" s="14" t="s">
        <v>132</v>
      </c>
      <c r="O17" s="14">
        <v>5.23</v>
      </c>
      <c r="P17" s="14">
        <v>179.64</v>
      </c>
      <c r="Q17" s="14">
        <v>19.53</v>
      </c>
      <c r="R17" s="14">
        <v>19.53</v>
      </c>
      <c r="S17" s="14">
        <v>19.53</v>
      </c>
      <c r="T17" s="14">
        <v>70.349999999999994</v>
      </c>
      <c r="U17" s="14">
        <v>16.968</v>
      </c>
      <c r="V17" s="14">
        <v>0.94399999999999995</v>
      </c>
      <c r="W17" s="14">
        <v>1.0089999999999999</v>
      </c>
      <c r="X17" s="14">
        <v>0.66100000000000003</v>
      </c>
      <c r="Y17" s="14">
        <v>135.59899999999999</v>
      </c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>
        <v>19.53</v>
      </c>
      <c r="AL17" s="14">
        <v>13.576000000000001</v>
      </c>
      <c r="AM17" s="14">
        <v>0.52900000000000003</v>
      </c>
      <c r="AN17" s="14">
        <v>14.948</v>
      </c>
      <c r="AO17" s="14">
        <v>15.247</v>
      </c>
      <c r="AP17" s="14">
        <v>86.882000000000005</v>
      </c>
      <c r="AQ17" s="14"/>
      <c r="AR17" s="14"/>
      <c r="AS17" s="14"/>
      <c r="AT17" s="14"/>
      <c r="AU17" s="14"/>
      <c r="AV17" s="14"/>
      <c r="AW17" s="14"/>
      <c r="AX17" s="14"/>
      <c r="AY17" s="14"/>
      <c r="AZ17" s="14">
        <v>848.01</v>
      </c>
      <c r="BA17" s="14">
        <v>813.7</v>
      </c>
      <c r="BB17" s="14">
        <v>68.62</v>
      </c>
      <c r="BC17" s="14">
        <v>14</v>
      </c>
      <c r="BD17" s="14" t="s">
        <v>133</v>
      </c>
      <c r="BE17" s="14">
        <v>2</v>
      </c>
      <c r="BF17" s="14">
        <v>0</v>
      </c>
      <c r="BG17" s="14">
        <v>45686.597916666666</v>
      </c>
      <c r="BH17" s="14">
        <v>45686.597916666666</v>
      </c>
      <c r="BI17" s="14">
        <v>14</v>
      </c>
      <c r="BJ17" s="14" t="s">
        <v>130</v>
      </c>
      <c r="BK17" s="14" t="s">
        <v>134</v>
      </c>
      <c r="BL17" s="14">
        <v>1</v>
      </c>
      <c r="BM17" s="14">
        <v>1</v>
      </c>
      <c r="BN17" s="14" t="s">
        <v>135</v>
      </c>
      <c r="BP17" s="15"/>
      <c r="BQ17" s="4"/>
      <c r="BR17" s="4"/>
      <c r="BS17" s="4"/>
      <c r="BT17" s="4"/>
      <c r="BU17" s="4"/>
      <c r="BV17" s="4"/>
      <c r="BW17" s="4"/>
      <c r="BX17" s="22"/>
      <c r="CC17" s="1"/>
      <c r="CH17" s="1"/>
      <c r="CR17" s="3" t="e">
        <f>#REF!+0</f>
        <v>#REF!</v>
      </c>
      <c r="CS17" s="1"/>
      <c r="CT17" s="1" t="str">
        <f>IF((LEFT(SIOP[[#This Row],[Equipo3]],1)="T"),"TERCEROS","PROPIOS")</f>
        <v>PROPIOS</v>
      </c>
      <c r="CY17" s="1"/>
      <c r="DD17"/>
      <c r="DE17" s="1"/>
      <c r="DG17" s="4"/>
      <c r="DH17" s="1"/>
    </row>
    <row r="18" spans="1:112" x14ac:dyDescent="0.3">
      <c r="A18" s="14"/>
      <c r="B18" s="14">
        <v>45700.284722222219</v>
      </c>
      <c r="C18" s="14">
        <v>45700.432638888888</v>
      </c>
      <c r="D18" s="14" t="s">
        <v>154</v>
      </c>
      <c r="E18" s="14" t="s">
        <v>125</v>
      </c>
      <c r="F18" s="4">
        <v>13283822</v>
      </c>
      <c r="G18" s="4">
        <v>11113246</v>
      </c>
      <c r="H18" s="14" t="s">
        <v>158</v>
      </c>
      <c r="I18" s="14" t="s">
        <v>159</v>
      </c>
      <c r="J18" s="14" t="s">
        <v>159</v>
      </c>
      <c r="K18" s="14" t="s">
        <v>160</v>
      </c>
      <c r="L18" s="14" t="s">
        <v>161</v>
      </c>
      <c r="M18" s="14" t="s">
        <v>162</v>
      </c>
      <c r="N18" s="14" t="s">
        <v>163</v>
      </c>
      <c r="O18" s="14">
        <v>5.35</v>
      </c>
      <c r="P18" s="14">
        <v>175.98</v>
      </c>
      <c r="Q18" s="14">
        <v>20.420000000000002</v>
      </c>
      <c r="R18" s="14">
        <v>20.420000000000002</v>
      </c>
      <c r="S18" s="14">
        <v>20.420000000000002</v>
      </c>
      <c r="T18" s="14">
        <v>74.34</v>
      </c>
      <c r="U18" s="14">
        <v>17.864999999999998</v>
      </c>
      <c r="V18" s="14">
        <v>0.94499999999999995</v>
      </c>
      <c r="W18" s="14">
        <v>1.008</v>
      </c>
      <c r="X18" s="14">
        <v>0.64</v>
      </c>
      <c r="Y18" s="14">
        <v>142.994</v>
      </c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>
        <v>20.420000000000002</v>
      </c>
      <c r="AL18" s="14">
        <v>14.358000000000001</v>
      </c>
      <c r="AM18" s="14">
        <v>0.51400000000000001</v>
      </c>
      <c r="AN18" s="14">
        <v>15.749000000000001</v>
      </c>
      <c r="AO18" s="14">
        <v>14.954000000000001</v>
      </c>
      <c r="AP18" s="14">
        <v>87.488</v>
      </c>
      <c r="AQ18" s="14"/>
      <c r="AR18" s="14"/>
      <c r="AS18" s="14"/>
      <c r="AT18" s="14"/>
      <c r="AU18" s="14"/>
      <c r="AV18" s="14"/>
      <c r="AW18" s="14"/>
      <c r="AX18" s="14"/>
      <c r="AY18" s="14"/>
      <c r="AZ18" s="14">
        <v>926.57</v>
      </c>
      <c r="BA18" s="14">
        <v>893.43</v>
      </c>
      <c r="BB18" s="14">
        <v>66.28</v>
      </c>
      <c r="BC18" s="14">
        <v>157</v>
      </c>
      <c r="BD18" s="14" t="s">
        <v>133</v>
      </c>
      <c r="BE18" s="14">
        <v>2</v>
      </c>
      <c r="BF18" s="14">
        <v>0</v>
      </c>
      <c r="BG18" s="14">
        <v>45686.597916666666</v>
      </c>
      <c r="BH18" s="14">
        <v>45686.597916666666</v>
      </c>
      <c r="BI18" s="14">
        <v>157</v>
      </c>
      <c r="BJ18" s="14" t="s">
        <v>161</v>
      </c>
      <c r="BK18" s="14" t="s">
        <v>164</v>
      </c>
      <c r="BL18" s="14">
        <v>2</v>
      </c>
      <c r="BM18" s="14">
        <v>1</v>
      </c>
      <c r="BN18" s="14" t="s">
        <v>165</v>
      </c>
      <c r="BP18" s="15"/>
      <c r="BQ18" s="4"/>
      <c r="BR18" s="4"/>
      <c r="BS18" s="4"/>
      <c r="BT18" s="4"/>
      <c r="BU18" s="4"/>
      <c r="BV18" s="4"/>
      <c r="BW18" s="4"/>
      <c r="BX18" s="22"/>
      <c r="CC18" s="1"/>
      <c r="CH18" s="1"/>
      <c r="CR18" s="3" t="e">
        <f>#REF!+0</f>
        <v>#REF!</v>
      </c>
      <c r="CS18" s="1"/>
      <c r="CT18" s="1" t="str">
        <f>IF((LEFT(SIOP[[#This Row],[Equipo3]],1)="T"),"TERCEROS","PROPIOS")</f>
        <v>PROPIOS</v>
      </c>
      <c r="CY18" s="1"/>
      <c r="DD18"/>
      <c r="DE18" s="1"/>
      <c r="DG18" s="4"/>
      <c r="DH18" s="1"/>
    </row>
    <row r="19" spans="1:112" x14ac:dyDescent="0.3">
      <c r="A19" s="14"/>
      <c r="B19" s="14">
        <v>45700.284722222219</v>
      </c>
      <c r="C19" s="14">
        <v>45700.432638888888</v>
      </c>
      <c r="D19" s="14" t="s">
        <v>154</v>
      </c>
      <c r="E19" s="14" t="s">
        <v>125</v>
      </c>
      <c r="F19" s="4">
        <v>13283821</v>
      </c>
      <c r="G19" s="4">
        <v>11113246</v>
      </c>
      <c r="H19" s="14" t="s">
        <v>166</v>
      </c>
      <c r="I19" s="14" t="s">
        <v>159</v>
      </c>
      <c r="J19" s="14" t="s">
        <v>159</v>
      </c>
      <c r="K19" s="14" t="s">
        <v>160</v>
      </c>
      <c r="L19" s="14" t="s">
        <v>161</v>
      </c>
      <c r="M19" s="14" t="s">
        <v>162</v>
      </c>
      <c r="N19" s="14" t="s">
        <v>163</v>
      </c>
      <c r="O19" s="14">
        <v>5.27</v>
      </c>
      <c r="P19" s="14">
        <v>173.59</v>
      </c>
      <c r="Q19" s="14">
        <v>22.57</v>
      </c>
      <c r="R19" s="14">
        <v>22.57</v>
      </c>
      <c r="S19" s="14">
        <v>22.57</v>
      </c>
      <c r="T19" s="14">
        <v>82.01</v>
      </c>
      <c r="U19" s="14">
        <v>19.533999999999999</v>
      </c>
      <c r="V19" s="14">
        <v>0.94599999999999995</v>
      </c>
      <c r="W19" s="14">
        <v>1.0089999999999999</v>
      </c>
      <c r="X19" s="14">
        <v>0.67200000000000004</v>
      </c>
      <c r="Y19" s="14">
        <v>156.667</v>
      </c>
      <c r="Z19" s="14">
        <v>137.41</v>
      </c>
      <c r="AA19" s="14">
        <v>108.19</v>
      </c>
      <c r="AB19" s="14">
        <v>126.39</v>
      </c>
      <c r="AC19" s="14">
        <v>96.53</v>
      </c>
      <c r="AD19" s="14">
        <v>11.75</v>
      </c>
      <c r="AE19" s="14">
        <v>0.1</v>
      </c>
      <c r="AF19" s="14">
        <v>0.05</v>
      </c>
      <c r="AG19" s="14">
        <v>0.1</v>
      </c>
      <c r="AH19" s="14"/>
      <c r="AI19" s="14">
        <v>0.65</v>
      </c>
      <c r="AJ19" s="14">
        <v>0.25</v>
      </c>
      <c r="AK19" s="14">
        <v>22.57</v>
      </c>
      <c r="AL19" s="14">
        <v>15.750999999999999</v>
      </c>
      <c r="AM19" s="14">
        <v>0.54200000000000004</v>
      </c>
      <c r="AN19" s="14">
        <v>17.271000000000001</v>
      </c>
      <c r="AO19" s="14">
        <v>14.763</v>
      </c>
      <c r="AP19" s="14">
        <v>86.549000000000007</v>
      </c>
      <c r="AQ19" s="14">
        <v>26</v>
      </c>
      <c r="AR19" s="14">
        <v>4.6669999999999998</v>
      </c>
      <c r="AS19" s="14">
        <v>21.332999999999998</v>
      </c>
      <c r="AT19" s="14">
        <v>8.5109999999999992</v>
      </c>
      <c r="AU19" s="14">
        <v>4.2549999999999999</v>
      </c>
      <c r="AV19" s="14">
        <v>8.5109999999999992</v>
      </c>
      <c r="AW19" s="14"/>
      <c r="AX19" s="14">
        <v>55.319000000000003</v>
      </c>
      <c r="AY19" s="14">
        <v>21.277000000000001</v>
      </c>
      <c r="AZ19" s="14">
        <v>926.57</v>
      </c>
      <c r="BA19" s="14">
        <v>893.43</v>
      </c>
      <c r="BB19" s="14">
        <v>66.28</v>
      </c>
      <c r="BC19" s="14">
        <v>157</v>
      </c>
      <c r="BD19" s="14" t="s">
        <v>167</v>
      </c>
      <c r="BE19" s="14">
        <v>2</v>
      </c>
      <c r="BF19" s="14">
        <v>0</v>
      </c>
      <c r="BG19" s="14">
        <v>45686.597916666666</v>
      </c>
      <c r="BH19" s="14">
        <v>45686.597916666666</v>
      </c>
      <c r="BI19" s="14">
        <v>157</v>
      </c>
      <c r="BJ19" s="14" t="s">
        <v>161</v>
      </c>
      <c r="BK19" s="14" t="s">
        <v>164</v>
      </c>
      <c r="BL19" s="14">
        <v>2</v>
      </c>
      <c r="BM19" s="14">
        <v>1</v>
      </c>
      <c r="BN19" s="14" t="s">
        <v>165</v>
      </c>
      <c r="BP19" s="15"/>
      <c r="BQ19" s="4"/>
      <c r="BR19" s="4"/>
      <c r="BS19" s="4"/>
      <c r="BT19" s="4"/>
      <c r="BU19" s="4"/>
      <c r="BV19" s="4"/>
      <c r="BW19" s="4"/>
      <c r="BX19" s="22"/>
      <c r="CC19" s="1"/>
      <c r="CH19" s="1"/>
      <c r="CR19" s="3" t="e">
        <f>#REF!+0</f>
        <v>#REF!</v>
      </c>
      <c r="CS19" s="1"/>
      <c r="CT19" s="1" t="str">
        <f>IF((LEFT(SIOP[[#This Row],[Equipo3]],1)="T"),"TERCEROS","PROPIOS")</f>
        <v>PROPIOS</v>
      </c>
      <c r="CY19" s="1"/>
      <c r="DD19"/>
      <c r="DE19" s="1"/>
      <c r="DG19" s="4"/>
      <c r="DH19" s="1"/>
    </row>
    <row r="20" spans="1:112" x14ac:dyDescent="0.3">
      <c r="A20" s="14"/>
      <c r="B20" s="14">
        <v>45700.293055555558</v>
      </c>
      <c r="C20" s="14">
        <v>45700.480555555558</v>
      </c>
      <c r="D20" s="14" t="s">
        <v>154</v>
      </c>
      <c r="E20" s="14" t="s">
        <v>125</v>
      </c>
      <c r="F20" s="4">
        <v>13283841</v>
      </c>
      <c r="G20" s="4">
        <v>11112910</v>
      </c>
      <c r="H20" s="14" t="s">
        <v>168</v>
      </c>
      <c r="I20" s="14" t="s">
        <v>169</v>
      </c>
      <c r="J20" s="14" t="s">
        <v>169</v>
      </c>
      <c r="K20" s="14" t="s">
        <v>160</v>
      </c>
      <c r="L20" s="14" t="s">
        <v>161</v>
      </c>
      <c r="M20" s="14" t="s">
        <v>131</v>
      </c>
      <c r="N20" s="14" t="s">
        <v>163</v>
      </c>
      <c r="O20" s="14">
        <v>5.27</v>
      </c>
      <c r="P20" s="14">
        <v>159.13999999999999</v>
      </c>
      <c r="Q20" s="14">
        <v>20.079999999999998</v>
      </c>
      <c r="R20" s="14">
        <v>20.079999999999998</v>
      </c>
      <c r="S20" s="14">
        <v>20.079999999999998</v>
      </c>
      <c r="T20" s="14">
        <v>70.27</v>
      </c>
      <c r="U20" s="14">
        <v>16.911000000000001</v>
      </c>
      <c r="V20" s="14">
        <v>0.95299999999999996</v>
      </c>
      <c r="W20" s="14">
        <v>1.01</v>
      </c>
      <c r="X20" s="14">
        <v>0.752</v>
      </c>
      <c r="Y20" s="14">
        <v>139.76499999999999</v>
      </c>
      <c r="Z20" s="14">
        <v>134.26</v>
      </c>
      <c r="AA20" s="14">
        <v>104.95</v>
      </c>
      <c r="AB20" s="14">
        <v>124.85</v>
      </c>
      <c r="AC20" s="14">
        <v>94.93</v>
      </c>
      <c r="AD20" s="14">
        <v>12.1</v>
      </c>
      <c r="AE20" s="14">
        <v>0.1</v>
      </c>
      <c r="AF20" s="14">
        <v>0.1</v>
      </c>
      <c r="AG20" s="14">
        <v>0.05</v>
      </c>
      <c r="AH20" s="14"/>
      <c r="AI20" s="14">
        <v>0.1</v>
      </c>
      <c r="AJ20" s="14">
        <v>0.25</v>
      </c>
      <c r="AK20" s="14">
        <v>20.079999999999998</v>
      </c>
      <c r="AL20" s="14">
        <v>13.923</v>
      </c>
      <c r="AM20" s="14">
        <v>0.61899999999999999</v>
      </c>
      <c r="AN20" s="14">
        <v>15.420999999999999</v>
      </c>
      <c r="AO20" s="14">
        <v>13.606999999999999</v>
      </c>
      <c r="AP20" s="14">
        <v>84.218000000000004</v>
      </c>
      <c r="AQ20" s="14">
        <v>23</v>
      </c>
      <c r="AR20" s="14">
        <v>2.6669999999999998</v>
      </c>
      <c r="AS20" s="14">
        <v>20.332999999999998</v>
      </c>
      <c r="AT20" s="14">
        <v>8.2639999999999993</v>
      </c>
      <c r="AU20" s="14">
        <v>8.2639999999999993</v>
      </c>
      <c r="AV20" s="14">
        <v>4.1319999999999997</v>
      </c>
      <c r="AW20" s="14"/>
      <c r="AX20" s="14">
        <v>8.2639999999999993</v>
      </c>
      <c r="AY20" s="14">
        <v>20.66</v>
      </c>
      <c r="AZ20" s="14">
        <v>1136.3699999999999</v>
      </c>
      <c r="BA20" s="14">
        <v>1103.05</v>
      </c>
      <c r="BB20" s="14">
        <v>66.64</v>
      </c>
      <c r="BC20" s="14">
        <v>148</v>
      </c>
      <c r="BD20" s="14" t="s">
        <v>170</v>
      </c>
      <c r="BE20" s="14">
        <v>2</v>
      </c>
      <c r="BF20" s="14">
        <v>0</v>
      </c>
      <c r="BG20" s="14">
        <v>45686.597916666666</v>
      </c>
      <c r="BH20" s="14">
        <v>45686.597916666666</v>
      </c>
      <c r="BI20" s="14">
        <v>148</v>
      </c>
      <c r="BJ20" s="14" t="s">
        <v>161</v>
      </c>
      <c r="BK20" s="14" t="s">
        <v>171</v>
      </c>
      <c r="BL20" s="14">
        <v>2</v>
      </c>
      <c r="BM20" s="14">
        <v>1</v>
      </c>
      <c r="BN20" s="14" t="s">
        <v>172</v>
      </c>
      <c r="BP20" s="15"/>
      <c r="BQ20" s="4"/>
      <c r="BR20" s="4"/>
      <c r="BS20" s="4"/>
      <c r="BT20" s="4"/>
      <c r="BU20" s="4"/>
      <c r="BV20" s="4"/>
      <c r="BW20" s="4"/>
      <c r="BX20" s="22"/>
      <c r="CC20" s="1"/>
      <c r="CH20" s="1"/>
      <c r="CR20" s="3" t="e">
        <f>#REF!+0</f>
        <v>#REF!</v>
      </c>
      <c r="CS20" s="1"/>
      <c r="CT20" s="1" t="str">
        <f>IF((LEFT(SIOP[[#This Row],[Equipo3]],1)="T"),"TERCEROS","PROPIOS")</f>
        <v>PROPIOS</v>
      </c>
      <c r="CY20" s="1"/>
      <c r="DD20"/>
      <c r="DE20" s="1"/>
      <c r="DG20" s="4"/>
      <c r="DH20" s="1"/>
    </row>
    <row r="21" spans="1:112" x14ac:dyDescent="0.3">
      <c r="A21" s="14"/>
      <c r="B21" s="14">
        <v>45700.293055555558</v>
      </c>
      <c r="C21" s="14">
        <v>45700.480555555558</v>
      </c>
      <c r="D21" s="14" t="s">
        <v>154</v>
      </c>
      <c r="E21" s="14" t="s">
        <v>125</v>
      </c>
      <c r="F21" s="4">
        <v>13283842</v>
      </c>
      <c r="G21" s="4">
        <v>11112910</v>
      </c>
      <c r="H21" s="14" t="s">
        <v>173</v>
      </c>
      <c r="I21" s="14" t="s">
        <v>169</v>
      </c>
      <c r="J21" s="14" t="s">
        <v>169</v>
      </c>
      <c r="K21" s="14" t="s">
        <v>160</v>
      </c>
      <c r="L21" s="14" t="s">
        <v>161</v>
      </c>
      <c r="M21" s="14" t="s">
        <v>131</v>
      </c>
      <c r="N21" s="14" t="s">
        <v>163</v>
      </c>
      <c r="O21" s="14">
        <v>5.12</v>
      </c>
      <c r="P21" s="14">
        <v>162.57</v>
      </c>
      <c r="Q21" s="14">
        <v>20.71</v>
      </c>
      <c r="R21" s="14">
        <v>20.71</v>
      </c>
      <c r="S21" s="14">
        <v>20.71</v>
      </c>
      <c r="T21" s="14">
        <v>72.099999999999994</v>
      </c>
      <c r="U21" s="14">
        <v>17.306000000000001</v>
      </c>
      <c r="V21" s="14">
        <v>0.95099999999999996</v>
      </c>
      <c r="W21" s="14">
        <v>1.0109999999999999</v>
      </c>
      <c r="X21" s="14">
        <v>0.77500000000000002</v>
      </c>
      <c r="Y21" s="14">
        <v>142.31899999999999</v>
      </c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>
        <v>20.71</v>
      </c>
      <c r="AL21" s="14">
        <v>14.173</v>
      </c>
      <c r="AM21" s="14">
        <v>0.63500000000000001</v>
      </c>
      <c r="AN21" s="14">
        <v>15.718</v>
      </c>
      <c r="AO21" s="14">
        <v>13.882</v>
      </c>
      <c r="AP21" s="14">
        <v>83.563000000000002</v>
      </c>
      <c r="AQ21" s="14"/>
      <c r="AR21" s="14"/>
      <c r="AS21" s="14"/>
      <c r="AT21" s="14"/>
      <c r="AU21" s="14"/>
      <c r="AV21" s="14"/>
      <c r="AW21" s="14"/>
      <c r="AX21" s="14"/>
      <c r="AY21" s="14"/>
      <c r="AZ21" s="14">
        <v>1136.3699999999999</v>
      </c>
      <c r="BA21" s="14">
        <v>1103.05</v>
      </c>
      <c r="BB21" s="14">
        <v>66.64</v>
      </c>
      <c r="BC21" s="14">
        <v>148</v>
      </c>
      <c r="BD21" s="14" t="s">
        <v>133</v>
      </c>
      <c r="BE21" s="14">
        <v>2</v>
      </c>
      <c r="BF21" s="14">
        <v>0</v>
      </c>
      <c r="BG21" s="14">
        <v>45686.597916666666</v>
      </c>
      <c r="BH21" s="14">
        <v>45686.597916666666</v>
      </c>
      <c r="BI21" s="14">
        <v>148</v>
      </c>
      <c r="BJ21" s="14" t="s">
        <v>161</v>
      </c>
      <c r="BK21" s="14" t="s">
        <v>171</v>
      </c>
      <c r="BL21" s="14">
        <v>2</v>
      </c>
      <c r="BM21" s="14">
        <v>1</v>
      </c>
      <c r="BN21" s="14" t="s">
        <v>172</v>
      </c>
      <c r="BP21" s="15"/>
      <c r="BQ21" s="4"/>
      <c r="BR21" s="4"/>
      <c r="BS21" s="4"/>
      <c r="BT21" s="4"/>
      <c r="BU21" s="4"/>
      <c r="BV21" s="4"/>
      <c r="BW21" s="4"/>
      <c r="BX21" s="22"/>
      <c r="CC21" s="1"/>
      <c r="CH21" s="1"/>
      <c r="CR21" s="3" t="e">
        <f>#REF!+0</f>
        <v>#REF!</v>
      </c>
      <c r="CS21" s="1"/>
      <c r="CT21" s="1" t="str">
        <f>IF((LEFT(SIOP[[#This Row],[Equipo3]],1)="T"),"TERCEROS","PROPIOS")</f>
        <v>PROPIOS</v>
      </c>
      <c r="CY21" s="1"/>
      <c r="DD21"/>
      <c r="DE21" s="1"/>
      <c r="DG21" s="4"/>
      <c r="DH21" s="1"/>
    </row>
    <row r="22" spans="1:112" x14ac:dyDescent="0.3">
      <c r="A22" s="14"/>
      <c r="B22" s="14">
        <v>45700.303472222222</v>
      </c>
      <c r="C22" s="14">
        <v>45700.487500000003</v>
      </c>
      <c r="D22" s="14" t="s">
        <v>154</v>
      </c>
      <c r="E22" s="14" t="s">
        <v>125</v>
      </c>
      <c r="F22" s="4">
        <v>13283851</v>
      </c>
      <c r="G22" s="4">
        <v>11113285</v>
      </c>
      <c r="H22" s="14" t="s">
        <v>174</v>
      </c>
      <c r="I22" s="14" t="s">
        <v>175</v>
      </c>
      <c r="J22" s="14" t="s">
        <v>175</v>
      </c>
      <c r="K22" s="14" t="s">
        <v>160</v>
      </c>
      <c r="L22" s="14" t="s">
        <v>161</v>
      </c>
      <c r="M22" s="14" t="s">
        <v>131</v>
      </c>
      <c r="N22" s="14" t="s">
        <v>163</v>
      </c>
      <c r="O22" s="14">
        <v>5.56</v>
      </c>
      <c r="P22" s="14">
        <v>160.12</v>
      </c>
      <c r="Q22" s="14">
        <v>21.13</v>
      </c>
      <c r="R22" s="14">
        <v>21.13</v>
      </c>
      <c r="S22" s="14">
        <v>21.13</v>
      </c>
      <c r="T22" s="14">
        <v>75.55</v>
      </c>
      <c r="U22" s="14">
        <v>18.103000000000002</v>
      </c>
      <c r="V22" s="14">
        <v>0.95299999999999996</v>
      </c>
      <c r="W22" s="14">
        <v>1.01</v>
      </c>
      <c r="X22" s="14">
        <v>0.70199999999999996</v>
      </c>
      <c r="Y22" s="14">
        <v>148.70400000000001</v>
      </c>
      <c r="Z22" s="14">
        <v>137.16999999999999</v>
      </c>
      <c r="AA22" s="14">
        <v>108.05</v>
      </c>
      <c r="AB22" s="14">
        <v>123.85</v>
      </c>
      <c r="AC22" s="14">
        <v>94.01</v>
      </c>
      <c r="AD22" s="14">
        <v>10.9</v>
      </c>
      <c r="AE22" s="14">
        <v>0.6</v>
      </c>
      <c r="AF22" s="14">
        <v>0.05</v>
      </c>
      <c r="AG22" s="14">
        <v>0.05</v>
      </c>
      <c r="AH22" s="14"/>
      <c r="AI22" s="14">
        <v>0.6</v>
      </c>
      <c r="AJ22" s="14">
        <v>0.7</v>
      </c>
      <c r="AK22" s="14">
        <v>21.13</v>
      </c>
      <c r="AL22" s="14">
        <v>14.891</v>
      </c>
      <c r="AM22" s="14">
        <v>0.57699999999999996</v>
      </c>
      <c r="AN22" s="14">
        <v>16.408000000000001</v>
      </c>
      <c r="AO22" s="14">
        <v>13.686</v>
      </c>
      <c r="AP22" s="14">
        <v>85.674000000000007</v>
      </c>
      <c r="AQ22" s="14">
        <v>29.332999999999998</v>
      </c>
      <c r="AR22" s="14">
        <v>5.3330000000000002</v>
      </c>
      <c r="AS22" s="14">
        <v>24</v>
      </c>
      <c r="AT22" s="14">
        <v>55.045999999999999</v>
      </c>
      <c r="AU22" s="14">
        <v>4.5869999999999997</v>
      </c>
      <c r="AV22" s="14">
        <v>4.5869999999999997</v>
      </c>
      <c r="AW22" s="14"/>
      <c r="AX22" s="14">
        <v>55.045999999999999</v>
      </c>
      <c r="AY22" s="14">
        <v>64.22</v>
      </c>
      <c r="AZ22" s="14">
        <v>855.76</v>
      </c>
      <c r="BA22" s="14">
        <v>822.43</v>
      </c>
      <c r="BB22" s="14">
        <v>66.66</v>
      </c>
      <c r="BC22" s="14">
        <v>158</v>
      </c>
      <c r="BD22" s="14" t="s">
        <v>176</v>
      </c>
      <c r="BE22" s="14">
        <v>2</v>
      </c>
      <c r="BF22" s="14">
        <v>0</v>
      </c>
      <c r="BG22" s="14">
        <v>45686.597916666666</v>
      </c>
      <c r="BH22" s="14">
        <v>45686.597916666666</v>
      </c>
      <c r="BI22" s="14">
        <v>158</v>
      </c>
      <c r="BJ22" s="14" t="s">
        <v>161</v>
      </c>
      <c r="BK22" s="14" t="s">
        <v>177</v>
      </c>
      <c r="BL22" s="14">
        <v>2</v>
      </c>
      <c r="BM22" s="14">
        <v>1</v>
      </c>
      <c r="BN22" s="14" t="s">
        <v>178</v>
      </c>
      <c r="BP22" s="15"/>
      <c r="BQ22" s="4"/>
      <c r="BR22" s="4"/>
      <c r="BS22" s="4"/>
      <c r="BT22" s="4"/>
      <c r="BU22" s="4"/>
      <c r="BV22" s="4"/>
      <c r="BW22" s="4"/>
      <c r="BX22" s="22"/>
      <c r="CC22" s="1"/>
      <c r="CH22" s="1"/>
      <c r="CR22" s="3" t="e">
        <f>#REF!+0</f>
        <v>#REF!</v>
      </c>
      <c r="CS22" s="1"/>
      <c r="CT22" s="1" t="str">
        <f>IF((LEFT(SIOP[[#This Row],[Equipo3]],1)="T"),"TERCEROS","PROPIOS")</f>
        <v>PROPIOS</v>
      </c>
      <c r="CY22" s="1"/>
      <c r="DD22"/>
      <c r="DE22" s="1"/>
      <c r="DG22" s="4"/>
      <c r="DH22" s="1"/>
    </row>
    <row r="23" spans="1:112" x14ac:dyDescent="0.3">
      <c r="A23" s="14"/>
      <c r="B23" s="14">
        <v>45700.303472222222</v>
      </c>
      <c r="C23" s="14">
        <v>45700.487500000003</v>
      </c>
      <c r="D23" s="14" t="s">
        <v>154</v>
      </c>
      <c r="E23" s="14" t="s">
        <v>125</v>
      </c>
      <c r="F23" s="4">
        <v>13283852</v>
      </c>
      <c r="G23" s="4">
        <v>11113285</v>
      </c>
      <c r="H23" s="14" t="s">
        <v>179</v>
      </c>
      <c r="I23" s="14" t="s">
        <v>175</v>
      </c>
      <c r="J23" s="14" t="s">
        <v>175</v>
      </c>
      <c r="K23" s="14" t="s">
        <v>160</v>
      </c>
      <c r="L23" s="14" t="s">
        <v>161</v>
      </c>
      <c r="M23" s="14" t="s">
        <v>131</v>
      </c>
      <c r="N23" s="14" t="s">
        <v>163</v>
      </c>
      <c r="O23" s="14">
        <v>5.45</v>
      </c>
      <c r="P23" s="14">
        <v>157.78</v>
      </c>
      <c r="Q23" s="14">
        <v>22.99</v>
      </c>
      <c r="R23" s="14">
        <v>22.99</v>
      </c>
      <c r="S23" s="14">
        <v>22.99</v>
      </c>
      <c r="T23" s="14">
        <v>83.52</v>
      </c>
      <c r="U23" s="14">
        <v>19.859000000000002</v>
      </c>
      <c r="V23" s="14">
        <v>0.95399999999999996</v>
      </c>
      <c r="W23" s="14">
        <v>1.0089999999999999</v>
      </c>
      <c r="X23" s="14">
        <v>0.67800000000000005</v>
      </c>
      <c r="Y23" s="14">
        <v>162.96700000000001</v>
      </c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>
        <v>22.99</v>
      </c>
      <c r="AL23" s="14">
        <v>16.388000000000002</v>
      </c>
      <c r="AM23" s="14">
        <v>0.56000000000000005</v>
      </c>
      <c r="AN23" s="14">
        <v>17.966000000000001</v>
      </c>
      <c r="AO23" s="14">
        <v>13.497999999999999</v>
      </c>
      <c r="AP23" s="14">
        <v>86.381</v>
      </c>
      <c r="AQ23" s="14"/>
      <c r="AR23" s="14"/>
      <c r="AS23" s="14"/>
      <c r="AT23" s="14"/>
      <c r="AU23" s="14"/>
      <c r="AV23" s="14"/>
      <c r="AW23" s="14"/>
      <c r="AX23" s="14"/>
      <c r="AY23" s="14"/>
      <c r="AZ23" s="14">
        <v>855.76</v>
      </c>
      <c r="BA23" s="14">
        <v>822.43</v>
      </c>
      <c r="BB23" s="14">
        <v>66.66</v>
      </c>
      <c r="BC23" s="14">
        <v>158</v>
      </c>
      <c r="BD23" s="14" t="s">
        <v>133</v>
      </c>
      <c r="BE23" s="14">
        <v>2</v>
      </c>
      <c r="BF23" s="14">
        <v>0</v>
      </c>
      <c r="BG23" s="14">
        <v>45686.597916666666</v>
      </c>
      <c r="BH23" s="14">
        <v>45686.597916666666</v>
      </c>
      <c r="BI23" s="14">
        <v>158</v>
      </c>
      <c r="BJ23" s="14" t="s">
        <v>161</v>
      </c>
      <c r="BK23" s="14" t="s">
        <v>177</v>
      </c>
      <c r="BL23" s="14">
        <v>2</v>
      </c>
      <c r="BM23" s="14">
        <v>1</v>
      </c>
      <c r="BN23" s="14" t="s">
        <v>178</v>
      </c>
      <c r="BP23" s="15"/>
      <c r="BQ23" s="4"/>
      <c r="BR23" s="4"/>
      <c r="BS23" s="4"/>
      <c r="BT23" s="4"/>
      <c r="BU23" s="4"/>
      <c r="BV23" s="4"/>
      <c r="BW23" s="4"/>
      <c r="BX23" s="22"/>
      <c r="CC23" s="1"/>
      <c r="CH23" s="1"/>
      <c r="CR23" s="3" t="e">
        <f>#REF!+0</f>
        <v>#REF!</v>
      </c>
      <c r="CS23" s="1"/>
      <c r="CT23" s="1" t="str">
        <f>IF((LEFT(SIOP[[#This Row],[Equipo3]],1)="T"),"TERCEROS","PROPIOS")</f>
        <v>PROPIOS</v>
      </c>
      <c r="CY23" s="1"/>
      <c r="DD23"/>
      <c r="DE23" s="1"/>
      <c r="DG23" s="4"/>
      <c r="DH23" s="1"/>
    </row>
    <row r="24" spans="1:112" x14ac:dyDescent="0.3">
      <c r="A24" s="14"/>
      <c r="B24" s="14">
        <v>45700.32916666667</v>
      </c>
      <c r="C24" s="14">
        <v>45700.370833333334</v>
      </c>
      <c r="D24" s="14" t="s">
        <v>154</v>
      </c>
      <c r="E24" s="14" t="s">
        <v>125</v>
      </c>
      <c r="F24" s="4">
        <v>13283882</v>
      </c>
      <c r="G24" s="4">
        <v>11113309</v>
      </c>
      <c r="H24" s="14" t="s">
        <v>180</v>
      </c>
      <c r="I24" s="14" t="s">
        <v>127</v>
      </c>
      <c r="J24" s="14" t="s">
        <v>128</v>
      </c>
      <c r="K24" s="14" t="s">
        <v>129</v>
      </c>
      <c r="L24" s="14" t="s">
        <v>130</v>
      </c>
      <c r="M24" s="14" t="s">
        <v>131</v>
      </c>
      <c r="N24" s="14" t="s">
        <v>132</v>
      </c>
      <c r="O24" s="14">
        <v>5.52</v>
      </c>
      <c r="P24" s="14">
        <v>157.51</v>
      </c>
      <c r="Q24" s="14">
        <v>17.53</v>
      </c>
      <c r="R24" s="14">
        <v>17.53</v>
      </c>
      <c r="S24" s="14">
        <v>17.53</v>
      </c>
      <c r="T24" s="14">
        <v>59.17</v>
      </c>
      <c r="U24" s="14">
        <v>14.388999999999999</v>
      </c>
      <c r="V24" s="14">
        <v>0.95399999999999996</v>
      </c>
      <c r="W24" s="14">
        <v>1.0109999999999999</v>
      </c>
      <c r="X24" s="14">
        <v>0.82599999999999996</v>
      </c>
      <c r="Y24" s="14">
        <v>120.63500000000001</v>
      </c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>
        <v>17.53</v>
      </c>
      <c r="AL24" s="14">
        <v>11.877000000000001</v>
      </c>
      <c r="AM24" s="14">
        <v>0.68200000000000005</v>
      </c>
      <c r="AN24" s="14">
        <v>13.321999999999999</v>
      </c>
      <c r="AO24" s="14">
        <v>13.477</v>
      </c>
      <c r="AP24" s="14">
        <v>82.081999999999994</v>
      </c>
      <c r="AQ24" s="14"/>
      <c r="AR24" s="14"/>
      <c r="AS24" s="14"/>
      <c r="AT24" s="14"/>
      <c r="AU24" s="14"/>
      <c r="AV24" s="14"/>
      <c r="AW24" s="14"/>
      <c r="AX24" s="14"/>
      <c r="AY24" s="14"/>
      <c r="AZ24" s="14">
        <v>1109.75</v>
      </c>
      <c r="BA24" s="14">
        <v>1073.71</v>
      </c>
      <c r="BB24" s="14">
        <v>72.08</v>
      </c>
      <c r="BC24" s="14">
        <v>14</v>
      </c>
      <c r="BD24" s="14" t="s">
        <v>133</v>
      </c>
      <c r="BE24" s="14">
        <v>2</v>
      </c>
      <c r="BF24" s="14">
        <v>0</v>
      </c>
      <c r="BG24" s="14">
        <v>45686.597916666666</v>
      </c>
      <c r="BH24" s="14">
        <v>45686.597916666666</v>
      </c>
      <c r="BI24" s="14">
        <v>14</v>
      </c>
      <c r="BJ24" s="14" t="s">
        <v>130</v>
      </c>
      <c r="BK24" s="14" t="s">
        <v>134</v>
      </c>
      <c r="BL24" s="14">
        <v>1</v>
      </c>
      <c r="BM24" s="14">
        <v>1</v>
      </c>
      <c r="BN24" s="14" t="s">
        <v>135</v>
      </c>
      <c r="BP24" s="15"/>
      <c r="BQ24" s="4"/>
      <c r="BR24" s="4"/>
      <c r="BS24" s="4"/>
      <c r="BT24" s="4"/>
      <c r="BU24" s="4"/>
      <c r="BV24" s="4"/>
      <c r="BW24" s="4"/>
      <c r="BX24" s="22"/>
      <c r="CC24" s="1"/>
      <c r="CH24" s="1"/>
      <c r="CR24" s="3" t="e">
        <f>#REF!+0</f>
        <v>#REF!</v>
      </c>
      <c r="CS24" s="1"/>
      <c r="CT24" s="1" t="str">
        <f>IF((LEFT(SIOP[[#This Row],[Equipo3]],1)="T"),"TERCEROS","PROPIOS")</f>
        <v>PROPIOS</v>
      </c>
      <c r="CY24" s="1"/>
      <c r="DD24"/>
      <c r="DE24" s="1"/>
      <c r="DG24" s="4"/>
      <c r="DH24" s="1"/>
    </row>
    <row r="25" spans="1:112" x14ac:dyDescent="0.3">
      <c r="A25" s="14"/>
      <c r="B25" s="14">
        <v>45700.32916666667</v>
      </c>
      <c r="C25" s="14">
        <v>45700.370833333334</v>
      </c>
      <c r="D25" s="14" t="s">
        <v>154</v>
      </c>
      <c r="E25" s="14" t="s">
        <v>125</v>
      </c>
      <c r="F25" s="4">
        <v>13283881</v>
      </c>
      <c r="G25" s="4">
        <v>11113309</v>
      </c>
      <c r="H25" s="14" t="s">
        <v>181</v>
      </c>
      <c r="I25" s="14" t="s">
        <v>127</v>
      </c>
      <c r="J25" s="14" t="s">
        <v>128</v>
      </c>
      <c r="K25" s="14" t="s">
        <v>129</v>
      </c>
      <c r="L25" s="14" t="s">
        <v>130</v>
      </c>
      <c r="M25" s="14" t="s">
        <v>131</v>
      </c>
      <c r="N25" s="14" t="s">
        <v>132</v>
      </c>
      <c r="O25" s="14">
        <v>5.5</v>
      </c>
      <c r="P25" s="14">
        <v>157.91999999999999</v>
      </c>
      <c r="Q25" s="14">
        <v>17.68</v>
      </c>
      <c r="R25" s="14">
        <v>17.68</v>
      </c>
      <c r="S25" s="14">
        <v>17.68</v>
      </c>
      <c r="T25" s="14">
        <v>59.95</v>
      </c>
      <c r="U25" s="14">
        <v>14.57</v>
      </c>
      <c r="V25" s="14">
        <v>0.95399999999999996</v>
      </c>
      <c r="W25" s="14">
        <v>1.0109999999999999</v>
      </c>
      <c r="X25" s="14">
        <v>0.81399999999999995</v>
      </c>
      <c r="Y25" s="14">
        <v>121.94</v>
      </c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>
        <v>17.68</v>
      </c>
      <c r="AL25" s="14">
        <v>12.022</v>
      </c>
      <c r="AM25" s="14">
        <v>0.67200000000000004</v>
      </c>
      <c r="AN25" s="14">
        <v>13.465999999999999</v>
      </c>
      <c r="AO25" s="14">
        <v>13.51</v>
      </c>
      <c r="AP25" s="14">
        <v>82.41</v>
      </c>
      <c r="AQ25" s="14"/>
      <c r="AR25" s="14"/>
      <c r="AS25" s="14"/>
      <c r="AT25" s="14"/>
      <c r="AU25" s="14"/>
      <c r="AV25" s="14"/>
      <c r="AW25" s="14"/>
      <c r="AX25" s="14"/>
      <c r="AY25" s="14"/>
      <c r="AZ25" s="14">
        <v>1109.75</v>
      </c>
      <c r="BA25" s="14">
        <v>1073.71</v>
      </c>
      <c r="BB25" s="14">
        <v>72.08</v>
      </c>
      <c r="BC25" s="14">
        <v>14</v>
      </c>
      <c r="BD25" s="14" t="s">
        <v>133</v>
      </c>
      <c r="BE25" s="14">
        <v>2</v>
      </c>
      <c r="BF25" s="14">
        <v>0</v>
      </c>
      <c r="BG25" s="14">
        <v>45686.597916666666</v>
      </c>
      <c r="BH25" s="14">
        <v>45686.597916666666</v>
      </c>
      <c r="BI25" s="14">
        <v>14</v>
      </c>
      <c r="BJ25" s="14" t="s">
        <v>130</v>
      </c>
      <c r="BK25" s="14" t="s">
        <v>134</v>
      </c>
      <c r="BL25" s="14">
        <v>1</v>
      </c>
      <c r="BM25" s="14">
        <v>1</v>
      </c>
      <c r="BN25" s="14" t="s">
        <v>135</v>
      </c>
      <c r="BP25" s="15"/>
      <c r="BQ25" s="4"/>
      <c r="BR25" s="4"/>
      <c r="BS25" s="4"/>
      <c r="BT25" s="4"/>
      <c r="BU25" s="4"/>
      <c r="BV25" s="4"/>
      <c r="BW25" s="4"/>
      <c r="BX25" s="22"/>
      <c r="CC25" s="1"/>
      <c r="CH25" s="1"/>
      <c r="CR25" s="3" t="e">
        <f>#REF!+0</f>
        <v>#REF!</v>
      </c>
      <c r="CS25" s="1"/>
      <c r="CT25" s="1" t="str">
        <f>IF((LEFT(SIOP[[#This Row],[Equipo3]],1)="T"),"TERCEROS","PROPIOS")</f>
        <v>PROPIOS</v>
      </c>
      <c r="CY25" s="1"/>
      <c r="DD25"/>
      <c r="DE25" s="1"/>
      <c r="DG25" s="4"/>
      <c r="DH25" s="1"/>
    </row>
    <row r="26" spans="1:112" x14ac:dyDescent="0.3">
      <c r="A26" s="14"/>
      <c r="B26" s="14">
        <v>45700.40902777778</v>
      </c>
      <c r="C26" s="14">
        <v>45700.522916666669</v>
      </c>
      <c r="D26" s="14" t="s">
        <v>154</v>
      </c>
      <c r="E26" s="14" t="s">
        <v>125</v>
      </c>
      <c r="F26" s="4">
        <v>13283911</v>
      </c>
      <c r="G26" s="4">
        <v>11113309</v>
      </c>
      <c r="H26" s="14" t="s">
        <v>182</v>
      </c>
      <c r="I26" s="14" t="s">
        <v>127</v>
      </c>
      <c r="J26" s="14" t="s">
        <v>128</v>
      </c>
      <c r="K26" s="14" t="s">
        <v>129</v>
      </c>
      <c r="L26" s="14" t="s">
        <v>130</v>
      </c>
      <c r="M26" s="14" t="s">
        <v>131</v>
      </c>
      <c r="N26" s="14" t="s">
        <v>132</v>
      </c>
      <c r="O26" s="14">
        <v>5.58</v>
      </c>
      <c r="P26" s="14">
        <v>157.09</v>
      </c>
      <c r="Q26" s="14">
        <v>17.25</v>
      </c>
      <c r="R26" s="14">
        <v>17.25</v>
      </c>
      <c r="S26" s="14">
        <v>17.25</v>
      </c>
      <c r="T26" s="14">
        <v>59.08</v>
      </c>
      <c r="U26" s="14">
        <v>14.382999999999999</v>
      </c>
      <c r="V26" s="14">
        <v>0.95399999999999996</v>
      </c>
      <c r="W26" s="14">
        <v>1.0109999999999999</v>
      </c>
      <c r="X26" s="14">
        <v>0.78100000000000003</v>
      </c>
      <c r="Y26" s="14">
        <v>120.29600000000001</v>
      </c>
      <c r="Z26" s="14"/>
      <c r="AA26" s="14"/>
      <c r="AB26" s="14"/>
      <c r="AC26" s="14"/>
      <c r="AD26" s="14">
        <v>12.35</v>
      </c>
      <c r="AE26" s="14">
        <v>0.5</v>
      </c>
      <c r="AF26" s="14">
        <v>0.15</v>
      </c>
      <c r="AG26" s="14">
        <v>0.1</v>
      </c>
      <c r="AH26" s="14"/>
      <c r="AI26" s="14">
        <v>0.1</v>
      </c>
      <c r="AJ26" s="14">
        <v>0.75</v>
      </c>
      <c r="AK26" s="14">
        <v>17.25</v>
      </c>
      <c r="AL26" s="14">
        <v>11.877000000000001</v>
      </c>
      <c r="AM26" s="14">
        <v>0.64500000000000002</v>
      </c>
      <c r="AN26" s="14">
        <v>13.285</v>
      </c>
      <c r="AO26" s="14">
        <v>13.443</v>
      </c>
      <c r="AP26" s="14">
        <v>83.38</v>
      </c>
      <c r="AQ26" s="14"/>
      <c r="AR26" s="14"/>
      <c r="AS26" s="14"/>
      <c r="AT26" s="14">
        <v>40.485999999999997</v>
      </c>
      <c r="AU26" s="14">
        <v>12.146000000000001</v>
      </c>
      <c r="AV26" s="14">
        <v>8.0969999999999995</v>
      </c>
      <c r="AW26" s="14"/>
      <c r="AX26" s="14">
        <v>8.0969999999999995</v>
      </c>
      <c r="AY26" s="14">
        <v>60.728999999999999</v>
      </c>
      <c r="AZ26" s="14">
        <v>972.67</v>
      </c>
      <c r="BA26" s="14">
        <v>937.97</v>
      </c>
      <c r="BB26" s="14">
        <v>69.400000000000006</v>
      </c>
      <c r="BC26" s="14">
        <v>14</v>
      </c>
      <c r="BD26" s="14" t="s">
        <v>183</v>
      </c>
      <c r="BE26" s="14">
        <v>2</v>
      </c>
      <c r="BF26" s="14">
        <v>0</v>
      </c>
      <c r="BG26" s="14">
        <v>45686.597916666666</v>
      </c>
      <c r="BH26" s="14">
        <v>45686.597916666666</v>
      </c>
      <c r="BI26" s="14">
        <v>14</v>
      </c>
      <c r="BJ26" s="14" t="s">
        <v>130</v>
      </c>
      <c r="BK26" s="14" t="s">
        <v>134</v>
      </c>
      <c r="BL26" s="14">
        <v>1</v>
      </c>
      <c r="BM26" s="14">
        <v>1</v>
      </c>
      <c r="BN26" s="14" t="s">
        <v>135</v>
      </c>
      <c r="BP26" s="15"/>
      <c r="BQ26" s="4"/>
      <c r="BR26" s="4"/>
      <c r="BS26" s="4"/>
      <c r="BT26" s="4"/>
      <c r="BU26" s="4"/>
      <c r="BV26" s="4"/>
      <c r="BW26" s="4"/>
      <c r="BX26" s="22"/>
      <c r="CC26" s="1"/>
      <c r="CH26" s="1"/>
      <c r="CR26" s="3" t="e">
        <f>#REF!+0</f>
        <v>#REF!</v>
      </c>
      <c r="CS26" s="1"/>
      <c r="CT26" s="1" t="str">
        <f>IF((LEFT(SIOP[[#This Row],[Equipo3]],1)="T"),"TERCEROS","PROPIOS")</f>
        <v>PROPIOS</v>
      </c>
      <c r="CY26" s="1"/>
      <c r="DD26"/>
      <c r="DE26" s="1"/>
      <c r="DG26" s="4"/>
      <c r="DH26" s="1"/>
    </row>
    <row r="27" spans="1:112" x14ac:dyDescent="0.3">
      <c r="A27" s="14"/>
      <c r="B27" s="14">
        <v>45700.40902777778</v>
      </c>
      <c r="C27" s="14">
        <v>45700.522916666669</v>
      </c>
      <c r="D27" s="14" t="s">
        <v>154</v>
      </c>
      <c r="E27" s="14" t="s">
        <v>125</v>
      </c>
      <c r="F27" s="4">
        <v>13283912</v>
      </c>
      <c r="G27" s="4">
        <v>11113309</v>
      </c>
      <c r="H27" s="14" t="s">
        <v>184</v>
      </c>
      <c r="I27" s="14" t="s">
        <v>127</v>
      </c>
      <c r="J27" s="14" t="s">
        <v>128</v>
      </c>
      <c r="K27" s="14" t="s">
        <v>129</v>
      </c>
      <c r="L27" s="14" t="s">
        <v>130</v>
      </c>
      <c r="M27" s="14" t="s">
        <v>131</v>
      </c>
      <c r="N27" s="14" t="s">
        <v>132</v>
      </c>
      <c r="O27" s="14">
        <v>5.47</v>
      </c>
      <c r="P27" s="14">
        <v>160.11000000000001</v>
      </c>
      <c r="Q27" s="14">
        <v>18.149999999999999</v>
      </c>
      <c r="R27" s="14">
        <v>18.149999999999999</v>
      </c>
      <c r="S27" s="14">
        <v>18.149999999999999</v>
      </c>
      <c r="T27" s="14">
        <v>64.73</v>
      </c>
      <c r="U27" s="14">
        <v>15.701000000000001</v>
      </c>
      <c r="V27" s="14">
        <v>0.95299999999999996</v>
      </c>
      <c r="W27" s="14">
        <v>1.0089999999999999</v>
      </c>
      <c r="X27" s="14">
        <v>0.67400000000000004</v>
      </c>
      <c r="Y27" s="14">
        <v>129.46100000000001</v>
      </c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>
        <v>18.149999999999999</v>
      </c>
      <c r="AL27" s="14">
        <v>12.914999999999999</v>
      </c>
      <c r="AM27" s="14">
        <v>0.55400000000000005</v>
      </c>
      <c r="AN27" s="14">
        <v>14.271000000000001</v>
      </c>
      <c r="AO27" s="14">
        <v>13.685</v>
      </c>
      <c r="AP27" s="14">
        <v>86.507000000000005</v>
      </c>
      <c r="AQ27" s="14"/>
      <c r="AR27" s="14"/>
      <c r="AS27" s="14"/>
      <c r="AT27" s="14"/>
      <c r="AU27" s="14"/>
      <c r="AV27" s="14"/>
      <c r="AW27" s="14"/>
      <c r="AX27" s="14"/>
      <c r="AY27" s="14"/>
      <c r="AZ27" s="14">
        <v>972.67</v>
      </c>
      <c r="BA27" s="14">
        <v>937.97</v>
      </c>
      <c r="BB27" s="14">
        <v>69.400000000000006</v>
      </c>
      <c r="BC27" s="14">
        <v>14</v>
      </c>
      <c r="BD27" s="14" t="s">
        <v>133</v>
      </c>
      <c r="BE27" s="14">
        <v>2</v>
      </c>
      <c r="BF27" s="14">
        <v>0</v>
      </c>
      <c r="BG27" s="14">
        <v>45686.597916666666</v>
      </c>
      <c r="BH27" s="14">
        <v>45686.597916666666</v>
      </c>
      <c r="BI27" s="14">
        <v>14</v>
      </c>
      <c r="BJ27" s="14" t="s">
        <v>130</v>
      </c>
      <c r="BK27" s="14" t="s">
        <v>134</v>
      </c>
      <c r="BL27" s="14">
        <v>1</v>
      </c>
      <c r="BM27" s="14">
        <v>1</v>
      </c>
      <c r="BN27" s="14" t="s">
        <v>135</v>
      </c>
      <c r="BP27" s="15"/>
      <c r="BQ27" s="4"/>
      <c r="BR27" s="4"/>
      <c r="BS27" s="4"/>
      <c r="BT27" s="4"/>
      <c r="BU27" s="4"/>
      <c r="BV27" s="4"/>
      <c r="BW27" s="4"/>
      <c r="BX27" s="22"/>
      <c r="CC27" s="1"/>
      <c r="CH27" s="1"/>
      <c r="CR27" s="3" t="e">
        <f>#REF!+0</f>
        <v>#REF!</v>
      </c>
      <c r="CS27" s="1"/>
      <c r="CT27" s="1" t="str">
        <f>IF((LEFT(SIOP[[#This Row],[Equipo3]],1)="T"),"TERCEROS","PROPIOS")</f>
        <v>PROPIOS</v>
      </c>
      <c r="CY27" s="1"/>
      <c r="DD27"/>
      <c r="DE27" s="1"/>
      <c r="DG27" s="4"/>
      <c r="DH27" s="1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TablaSIOP">
                <anchor moveWithCells="1" sizeWithCells="1">
                  <from>
                    <xdr:col>106</xdr:col>
                    <xdr:colOff>678180</xdr:colOff>
                    <xdr:row>0</xdr:row>
                    <xdr:rowOff>746760</xdr:rowOff>
                  </from>
                  <to>
                    <xdr:col>107</xdr:col>
                    <xdr:colOff>1394460</xdr:colOff>
                    <xdr:row>0</xdr:row>
                    <xdr:rowOff>1424940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57A2B-FFED-4220-8084-36E5E7D596A1}">
  <sheetPr codeName="Hoja2"/>
  <dimension ref="A1:C18"/>
  <sheetViews>
    <sheetView workbookViewId="0"/>
  </sheetViews>
  <sheetFormatPr baseColWidth="10" defaultRowHeight="14.4" x14ac:dyDescent="0.3"/>
  <sheetData>
    <row r="1" spans="1:3" x14ac:dyDescent="0.3">
      <c r="A1" s="23"/>
      <c r="B1" s="24"/>
      <c r="C1" s="25"/>
    </row>
    <row r="2" spans="1:3" x14ac:dyDescent="0.3">
      <c r="A2" s="26"/>
      <c r="B2" s="27"/>
      <c r="C2" s="28"/>
    </row>
    <row r="3" spans="1:3" x14ac:dyDescent="0.3">
      <c r="A3" s="26"/>
      <c r="B3" s="27"/>
      <c r="C3" s="28"/>
    </row>
    <row r="4" spans="1:3" x14ac:dyDescent="0.3">
      <c r="A4" s="26"/>
      <c r="B4" s="27"/>
      <c r="C4" s="28"/>
    </row>
    <row r="5" spans="1:3" x14ac:dyDescent="0.3">
      <c r="A5" s="26"/>
      <c r="B5" s="27"/>
      <c r="C5" s="28"/>
    </row>
    <row r="6" spans="1:3" x14ac:dyDescent="0.3">
      <c r="A6" s="26"/>
      <c r="B6" s="27"/>
      <c r="C6" s="28"/>
    </row>
    <row r="7" spans="1:3" x14ac:dyDescent="0.3">
      <c r="A7" s="26"/>
      <c r="B7" s="27"/>
      <c r="C7" s="28"/>
    </row>
    <row r="8" spans="1:3" x14ac:dyDescent="0.3">
      <c r="A8" s="26"/>
      <c r="B8" s="27"/>
      <c r="C8" s="28"/>
    </row>
    <row r="9" spans="1:3" x14ac:dyDescent="0.3">
      <c r="A9" s="26"/>
      <c r="B9" s="27"/>
      <c r="C9" s="28"/>
    </row>
    <row r="10" spans="1:3" x14ac:dyDescent="0.3">
      <c r="A10" s="26"/>
      <c r="B10" s="27"/>
      <c r="C10" s="28"/>
    </row>
    <row r="11" spans="1:3" x14ac:dyDescent="0.3">
      <c r="A11" s="26"/>
      <c r="B11" s="27"/>
      <c r="C11" s="28"/>
    </row>
    <row r="12" spans="1:3" x14ac:dyDescent="0.3">
      <c r="A12" s="26"/>
      <c r="B12" s="27"/>
      <c r="C12" s="28"/>
    </row>
    <row r="13" spans="1:3" x14ac:dyDescent="0.3">
      <c r="A13" s="26"/>
      <c r="B13" s="27"/>
      <c r="C13" s="28"/>
    </row>
    <row r="14" spans="1:3" x14ac:dyDescent="0.3">
      <c r="A14" s="26"/>
      <c r="B14" s="27"/>
      <c r="C14" s="28"/>
    </row>
    <row r="15" spans="1:3" x14ac:dyDescent="0.3">
      <c r="A15" s="26"/>
      <c r="B15" s="27"/>
      <c r="C15" s="28"/>
    </row>
    <row r="16" spans="1:3" x14ac:dyDescent="0.3">
      <c r="A16" s="26"/>
      <c r="B16" s="27"/>
      <c r="C16" s="28"/>
    </row>
    <row r="17" spans="1:3" x14ac:dyDescent="0.3">
      <c r="A17" s="26"/>
      <c r="B17" s="27"/>
      <c r="C17" s="28"/>
    </row>
    <row r="18" spans="1:3" x14ac:dyDescent="0.3">
      <c r="A18" s="29"/>
      <c r="B18" s="30"/>
      <c r="C18" s="3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2A176-9496-485F-9E3E-CF4146F4945E}">
  <sheetPr codeName="Hoja4"/>
  <dimension ref="A2:T69"/>
  <sheetViews>
    <sheetView workbookViewId="0">
      <selection sqref="A1:AH1"/>
    </sheetView>
  </sheetViews>
  <sheetFormatPr baseColWidth="10" defaultRowHeight="14.4" x14ac:dyDescent="0.3"/>
  <cols>
    <col min="1" max="1" width="20.6640625" bestFit="1" customWidth="1"/>
    <col min="2" max="2" width="7.88671875" bestFit="1" customWidth="1"/>
    <col min="3" max="3" width="13.33203125" bestFit="1" customWidth="1"/>
    <col min="4" max="4" width="12.109375" hidden="1" customWidth="1"/>
    <col min="5" max="6" width="0" hidden="1" customWidth="1"/>
    <col min="7" max="7" width="13" hidden="1" customWidth="1"/>
    <col min="8" max="8" width="12" bestFit="1" customWidth="1"/>
    <col min="9" max="9" width="8" bestFit="1" customWidth="1"/>
    <col min="10" max="10" width="16.33203125" style="1" bestFit="1" customWidth="1"/>
    <col min="11" max="12" width="7.88671875" customWidth="1"/>
    <col min="13" max="13" width="12.5546875" style="10" bestFit="1" customWidth="1"/>
    <col min="14" max="14" width="12.88671875" style="10" bestFit="1" customWidth="1"/>
    <col min="15" max="15" width="18.109375" style="10" bestFit="1" customWidth="1"/>
    <col min="16" max="16" width="10.6640625" style="10" bestFit="1" customWidth="1"/>
    <col min="17" max="18" width="8.6640625" customWidth="1"/>
    <col min="19" max="19" width="31.88671875" bestFit="1" customWidth="1"/>
    <col min="20" max="20" width="7.33203125" bestFit="1" customWidth="1"/>
  </cols>
  <sheetData>
    <row r="2" spans="1:20" x14ac:dyDescent="0.3">
      <c r="A2" s="9" t="s">
        <v>1</v>
      </c>
      <c r="B2" s="9" t="s">
        <v>0</v>
      </c>
      <c r="C2" s="9" t="s">
        <v>11</v>
      </c>
      <c r="D2" s="9" t="s">
        <v>4</v>
      </c>
      <c r="E2" s="9" t="s">
        <v>5</v>
      </c>
      <c r="F2" s="9" t="s">
        <v>6</v>
      </c>
      <c r="G2" s="9" t="s">
        <v>7</v>
      </c>
      <c r="H2" s="9" t="s">
        <v>8</v>
      </c>
      <c r="I2" s="9" t="s">
        <v>13</v>
      </c>
      <c r="J2" s="9" t="s">
        <v>14</v>
      </c>
    </row>
    <row r="3" spans="1:20" x14ac:dyDescent="0.3">
      <c r="A3" s="3">
        <v>45602</v>
      </c>
      <c r="B3" s="1" t="s">
        <v>2</v>
      </c>
      <c r="C3" s="1">
        <v>1321173</v>
      </c>
      <c r="D3" s="6"/>
      <c r="E3" s="6"/>
      <c r="F3" s="6"/>
      <c r="G3" s="6"/>
      <c r="H3" s="6">
        <v>13.399998666662785</v>
      </c>
      <c r="I3" s="6">
        <v>64.13</v>
      </c>
      <c r="J3">
        <v>1</v>
      </c>
      <c r="M3" s="2" t="s">
        <v>1</v>
      </c>
      <c r="N3" s="1" t="s">
        <v>22</v>
      </c>
    </row>
    <row r="4" spans="1:20" x14ac:dyDescent="0.3">
      <c r="A4" s="3">
        <v>45602</v>
      </c>
      <c r="B4" s="1" t="s">
        <v>2</v>
      </c>
      <c r="C4" s="1">
        <v>1321189</v>
      </c>
      <c r="D4" s="6"/>
      <c r="E4" s="6"/>
      <c r="F4" s="6"/>
      <c r="G4" s="6"/>
      <c r="H4" s="6">
        <v>5.4333316666278613</v>
      </c>
      <c r="I4" s="6">
        <v>61.79</v>
      </c>
      <c r="J4">
        <v>1</v>
      </c>
      <c r="T4" s="11"/>
    </row>
    <row r="5" spans="1:20" x14ac:dyDescent="0.3">
      <c r="A5" s="3">
        <v>45602</v>
      </c>
      <c r="B5" s="1" t="s">
        <v>2</v>
      </c>
      <c r="C5" s="1">
        <v>1321209</v>
      </c>
      <c r="D5" s="6"/>
      <c r="E5" s="6"/>
      <c r="F5" s="6"/>
      <c r="G5" s="6"/>
      <c r="H5" s="6">
        <v>4.7833316666511445</v>
      </c>
      <c r="I5" s="6">
        <v>57.5</v>
      </c>
      <c r="J5">
        <v>2</v>
      </c>
      <c r="M5" s="12" t="s">
        <v>0</v>
      </c>
      <c r="N5" s="12" t="s">
        <v>14</v>
      </c>
      <c r="O5" s="10" t="s">
        <v>16</v>
      </c>
      <c r="P5" s="10" t="s">
        <v>15</v>
      </c>
      <c r="S5" t="s">
        <v>17</v>
      </c>
      <c r="T5" s="7">
        <f>SUMPRODUCT(O6:O19,P6:P19)/SUM(P6:P19)</f>
        <v>9.3249931213226525</v>
      </c>
    </row>
    <row r="6" spans="1:20" x14ac:dyDescent="0.3">
      <c r="A6" s="3">
        <v>45602</v>
      </c>
      <c r="B6" s="1" t="s">
        <v>2</v>
      </c>
      <c r="C6" s="1">
        <v>1321168</v>
      </c>
      <c r="D6" s="6"/>
      <c r="E6" s="6"/>
      <c r="F6" s="6"/>
      <c r="G6" s="6"/>
      <c r="H6" s="6">
        <v>10.583332000069849</v>
      </c>
      <c r="I6" s="6">
        <v>64.540000000000006</v>
      </c>
      <c r="J6">
        <v>2</v>
      </c>
      <c r="M6" s="10" t="s">
        <v>2</v>
      </c>
      <c r="N6" s="1">
        <v>1</v>
      </c>
      <c r="O6" s="13">
        <v>9.4166651666453234</v>
      </c>
      <c r="P6" s="13">
        <v>125.91999999999999</v>
      </c>
      <c r="S6" t="s">
        <v>18</v>
      </c>
      <c r="T6" s="19">
        <f>SUMPRODUCT(O20:O40,P20:P40)/SUM(P20:P40)</f>
        <v>8.0257221702716723</v>
      </c>
    </row>
    <row r="7" spans="1:20" x14ac:dyDescent="0.3">
      <c r="A7" s="3">
        <v>45602</v>
      </c>
      <c r="B7" s="1" t="s">
        <v>2</v>
      </c>
      <c r="C7" s="1">
        <v>1321197</v>
      </c>
      <c r="D7" s="6"/>
      <c r="E7" s="6"/>
      <c r="F7" s="6"/>
      <c r="G7" s="6"/>
      <c r="H7" s="6">
        <v>5.8666659998835851</v>
      </c>
      <c r="I7" s="6">
        <v>64.13</v>
      </c>
      <c r="J7">
        <v>3</v>
      </c>
      <c r="N7" s="1">
        <v>2</v>
      </c>
      <c r="O7" s="13">
        <v>7.6833318333604961</v>
      </c>
      <c r="P7" s="13">
        <v>122.04</v>
      </c>
      <c r="S7" t="s">
        <v>20</v>
      </c>
      <c r="T7" s="7">
        <f>SUMPRODUCT(O6:O14,P6:P14)/SUM(P6:P14)</f>
        <v>9.7847111711718213</v>
      </c>
    </row>
    <row r="8" spans="1:20" x14ac:dyDescent="0.3">
      <c r="A8" s="3">
        <v>45602</v>
      </c>
      <c r="B8" s="1" t="s">
        <v>2</v>
      </c>
      <c r="C8" s="1">
        <v>1321164</v>
      </c>
      <c r="D8" s="6"/>
      <c r="E8" s="6"/>
      <c r="F8" s="6"/>
      <c r="G8" s="6"/>
      <c r="H8" s="6">
        <v>10.099998333325571</v>
      </c>
      <c r="I8" s="6">
        <v>68.72</v>
      </c>
      <c r="J8">
        <v>3</v>
      </c>
      <c r="N8" s="1">
        <v>3</v>
      </c>
      <c r="O8" s="13">
        <v>7.983332166604578</v>
      </c>
      <c r="P8" s="13">
        <v>132.85</v>
      </c>
      <c r="S8" t="s">
        <v>21</v>
      </c>
      <c r="T8">
        <f>SUMPRODUCT(O27:O33,P27:P33)/SUM(P27:P33)</f>
        <v>8.7339449621658058</v>
      </c>
    </row>
    <row r="9" spans="1:20" x14ac:dyDescent="0.3">
      <c r="A9" s="3">
        <v>45602</v>
      </c>
      <c r="B9" s="1" t="s">
        <v>2</v>
      </c>
      <c r="C9" s="1">
        <v>1321167</v>
      </c>
      <c r="D9" s="6"/>
      <c r="E9" s="6"/>
      <c r="F9" s="6"/>
      <c r="G9" s="6"/>
      <c r="H9" s="6">
        <v>13.54999933330229</v>
      </c>
      <c r="I9" s="6">
        <v>57.33</v>
      </c>
      <c r="J9">
        <v>4</v>
      </c>
      <c r="N9" s="1">
        <v>4</v>
      </c>
      <c r="O9" s="13">
        <v>9.6916659999650765</v>
      </c>
      <c r="P9" s="13">
        <v>113.78999999999999</v>
      </c>
      <c r="S9" t="s">
        <v>19</v>
      </c>
      <c r="T9" s="7">
        <f>SUMPRODUCT(O6:O40,P6:P40)/SUM(P6:P40)</f>
        <v>8.5953887365589665</v>
      </c>
    </row>
    <row r="10" spans="1:20" x14ac:dyDescent="0.3">
      <c r="A10" s="3">
        <v>45602</v>
      </c>
      <c r="B10" s="1" t="s">
        <v>2</v>
      </c>
      <c r="C10" s="1">
        <v>1321223</v>
      </c>
      <c r="D10" s="6"/>
      <c r="E10" s="6"/>
      <c r="F10" s="6"/>
      <c r="G10" s="6"/>
      <c r="H10" s="6">
        <v>5.8333326666278618</v>
      </c>
      <c r="I10" s="6">
        <v>56.46</v>
      </c>
      <c r="J10">
        <v>4</v>
      </c>
      <c r="N10" s="1">
        <v>5</v>
      </c>
      <c r="O10" s="13">
        <v>12.774999333348855</v>
      </c>
      <c r="P10" s="13">
        <v>114.33</v>
      </c>
    </row>
    <row r="11" spans="1:20" x14ac:dyDescent="0.3">
      <c r="A11" s="3">
        <v>45602</v>
      </c>
      <c r="B11" s="1" t="s">
        <v>2</v>
      </c>
      <c r="C11" s="1">
        <v>1321166</v>
      </c>
      <c r="D11" s="6"/>
      <c r="E11" s="6"/>
      <c r="F11" s="6"/>
      <c r="G11" s="6"/>
      <c r="H11" s="6">
        <v>14.316665999953434</v>
      </c>
      <c r="I11" s="6">
        <v>56.5</v>
      </c>
      <c r="J11">
        <v>5</v>
      </c>
      <c r="N11" s="1">
        <v>6</v>
      </c>
      <c r="O11" s="13">
        <v>12.441665500046566</v>
      </c>
      <c r="P11" s="13">
        <v>127.51</v>
      </c>
    </row>
    <row r="12" spans="1:20" x14ac:dyDescent="0.3">
      <c r="A12" s="3">
        <v>45602</v>
      </c>
      <c r="B12" s="1" t="s">
        <v>2</v>
      </c>
      <c r="C12" s="1">
        <v>1321215</v>
      </c>
      <c r="D12" s="6"/>
      <c r="E12" s="6"/>
      <c r="F12" s="6"/>
      <c r="G12" s="6"/>
      <c r="H12" s="6">
        <v>11.233332666744277</v>
      </c>
      <c r="I12" s="6">
        <v>57.83</v>
      </c>
      <c r="J12">
        <v>5</v>
      </c>
      <c r="N12" s="1">
        <v>7</v>
      </c>
      <c r="O12" s="13">
        <v>11.099999333255724</v>
      </c>
      <c r="P12" s="13">
        <v>128.41999999999999</v>
      </c>
    </row>
    <row r="13" spans="1:20" x14ac:dyDescent="0.3">
      <c r="A13" s="3">
        <v>45602</v>
      </c>
      <c r="B13" s="1" t="s">
        <v>2</v>
      </c>
      <c r="C13" s="1">
        <v>1321178</v>
      </c>
      <c r="D13" s="6"/>
      <c r="E13" s="6"/>
      <c r="F13" s="6"/>
      <c r="G13" s="6"/>
      <c r="H13" s="6">
        <v>14.149998666802485</v>
      </c>
      <c r="I13" s="6">
        <v>61.89</v>
      </c>
      <c r="J13">
        <v>6</v>
      </c>
      <c r="N13" s="1">
        <v>8</v>
      </c>
      <c r="O13" s="13">
        <v>7.5333323333779596</v>
      </c>
      <c r="P13" s="13">
        <v>125.72999999999999</v>
      </c>
    </row>
    <row r="14" spans="1:20" x14ac:dyDescent="0.3">
      <c r="A14" s="3">
        <v>45602</v>
      </c>
      <c r="B14" s="1" t="s">
        <v>2</v>
      </c>
      <c r="C14" s="1">
        <v>1321217</v>
      </c>
      <c r="D14" s="6"/>
      <c r="E14" s="6"/>
      <c r="F14" s="6"/>
      <c r="G14" s="6"/>
      <c r="H14" s="6">
        <v>10.733332333290647</v>
      </c>
      <c r="I14" s="6">
        <v>65.62</v>
      </c>
      <c r="J14">
        <v>6</v>
      </c>
      <c r="N14" s="1">
        <v>9</v>
      </c>
      <c r="O14" s="13">
        <v>9.6749991666395037</v>
      </c>
      <c r="P14" s="13">
        <v>125.91</v>
      </c>
    </row>
    <row r="15" spans="1:20" x14ac:dyDescent="0.3">
      <c r="A15" s="3">
        <v>45602</v>
      </c>
      <c r="B15" s="1" t="s">
        <v>2</v>
      </c>
      <c r="C15" s="1">
        <v>1321172</v>
      </c>
      <c r="D15" s="6"/>
      <c r="E15" s="6"/>
      <c r="F15" s="6"/>
      <c r="G15" s="6"/>
      <c r="H15" s="6">
        <v>10.883332666627863</v>
      </c>
      <c r="I15" s="6">
        <v>62.82</v>
      </c>
      <c r="J15">
        <v>7</v>
      </c>
      <c r="N15" s="1">
        <v>10</v>
      </c>
      <c r="O15" s="13">
        <v>8.9916660000116408</v>
      </c>
      <c r="P15" s="13">
        <v>119.71000000000001</v>
      </c>
    </row>
    <row r="16" spans="1:20" x14ac:dyDescent="0.3">
      <c r="A16" s="3">
        <v>45602</v>
      </c>
      <c r="B16" s="1" t="s">
        <v>2</v>
      </c>
      <c r="C16" s="1">
        <v>1321150</v>
      </c>
      <c r="D16" s="6"/>
      <c r="E16" s="6"/>
      <c r="F16" s="6"/>
      <c r="G16" s="6"/>
      <c r="H16" s="6">
        <v>11.316665999883584</v>
      </c>
      <c r="I16" s="6">
        <v>65.599999999999994</v>
      </c>
      <c r="J16">
        <v>7</v>
      </c>
      <c r="N16" s="1">
        <v>11</v>
      </c>
      <c r="O16" s="13">
        <v>8.1333318333081106</v>
      </c>
      <c r="P16" s="13">
        <v>139.22000000000003</v>
      </c>
    </row>
    <row r="17" spans="1:16" x14ac:dyDescent="0.3">
      <c r="A17" s="3">
        <v>45602</v>
      </c>
      <c r="B17" s="1" t="s">
        <v>2</v>
      </c>
      <c r="C17" s="1">
        <v>1321218</v>
      </c>
      <c r="D17" s="6"/>
      <c r="E17" s="6"/>
      <c r="F17" s="6"/>
      <c r="G17" s="6"/>
      <c r="H17" s="6">
        <v>6.2666656666744274</v>
      </c>
      <c r="I17" s="6">
        <v>59.12</v>
      </c>
      <c r="J17">
        <v>8</v>
      </c>
      <c r="N17" s="1">
        <v>12</v>
      </c>
      <c r="O17" s="13">
        <v>8.0249995000291037</v>
      </c>
      <c r="P17" s="13">
        <v>117.03</v>
      </c>
    </row>
    <row r="18" spans="1:16" x14ac:dyDescent="0.3">
      <c r="A18" s="3">
        <v>45602</v>
      </c>
      <c r="B18" s="1" t="s">
        <v>2</v>
      </c>
      <c r="C18" s="1">
        <v>1321203</v>
      </c>
      <c r="D18" s="6"/>
      <c r="E18" s="6"/>
      <c r="F18" s="6"/>
      <c r="G18" s="6"/>
      <c r="H18" s="6">
        <v>8.7999990000814918</v>
      </c>
      <c r="I18" s="6">
        <v>66.61</v>
      </c>
      <c r="J18">
        <v>8</v>
      </c>
      <c r="N18" s="1">
        <v>13</v>
      </c>
      <c r="O18" s="13">
        <v>9.2166653333546762</v>
      </c>
      <c r="P18" s="13">
        <v>119.54</v>
      </c>
    </row>
    <row r="19" spans="1:16" x14ac:dyDescent="0.3">
      <c r="A19" s="3">
        <v>45602</v>
      </c>
      <c r="B19" s="1" t="s">
        <v>2</v>
      </c>
      <c r="C19" s="1">
        <v>1321199</v>
      </c>
      <c r="D19" s="6"/>
      <c r="E19" s="6"/>
      <c r="F19" s="6"/>
      <c r="G19" s="6"/>
      <c r="H19" s="6">
        <v>8.6333326666395038</v>
      </c>
      <c r="I19" s="6">
        <v>59.77</v>
      </c>
      <c r="J19">
        <v>9</v>
      </c>
      <c r="N19" s="1">
        <v>14</v>
      </c>
      <c r="O19" s="13">
        <v>8.2416653333488554</v>
      </c>
      <c r="P19" s="13">
        <v>131.43</v>
      </c>
    </row>
    <row r="20" spans="1:16" x14ac:dyDescent="0.3">
      <c r="A20" s="3">
        <v>45602</v>
      </c>
      <c r="B20" s="1" t="s">
        <v>2</v>
      </c>
      <c r="C20" s="1">
        <v>1321170</v>
      </c>
      <c r="D20" s="6"/>
      <c r="E20" s="6"/>
      <c r="F20" s="6"/>
      <c r="G20" s="6"/>
      <c r="H20" s="6">
        <v>10.716665666639503</v>
      </c>
      <c r="I20" s="6">
        <v>66.14</v>
      </c>
      <c r="J20">
        <v>9</v>
      </c>
      <c r="M20" s="10" t="s">
        <v>12</v>
      </c>
      <c r="N20" s="1">
        <v>15</v>
      </c>
      <c r="O20" s="13">
        <v>6.1083325000407456</v>
      </c>
      <c r="P20" s="13">
        <v>118.82</v>
      </c>
    </row>
    <row r="21" spans="1:16" x14ac:dyDescent="0.3">
      <c r="A21" s="3">
        <v>45602</v>
      </c>
      <c r="B21" s="1" t="s">
        <v>2</v>
      </c>
      <c r="C21" s="1">
        <v>1321174</v>
      </c>
      <c r="D21" s="6"/>
      <c r="E21" s="6"/>
      <c r="F21" s="6"/>
      <c r="G21" s="6"/>
      <c r="H21" s="6">
        <v>13.433331999930152</v>
      </c>
      <c r="I21" s="6">
        <v>57.88</v>
      </c>
      <c r="J21">
        <v>10</v>
      </c>
      <c r="N21" s="1">
        <v>16</v>
      </c>
      <c r="O21" s="13">
        <v>8.3833320000058222</v>
      </c>
      <c r="P21" s="13">
        <v>106.68</v>
      </c>
    </row>
    <row r="22" spans="1:16" x14ac:dyDescent="0.3">
      <c r="A22" s="3">
        <v>45602</v>
      </c>
      <c r="B22" s="1" t="s">
        <v>2</v>
      </c>
      <c r="C22" s="1">
        <v>1321201</v>
      </c>
      <c r="D22" s="6"/>
      <c r="E22" s="6"/>
      <c r="F22" s="6"/>
      <c r="G22" s="6"/>
      <c r="H22" s="6">
        <v>4.5500000000931315</v>
      </c>
      <c r="I22" s="6">
        <v>61.83</v>
      </c>
      <c r="J22">
        <v>10</v>
      </c>
      <c r="N22" s="1">
        <v>17</v>
      </c>
      <c r="O22" s="13">
        <v>11.391665499994179</v>
      </c>
      <c r="P22" s="13">
        <v>121.87</v>
      </c>
    </row>
    <row r="23" spans="1:16" x14ac:dyDescent="0.3">
      <c r="A23" s="3">
        <v>45602</v>
      </c>
      <c r="B23" s="1" t="s">
        <v>2</v>
      </c>
      <c r="C23" s="1">
        <v>1321177</v>
      </c>
      <c r="D23" s="6"/>
      <c r="E23" s="6"/>
      <c r="F23" s="6"/>
      <c r="G23" s="6"/>
      <c r="H23" s="6">
        <v>11.449998666639503</v>
      </c>
      <c r="I23" s="6">
        <v>72.290000000000006</v>
      </c>
      <c r="J23">
        <v>11</v>
      </c>
      <c r="N23" s="1">
        <v>18</v>
      </c>
      <c r="O23" s="13">
        <v>3.6166660000291042</v>
      </c>
      <c r="P23" s="13">
        <v>95.65</v>
      </c>
    </row>
    <row r="24" spans="1:16" x14ac:dyDescent="0.3">
      <c r="A24" s="3">
        <v>45602</v>
      </c>
      <c r="B24" s="1" t="s">
        <v>2</v>
      </c>
      <c r="C24" s="1">
        <v>1321221</v>
      </c>
      <c r="D24" s="6"/>
      <c r="E24" s="6"/>
      <c r="F24" s="6"/>
      <c r="G24" s="6"/>
      <c r="H24" s="6">
        <v>4.8166649999767168</v>
      </c>
      <c r="I24" s="6">
        <v>66.930000000000007</v>
      </c>
      <c r="J24">
        <v>11</v>
      </c>
      <c r="N24" s="1">
        <v>19</v>
      </c>
      <c r="O24" s="13">
        <v>12.616665333447809</v>
      </c>
      <c r="P24" s="13">
        <v>110.4</v>
      </c>
    </row>
    <row r="25" spans="1:16" x14ac:dyDescent="0.3">
      <c r="A25" s="3">
        <v>45602</v>
      </c>
      <c r="B25" s="1" t="s">
        <v>2</v>
      </c>
      <c r="C25" s="1">
        <v>1321222</v>
      </c>
      <c r="D25" s="6"/>
      <c r="E25" s="6"/>
      <c r="F25" s="6"/>
      <c r="G25" s="6"/>
      <c r="H25" s="6">
        <v>10.633333000104773</v>
      </c>
      <c r="I25" s="6">
        <v>56.65</v>
      </c>
      <c r="J25">
        <v>12</v>
      </c>
      <c r="N25" s="1">
        <v>20</v>
      </c>
      <c r="O25" s="13">
        <v>8.4166661666744282</v>
      </c>
      <c r="P25" s="13">
        <v>110.77000000000001</v>
      </c>
    </row>
    <row r="26" spans="1:16" x14ac:dyDescent="0.3">
      <c r="A26" s="3">
        <v>45602</v>
      </c>
      <c r="B26" s="1" t="s">
        <v>2</v>
      </c>
      <c r="C26" s="1">
        <v>1321206</v>
      </c>
      <c r="D26" s="6"/>
      <c r="E26" s="6"/>
      <c r="F26" s="6"/>
      <c r="G26" s="6"/>
      <c r="H26" s="6">
        <v>5.4166659999534339</v>
      </c>
      <c r="I26" s="6">
        <v>60.38</v>
      </c>
      <c r="J26">
        <v>12</v>
      </c>
      <c r="N26" s="1">
        <v>21</v>
      </c>
      <c r="O26" s="13">
        <v>6.7499993333779589</v>
      </c>
      <c r="P26" s="13">
        <v>112.53999999999999</v>
      </c>
    </row>
    <row r="27" spans="1:16" x14ac:dyDescent="0.3">
      <c r="A27" s="3">
        <v>45602</v>
      </c>
      <c r="B27" s="1" t="s">
        <v>2</v>
      </c>
      <c r="C27" s="1">
        <v>1321180</v>
      </c>
      <c r="D27" s="6"/>
      <c r="E27" s="6"/>
      <c r="F27" s="6"/>
      <c r="G27" s="6"/>
      <c r="H27" s="6">
        <v>12.99999866661622</v>
      </c>
      <c r="I27" s="6">
        <v>60.2</v>
      </c>
      <c r="J27">
        <v>13</v>
      </c>
      <c r="N27" s="1">
        <v>22</v>
      </c>
      <c r="O27" s="13">
        <v>7.6083319999883594</v>
      </c>
      <c r="P27" s="13">
        <v>117.01</v>
      </c>
    </row>
    <row r="28" spans="1:16" x14ac:dyDescent="0.3">
      <c r="A28" s="3">
        <v>45602</v>
      </c>
      <c r="B28" s="1" t="s">
        <v>2</v>
      </c>
      <c r="C28" s="1">
        <v>1321212</v>
      </c>
      <c r="D28" s="6"/>
      <c r="E28" s="6"/>
      <c r="F28" s="6"/>
      <c r="G28" s="6"/>
      <c r="H28" s="6">
        <v>5.4333320000931327</v>
      </c>
      <c r="I28" s="6">
        <v>59.34</v>
      </c>
      <c r="J28">
        <v>13</v>
      </c>
      <c r="N28" s="1">
        <v>23</v>
      </c>
      <c r="O28" s="13">
        <v>5.158332666697711</v>
      </c>
      <c r="P28" s="13">
        <v>110.72</v>
      </c>
    </row>
    <row r="29" spans="1:16" x14ac:dyDescent="0.3">
      <c r="A29" s="3">
        <v>45602</v>
      </c>
      <c r="B29" s="1" t="s">
        <v>2</v>
      </c>
      <c r="C29" s="1">
        <v>1321151</v>
      </c>
      <c r="D29" s="6"/>
      <c r="E29" s="6"/>
      <c r="F29" s="6"/>
      <c r="G29" s="6"/>
      <c r="H29" s="6">
        <v>11.099999000081491</v>
      </c>
      <c r="I29" s="6">
        <v>65.97</v>
      </c>
      <c r="J29">
        <v>14</v>
      </c>
      <c r="N29" s="1">
        <v>24</v>
      </c>
      <c r="O29" s="13">
        <v>8.2833326667093523</v>
      </c>
      <c r="P29" s="13">
        <v>117.24</v>
      </c>
    </row>
    <row r="30" spans="1:16" x14ac:dyDescent="0.3">
      <c r="A30" s="3">
        <v>45602</v>
      </c>
      <c r="B30" s="1" t="s">
        <v>2</v>
      </c>
      <c r="C30" s="1">
        <v>1321192</v>
      </c>
      <c r="D30" s="6"/>
      <c r="E30" s="6"/>
      <c r="F30" s="6"/>
      <c r="G30" s="6"/>
      <c r="H30" s="6">
        <v>5.3833316666162201</v>
      </c>
      <c r="I30" s="6">
        <v>65.459999999999994</v>
      </c>
      <c r="J30">
        <v>14</v>
      </c>
      <c r="N30" s="1">
        <v>25</v>
      </c>
      <c r="O30" s="13">
        <v>8.0333326666918889</v>
      </c>
      <c r="P30" s="13">
        <v>128.20000000000002</v>
      </c>
    </row>
    <row r="31" spans="1:16" x14ac:dyDescent="0.3">
      <c r="A31" s="3">
        <v>45602</v>
      </c>
      <c r="B31" s="1" t="s">
        <v>12</v>
      </c>
      <c r="C31" s="1">
        <v>1321191</v>
      </c>
      <c r="D31" s="6"/>
      <c r="E31" s="6"/>
      <c r="F31" s="6"/>
      <c r="G31" s="6"/>
      <c r="H31" s="6">
        <v>8.5666656667792012</v>
      </c>
      <c r="I31" s="6">
        <v>61.06</v>
      </c>
      <c r="J31">
        <v>15</v>
      </c>
      <c r="N31" s="1">
        <v>26</v>
      </c>
      <c r="O31" s="13">
        <v>10.299999333343035</v>
      </c>
      <c r="P31" s="13">
        <v>125.86</v>
      </c>
    </row>
    <row r="32" spans="1:16" x14ac:dyDescent="0.3">
      <c r="A32" s="3">
        <v>45602</v>
      </c>
      <c r="B32" s="1" t="s">
        <v>12</v>
      </c>
      <c r="C32" s="1">
        <v>1321198</v>
      </c>
      <c r="D32" s="6"/>
      <c r="E32" s="6"/>
      <c r="F32" s="6"/>
      <c r="G32" s="6"/>
      <c r="H32" s="6">
        <v>3.6499993333022891</v>
      </c>
      <c r="I32" s="6">
        <v>57.76</v>
      </c>
      <c r="J32">
        <v>15</v>
      </c>
      <c r="N32" s="1">
        <v>27</v>
      </c>
      <c r="O32" s="13">
        <v>13.241665833290647</v>
      </c>
      <c r="P32" s="13">
        <v>123.35</v>
      </c>
    </row>
    <row r="33" spans="1:16" x14ac:dyDescent="0.3">
      <c r="A33" s="3">
        <v>45602</v>
      </c>
      <c r="B33" s="1" t="s">
        <v>12</v>
      </c>
      <c r="C33" s="1">
        <v>1321195</v>
      </c>
      <c r="D33" s="6"/>
      <c r="E33" s="6"/>
      <c r="F33" s="6"/>
      <c r="G33" s="6"/>
      <c r="H33" s="6">
        <v>7.2333316666395024</v>
      </c>
      <c r="I33" s="6">
        <v>56.97</v>
      </c>
      <c r="J33">
        <v>16</v>
      </c>
      <c r="N33" s="1">
        <v>28</v>
      </c>
      <c r="O33" s="13">
        <v>7.9916654999417922</v>
      </c>
      <c r="P33" s="13">
        <v>111.66</v>
      </c>
    </row>
    <row r="34" spans="1:16" x14ac:dyDescent="0.3">
      <c r="A34" s="3">
        <v>45602</v>
      </c>
      <c r="B34" s="1" t="s">
        <v>12</v>
      </c>
      <c r="C34" s="1">
        <v>1321207</v>
      </c>
      <c r="D34" s="6"/>
      <c r="E34" s="6"/>
      <c r="F34" s="6"/>
      <c r="G34" s="6"/>
      <c r="H34" s="6">
        <v>9.5333323333721403</v>
      </c>
      <c r="I34" s="6">
        <v>49.71</v>
      </c>
      <c r="J34">
        <v>16</v>
      </c>
      <c r="N34" s="1">
        <v>29</v>
      </c>
      <c r="O34" s="13">
        <v>3.3999989999185094</v>
      </c>
      <c r="P34" s="13">
        <v>49.15</v>
      </c>
    </row>
    <row r="35" spans="1:16" x14ac:dyDescent="0.3">
      <c r="A35" s="3">
        <v>45602</v>
      </c>
      <c r="B35" s="1" t="s">
        <v>12</v>
      </c>
      <c r="C35" s="1">
        <v>1321175</v>
      </c>
      <c r="D35" s="6"/>
      <c r="E35" s="6"/>
      <c r="F35" s="6"/>
      <c r="G35" s="6"/>
      <c r="H35" s="6">
        <v>14.366665999953435</v>
      </c>
      <c r="I35" s="6">
        <v>61.47</v>
      </c>
      <c r="J35">
        <v>17</v>
      </c>
      <c r="M35" s="10" t="s">
        <v>9</v>
      </c>
      <c r="N35" s="1">
        <v>30</v>
      </c>
      <c r="O35" s="13">
        <v>4.5166661665812953</v>
      </c>
      <c r="P35" s="13">
        <v>112.21000000000001</v>
      </c>
    </row>
    <row r="36" spans="1:16" x14ac:dyDescent="0.3">
      <c r="A36" s="3">
        <v>45602</v>
      </c>
      <c r="B36" s="1" t="s">
        <v>12</v>
      </c>
      <c r="C36" s="1">
        <v>1321188</v>
      </c>
      <c r="D36" s="6"/>
      <c r="E36" s="6"/>
      <c r="F36" s="6"/>
      <c r="G36" s="6"/>
      <c r="H36" s="6">
        <v>8.4166650000349232</v>
      </c>
      <c r="I36" s="6">
        <v>60.4</v>
      </c>
      <c r="J36">
        <v>17</v>
      </c>
      <c r="N36" s="1">
        <v>31</v>
      </c>
      <c r="O36" s="13">
        <v>3.4916653333546761</v>
      </c>
      <c r="P36" s="13">
        <v>113.41</v>
      </c>
    </row>
    <row r="37" spans="1:16" x14ac:dyDescent="0.3">
      <c r="A37" s="3">
        <v>45602</v>
      </c>
      <c r="B37" s="1" t="s">
        <v>12</v>
      </c>
      <c r="C37" s="1">
        <v>1321181</v>
      </c>
      <c r="D37" s="6"/>
      <c r="E37" s="6"/>
      <c r="F37" s="6"/>
      <c r="G37" s="6"/>
      <c r="H37" s="6">
        <v>3.8333330000698491</v>
      </c>
      <c r="I37" s="6">
        <v>49.41</v>
      </c>
      <c r="J37">
        <v>18</v>
      </c>
      <c r="N37" s="1">
        <v>32</v>
      </c>
      <c r="O37" s="13">
        <v>4.2499989999534336</v>
      </c>
      <c r="P37" s="13">
        <v>57.97</v>
      </c>
    </row>
    <row r="38" spans="1:16" x14ac:dyDescent="0.3">
      <c r="A38" s="3">
        <v>45602</v>
      </c>
      <c r="B38" s="1" t="s">
        <v>12</v>
      </c>
      <c r="C38" s="1">
        <v>1321204</v>
      </c>
      <c r="D38" s="6"/>
      <c r="E38" s="6"/>
      <c r="F38" s="6"/>
      <c r="G38" s="6"/>
      <c r="H38" s="6">
        <v>3.3999989999883589</v>
      </c>
      <c r="I38" s="6">
        <v>46.24</v>
      </c>
      <c r="J38">
        <v>18</v>
      </c>
      <c r="M38" s="10" t="s">
        <v>10</v>
      </c>
      <c r="N38" s="1">
        <v>33</v>
      </c>
      <c r="O38" s="13">
        <v>8.5333324999767175</v>
      </c>
      <c r="P38" s="13">
        <v>106.22999999999999</v>
      </c>
    </row>
    <row r="39" spans="1:16" x14ac:dyDescent="0.3">
      <c r="A39" s="3">
        <v>45602</v>
      </c>
      <c r="B39" s="1" t="s">
        <v>12</v>
      </c>
      <c r="C39" s="1">
        <v>1321169</v>
      </c>
      <c r="D39" s="6"/>
      <c r="E39" s="6"/>
      <c r="F39" s="6"/>
      <c r="G39" s="6"/>
      <c r="H39" s="6">
        <v>14.116665666744277</v>
      </c>
      <c r="I39" s="6">
        <v>54.07</v>
      </c>
      <c r="J39">
        <v>19</v>
      </c>
      <c r="N39" s="1">
        <v>34</v>
      </c>
      <c r="O39" s="13">
        <v>10.458332333354676</v>
      </c>
      <c r="P39" s="13">
        <v>120.92</v>
      </c>
    </row>
    <row r="40" spans="1:16" x14ac:dyDescent="0.3">
      <c r="A40" s="3">
        <v>45602</v>
      </c>
      <c r="B40" s="1" t="s">
        <v>12</v>
      </c>
      <c r="C40" s="1">
        <v>1321182</v>
      </c>
      <c r="D40" s="6"/>
      <c r="E40" s="6"/>
      <c r="F40" s="6"/>
      <c r="G40" s="6"/>
      <c r="H40" s="6">
        <v>11.11666500015134</v>
      </c>
      <c r="I40" s="6">
        <v>56.33</v>
      </c>
      <c r="J40">
        <v>19</v>
      </c>
      <c r="N40" s="1">
        <v>35</v>
      </c>
      <c r="O40" s="13">
        <v>11.399998666627862</v>
      </c>
      <c r="P40" s="13">
        <v>62.25</v>
      </c>
    </row>
    <row r="41" spans="1:16" x14ac:dyDescent="0.3">
      <c r="A41" s="3">
        <v>45602</v>
      </c>
      <c r="B41" s="1" t="s">
        <v>12</v>
      </c>
      <c r="C41" s="1">
        <v>1321220</v>
      </c>
      <c r="D41" s="6"/>
      <c r="E41" s="6"/>
      <c r="F41" s="6"/>
      <c r="G41" s="6"/>
      <c r="H41" s="6">
        <v>6.9999996667559179</v>
      </c>
      <c r="I41" s="6">
        <v>55.63</v>
      </c>
      <c r="J41">
        <v>20</v>
      </c>
      <c r="M41" s="10" t="s">
        <v>3</v>
      </c>
      <c r="O41" s="13">
        <v>8.5174119701506452</v>
      </c>
      <c r="P41" s="13">
        <v>3976.34</v>
      </c>
    </row>
    <row r="42" spans="1:16" x14ac:dyDescent="0.3">
      <c r="A42" s="3">
        <v>45602</v>
      </c>
      <c r="B42" s="1" t="s">
        <v>12</v>
      </c>
      <c r="C42" s="1">
        <v>1321186</v>
      </c>
      <c r="D42" s="6"/>
      <c r="E42" s="6"/>
      <c r="F42" s="6"/>
      <c r="G42" s="6"/>
      <c r="H42" s="6">
        <v>9.8333326665929377</v>
      </c>
      <c r="I42" s="6">
        <v>55.14</v>
      </c>
      <c r="J42">
        <v>20</v>
      </c>
      <c r="M42"/>
      <c r="N42"/>
      <c r="O42"/>
      <c r="P42"/>
    </row>
    <row r="43" spans="1:16" x14ac:dyDescent="0.3">
      <c r="A43" s="3">
        <v>45602</v>
      </c>
      <c r="B43" s="1" t="s">
        <v>12</v>
      </c>
      <c r="C43" s="1">
        <v>1321193</v>
      </c>
      <c r="D43" s="6"/>
      <c r="E43" s="6"/>
      <c r="F43" s="6"/>
      <c r="G43" s="6"/>
      <c r="H43" s="6">
        <v>3.1499990000582079</v>
      </c>
      <c r="I43" s="6">
        <v>56.55</v>
      </c>
      <c r="J43">
        <v>21</v>
      </c>
      <c r="M43"/>
      <c r="N43"/>
      <c r="O43"/>
      <c r="P43"/>
    </row>
    <row r="44" spans="1:16" x14ac:dyDescent="0.3">
      <c r="A44" s="3">
        <v>45602</v>
      </c>
      <c r="B44" s="1" t="s">
        <v>12</v>
      </c>
      <c r="C44" s="1">
        <v>1321185</v>
      </c>
      <c r="D44" s="6"/>
      <c r="E44" s="6"/>
      <c r="F44" s="6"/>
      <c r="G44" s="6"/>
      <c r="H44" s="6">
        <v>10.349999666697711</v>
      </c>
      <c r="I44" s="6">
        <v>55.99</v>
      </c>
      <c r="J44">
        <v>21</v>
      </c>
      <c r="M44"/>
      <c r="N44"/>
      <c r="O44"/>
      <c r="P44"/>
    </row>
    <row r="45" spans="1:16" x14ac:dyDescent="0.3">
      <c r="A45" s="3">
        <v>45602</v>
      </c>
      <c r="B45" s="1" t="s">
        <v>12</v>
      </c>
      <c r="C45" s="1">
        <v>1321213</v>
      </c>
      <c r="D45" s="6"/>
      <c r="E45" s="6"/>
      <c r="F45" s="6"/>
      <c r="G45" s="6"/>
      <c r="H45" s="6">
        <v>3.9333320000116418</v>
      </c>
      <c r="I45" s="6">
        <v>59.31</v>
      </c>
      <c r="J45">
        <v>22</v>
      </c>
    </row>
    <row r="46" spans="1:16" x14ac:dyDescent="0.3">
      <c r="A46" s="3">
        <v>45602</v>
      </c>
      <c r="B46" s="1" t="s">
        <v>12</v>
      </c>
      <c r="C46" s="1">
        <v>1321216</v>
      </c>
      <c r="D46" s="6"/>
      <c r="E46" s="6"/>
      <c r="F46" s="6"/>
      <c r="G46" s="6"/>
      <c r="H46" s="6">
        <v>11.283331999965077</v>
      </c>
      <c r="I46" s="6">
        <v>57.7</v>
      </c>
      <c r="J46">
        <v>22</v>
      </c>
    </row>
    <row r="47" spans="1:16" x14ac:dyDescent="0.3">
      <c r="A47" s="3">
        <v>45602</v>
      </c>
      <c r="B47" s="1" t="s">
        <v>12</v>
      </c>
      <c r="C47" s="1">
        <v>1321190</v>
      </c>
      <c r="D47" s="6"/>
      <c r="E47" s="6"/>
      <c r="F47" s="6"/>
      <c r="G47" s="6"/>
      <c r="H47" s="6">
        <v>6.6333323333372141</v>
      </c>
      <c r="I47" s="6">
        <v>60.1</v>
      </c>
      <c r="J47">
        <v>23</v>
      </c>
    </row>
    <row r="48" spans="1:16" x14ac:dyDescent="0.3">
      <c r="A48" s="3">
        <v>45602</v>
      </c>
      <c r="B48" s="1" t="s">
        <v>12</v>
      </c>
      <c r="C48" s="1">
        <v>1321210</v>
      </c>
      <c r="D48" s="6"/>
      <c r="E48" s="6"/>
      <c r="F48" s="6"/>
      <c r="G48" s="6"/>
      <c r="H48" s="6">
        <v>3.6833330000582079</v>
      </c>
      <c r="I48" s="6">
        <v>50.62</v>
      </c>
      <c r="J48">
        <v>23</v>
      </c>
    </row>
    <row r="49" spans="1:10" x14ac:dyDescent="0.3">
      <c r="A49" s="3">
        <v>45602</v>
      </c>
      <c r="B49" s="1" t="s">
        <v>12</v>
      </c>
      <c r="C49" s="1">
        <v>1321196</v>
      </c>
      <c r="D49" s="6"/>
      <c r="E49" s="6"/>
      <c r="F49" s="6"/>
      <c r="G49" s="6"/>
      <c r="H49" s="6">
        <v>7.0999986666278616</v>
      </c>
      <c r="I49" s="6">
        <v>63.16</v>
      </c>
      <c r="J49">
        <v>24</v>
      </c>
    </row>
    <row r="50" spans="1:10" x14ac:dyDescent="0.3">
      <c r="A50" s="3">
        <v>45602</v>
      </c>
      <c r="B50" s="1" t="s">
        <v>12</v>
      </c>
      <c r="C50" s="1">
        <v>1321187</v>
      </c>
      <c r="D50" s="6"/>
      <c r="E50" s="6"/>
      <c r="F50" s="6"/>
      <c r="G50" s="6"/>
      <c r="H50" s="6">
        <v>9.466666666790843</v>
      </c>
      <c r="I50" s="6">
        <v>54.08</v>
      </c>
      <c r="J50">
        <v>24</v>
      </c>
    </row>
    <row r="51" spans="1:10" x14ac:dyDescent="0.3">
      <c r="A51" s="3">
        <v>45602</v>
      </c>
      <c r="B51" s="1" t="s">
        <v>12</v>
      </c>
      <c r="C51" s="1">
        <v>1321149</v>
      </c>
      <c r="D51" s="6"/>
      <c r="E51" s="6"/>
      <c r="F51" s="6"/>
      <c r="G51" s="6"/>
      <c r="H51" s="6">
        <v>13.183332666767559</v>
      </c>
      <c r="I51" s="6">
        <v>69.430000000000007</v>
      </c>
      <c r="J51">
        <v>25</v>
      </c>
    </row>
    <row r="52" spans="1:10" x14ac:dyDescent="0.3">
      <c r="A52" s="3">
        <v>45602</v>
      </c>
      <c r="B52" s="1" t="s">
        <v>12</v>
      </c>
      <c r="C52" s="1">
        <v>1321194</v>
      </c>
      <c r="D52" s="6"/>
      <c r="E52" s="6"/>
      <c r="F52" s="6"/>
      <c r="G52" s="6"/>
      <c r="H52" s="6">
        <v>2.8833326666162202</v>
      </c>
      <c r="I52" s="6">
        <v>58.77</v>
      </c>
      <c r="J52">
        <v>25</v>
      </c>
    </row>
    <row r="53" spans="1:10" x14ac:dyDescent="0.3">
      <c r="A53" s="3">
        <v>45602</v>
      </c>
      <c r="B53" s="1" t="s">
        <v>12</v>
      </c>
      <c r="C53" s="1">
        <v>1321171</v>
      </c>
      <c r="D53" s="6"/>
      <c r="E53" s="6"/>
      <c r="F53" s="6"/>
      <c r="G53" s="6"/>
      <c r="H53" s="6">
        <v>10.199999333337214</v>
      </c>
      <c r="I53" s="6">
        <v>64.11</v>
      </c>
      <c r="J53">
        <v>26</v>
      </c>
    </row>
    <row r="54" spans="1:10" x14ac:dyDescent="0.3">
      <c r="A54" s="3">
        <v>45602</v>
      </c>
      <c r="B54" s="1" t="s">
        <v>12</v>
      </c>
      <c r="C54" s="1">
        <v>1321211</v>
      </c>
      <c r="D54" s="6"/>
      <c r="E54" s="6"/>
      <c r="F54" s="6"/>
      <c r="G54" s="6"/>
      <c r="H54" s="6">
        <v>10.399999333348855</v>
      </c>
      <c r="I54" s="6">
        <v>61.75</v>
      </c>
      <c r="J54">
        <v>26</v>
      </c>
    </row>
    <row r="55" spans="1:10" x14ac:dyDescent="0.3">
      <c r="A55" s="3">
        <v>45602</v>
      </c>
      <c r="B55" s="1" t="s">
        <v>12</v>
      </c>
      <c r="C55" s="1">
        <v>1321184</v>
      </c>
      <c r="D55" s="6"/>
      <c r="E55" s="6"/>
      <c r="F55" s="6"/>
      <c r="G55" s="6"/>
      <c r="H55" s="6">
        <v>11.816665999941792</v>
      </c>
      <c r="I55" s="6">
        <v>59.19</v>
      </c>
      <c r="J55">
        <v>27</v>
      </c>
    </row>
    <row r="56" spans="1:10" x14ac:dyDescent="0.3">
      <c r="A56" s="3">
        <v>45602</v>
      </c>
      <c r="B56" s="1" t="s">
        <v>12</v>
      </c>
      <c r="C56" s="1">
        <v>1321152</v>
      </c>
      <c r="D56" s="6"/>
      <c r="E56" s="6"/>
      <c r="F56" s="6"/>
      <c r="G56" s="6"/>
      <c r="H56" s="6">
        <v>14.666665666639503</v>
      </c>
      <c r="I56" s="6">
        <v>64.16</v>
      </c>
      <c r="J56">
        <v>27</v>
      </c>
    </row>
    <row r="57" spans="1:10" x14ac:dyDescent="0.3">
      <c r="A57" s="3">
        <v>45602</v>
      </c>
      <c r="B57" s="1" t="s">
        <v>12</v>
      </c>
      <c r="C57" s="1">
        <v>1321179</v>
      </c>
      <c r="D57" s="6"/>
      <c r="E57" s="6"/>
      <c r="F57" s="6"/>
      <c r="G57" s="6"/>
      <c r="H57" s="6">
        <v>6.3333326665696532</v>
      </c>
      <c r="I57" s="6">
        <v>56.53</v>
      </c>
      <c r="J57">
        <v>28</v>
      </c>
    </row>
    <row r="58" spans="1:10" x14ac:dyDescent="0.3">
      <c r="A58" s="3">
        <v>45602</v>
      </c>
      <c r="B58" s="1" t="s">
        <v>12</v>
      </c>
      <c r="C58" s="1">
        <v>1321146</v>
      </c>
      <c r="D58" s="6"/>
      <c r="E58" s="6"/>
      <c r="F58" s="6"/>
      <c r="G58" s="6"/>
      <c r="H58" s="6">
        <v>9.6499983333139312</v>
      </c>
      <c r="I58" s="6">
        <v>55.13</v>
      </c>
      <c r="J58">
        <v>28</v>
      </c>
    </row>
    <row r="59" spans="1:10" x14ac:dyDescent="0.3">
      <c r="A59" s="3">
        <v>45602</v>
      </c>
      <c r="B59" s="8" t="s">
        <v>12</v>
      </c>
      <c r="C59" s="8">
        <v>1321200</v>
      </c>
      <c r="D59" s="18"/>
      <c r="E59" s="18"/>
      <c r="F59" s="18"/>
      <c r="G59" s="18"/>
      <c r="H59" s="18">
        <v>3.3999989999185094</v>
      </c>
      <c r="I59" s="18">
        <v>49.15</v>
      </c>
      <c r="J59" s="16">
        <v>29</v>
      </c>
    </row>
    <row r="60" spans="1:10" x14ac:dyDescent="0.3">
      <c r="A60" s="3">
        <v>45602</v>
      </c>
      <c r="B60" s="8" t="s">
        <v>9</v>
      </c>
      <c r="C60" s="8">
        <v>1321205</v>
      </c>
      <c r="D60" s="18"/>
      <c r="E60" s="18"/>
      <c r="F60" s="18"/>
      <c r="G60" s="18"/>
      <c r="H60" s="18">
        <v>5.9833323332207993</v>
      </c>
      <c r="I60" s="18">
        <v>53.31</v>
      </c>
      <c r="J60" s="16">
        <v>30</v>
      </c>
    </row>
    <row r="61" spans="1:10" x14ac:dyDescent="0.3">
      <c r="A61" s="3">
        <v>45602</v>
      </c>
      <c r="B61" s="1" t="s">
        <v>9</v>
      </c>
      <c r="C61" s="1">
        <v>1321202</v>
      </c>
      <c r="D61" s="6"/>
      <c r="E61" s="6"/>
      <c r="F61" s="6"/>
      <c r="G61" s="6"/>
      <c r="H61" s="6">
        <v>3.0499999999417922</v>
      </c>
      <c r="I61" s="6">
        <v>58.9</v>
      </c>
      <c r="J61" s="17">
        <v>30</v>
      </c>
    </row>
    <row r="62" spans="1:10" x14ac:dyDescent="0.3">
      <c r="A62" s="3">
        <v>45602</v>
      </c>
      <c r="B62" s="1" t="s">
        <v>9</v>
      </c>
      <c r="C62" s="1">
        <v>1321219</v>
      </c>
      <c r="D62" s="6"/>
      <c r="E62" s="6"/>
      <c r="F62" s="6"/>
      <c r="G62" s="6"/>
      <c r="H62" s="6">
        <v>3.6333320001164155</v>
      </c>
      <c r="I62" s="6">
        <v>57.84</v>
      </c>
      <c r="J62" s="17">
        <v>31</v>
      </c>
    </row>
    <row r="63" spans="1:10" x14ac:dyDescent="0.3">
      <c r="A63" s="3">
        <v>45602</v>
      </c>
      <c r="B63" s="1" t="s">
        <v>9</v>
      </c>
      <c r="C63" s="1">
        <v>1321208</v>
      </c>
      <c r="D63" s="6"/>
      <c r="E63" s="6"/>
      <c r="F63" s="6"/>
      <c r="G63" s="6"/>
      <c r="H63" s="6">
        <v>3.3499986665929367</v>
      </c>
      <c r="I63" s="6">
        <v>55.57</v>
      </c>
      <c r="J63" s="17">
        <v>31</v>
      </c>
    </row>
    <row r="64" spans="1:10" x14ac:dyDescent="0.3">
      <c r="A64" s="3">
        <v>45602</v>
      </c>
      <c r="B64" s="1" t="s">
        <v>9</v>
      </c>
      <c r="C64" s="1">
        <v>1321214</v>
      </c>
      <c r="D64" s="6"/>
      <c r="E64" s="6"/>
      <c r="F64" s="6"/>
      <c r="G64" s="6"/>
      <c r="H64" s="6">
        <v>4.2499989999534336</v>
      </c>
      <c r="I64" s="6">
        <v>57.97</v>
      </c>
      <c r="J64" s="17">
        <v>32</v>
      </c>
    </row>
    <row r="65" spans="1:10" x14ac:dyDescent="0.3">
      <c r="A65" s="3">
        <v>45602</v>
      </c>
      <c r="B65" s="1" t="s">
        <v>10</v>
      </c>
      <c r="C65" s="1">
        <v>1321183</v>
      </c>
      <c r="D65" s="6"/>
      <c r="E65" s="6"/>
      <c r="F65" s="6"/>
      <c r="G65" s="6"/>
      <c r="H65" s="6">
        <v>10.233332333337215</v>
      </c>
      <c r="I65" s="6">
        <v>51.91</v>
      </c>
      <c r="J65" s="17">
        <v>33</v>
      </c>
    </row>
    <row r="66" spans="1:10" x14ac:dyDescent="0.3">
      <c r="A66" s="3">
        <v>45602</v>
      </c>
      <c r="B66" s="1" t="s">
        <v>10</v>
      </c>
      <c r="C66" s="1">
        <v>1321147</v>
      </c>
      <c r="D66" s="6"/>
      <c r="E66" s="6"/>
      <c r="F66" s="6"/>
      <c r="G66" s="6"/>
      <c r="H66" s="6">
        <v>6.8333326666162204</v>
      </c>
      <c r="I66" s="6">
        <v>54.32</v>
      </c>
      <c r="J66" s="17">
        <v>33</v>
      </c>
    </row>
    <row r="67" spans="1:10" x14ac:dyDescent="0.3">
      <c r="A67" s="3">
        <v>45602</v>
      </c>
      <c r="B67" s="1" t="s">
        <v>10</v>
      </c>
      <c r="C67" s="1">
        <v>1321165</v>
      </c>
      <c r="D67" s="6"/>
      <c r="E67" s="6"/>
      <c r="F67" s="6"/>
      <c r="G67" s="6"/>
      <c r="H67" s="6">
        <v>10.183332000081492</v>
      </c>
      <c r="I67" s="6">
        <v>58.79</v>
      </c>
      <c r="J67" s="17">
        <v>34</v>
      </c>
    </row>
    <row r="68" spans="1:10" x14ac:dyDescent="0.3">
      <c r="A68" s="3">
        <v>45602</v>
      </c>
      <c r="B68" s="1" t="s">
        <v>10</v>
      </c>
      <c r="C68" s="1">
        <v>1321148</v>
      </c>
      <c r="D68" s="6"/>
      <c r="E68" s="6"/>
      <c r="F68" s="6"/>
      <c r="G68" s="6"/>
      <c r="H68" s="6">
        <v>10.733332666627861</v>
      </c>
      <c r="I68" s="6">
        <v>62.13</v>
      </c>
      <c r="J68" s="17">
        <v>34</v>
      </c>
    </row>
    <row r="69" spans="1:10" x14ac:dyDescent="0.3">
      <c r="A69" s="3">
        <v>45602</v>
      </c>
      <c r="B69" s="1" t="s">
        <v>10</v>
      </c>
      <c r="C69" s="1">
        <v>1321176</v>
      </c>
      <c r="D69" s="6"/>
      <c r="E69" s="6"/>
      <c r="F69" s="6"/>
      <c r="G69" s="6"/>
      <c r="H69" s="6">
        <v>11.399998666627862</v>
      </c>
      <c r="I69" s="6">
        <v>62.25</v>
      </c>
      <c r="J69" s="17">
        <v>35</v>
      </c>
    </row>
  </sheetData>
  <phoneticPr fontId="4" type="noConversion"/>
  <conditionalFormatting sqref="F3:G69">
    <cfRule type="cellIs" dxfId="106" priority="1" operator="lessThan">
      <formula>0</formula>
    </cfRule>
  </conditionalFormatting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EEA12-F9E6-4C03-AC74-44AB97A64F0C}">
  <sheetPr codeName="Hoja5"/>
  <dimension ref="F5:F80"/>
  <sheetViews>
    <sheetView topLeftCell="A18" workbookViewId="0">
      <selection activeCell="T5" sqref="T5"/>
    </sheetView>
  </sheetViews>
  <sheetFormatPr baseColWidth="10" defaultRowHeight="14.4" x14ac:dyDescent="0.3"/>
  <sheetData>
    <row r="5" spans="6:6" x14ac:dyDescent="0.3">
      <c r="F5">
        <v>1</v>
      </c>
    </row>
    <row r="6" spans="6:6" x14ac:dyDescent="0.3">
      <c r="F6">
        <v>1</v>
      </c>
    </row>
    <row r="7" spans="6:6" x14ac:dyDescent="0.3">
      <c r="F7">
        <v>2</v>
      </c>
    </row>
    <row r="8" spans="6:6" x14ac:dyDescent="0.3">
      <c r="F8">
        <v>2</v>
      </c>
    </row>
    <row r="9" spans="6:6" x14ac:dyDescent="0.3">
      <c r="F9">
        <v>3</v>
      </c>
    </row>
    <row r="10" spans="6:6" x14ac:dyDescent="0.3">
      <c r="F10">
        <v>3</v>
      </c>
    </row>
    <row r="11" spans="6:6" x14ac:dyDescent="0.3">
      <c r="F11">
        <v>4</v>
      </c>
    </row>
    <row r="12" spans="6:6" x14ac:dyDescent="0.3">
      <c r="F12">
        <v>4</v>
      </c>
    </row>
    <row r="13" spans="6:6" x14ac:dyDescent="0.3">
      <c r="F13">
        <v>5</v>
      </c>
    </row>
    <row r="14" spans="6:6" x14ac:dyDescent="0.3">
      <c r="F14">
        <v>5</v>
      </c>
    </row>
    <row r="15" spans="6:6" x14ac:dyDescent="0.3">
      <c r="F15">
        <v>6</v>
      </c>
    </row>
    <row r="16" spans="6:6" x14ac:dyDescent="0.3">
      <c r="F16">
        <v>6</v>
      </c>
    </row>
    <row r="17" spans="6:6" x14ac:dyDescent="0.3">
      <c r="F17">
        <v>7</v>
      </c>
    </row>
    <row r="18" spans="6:6" x14ac:dyDescent="0.3">
      <c r="F18">
        <v>7</v>
      </c>
    </row>
    <row r="19" spans="6:6" x14ac:dyDescent="0.3">
      <c r="F19">
        <v>8</v>
      </c>
    </row>
    <row r="20" spans="6:6" x14ac:dyDescent="0.3">
      <c r="F20">
        <v>8</v>
      </c>
    </row>
    <row r="21" spans="6:6" x14ac:dyDescent="0.3">
      <c r="F21">
        <v>9</v>
      </c>
    </row>
    <row r="22" spans="6:6" x14ac:dyDescent="0.3">
      <c r="F22">
        <v>9</v>
      </c>
    </row>
    <row r="23" spans="6:6" x14ac:dyDescent="0.3">
      <c r="F23">
        <v>10</v>
      </c>
    </row>
    <row r="24" spans="6:6" x14ac:dyDescent="0.3">
      <c r="F24">
        <v>10</v>
      </c>
    </row>
    <row r="25" spans="6:6" x14ac:dyDescent="0.3">
      <c r="F25">
        <v>11</v>
      </c>
    </row>
    <row r="26" spans="6:6" x14ac:dyDescent="0.3">
      <c r="F26">
        <v>11</v>
      </c>
    </row>
    <row r="27" spans="6:6" x14ac:dyDescent="0.3">
      <c r="F27">
        <v>12</v>
      </c>
    </row>
    <row r="28" spans="6:6" x14ac:dyDescent="0.3">
      <c r="F28">
        <v>12</v>
      </c>
    </row>
    <row r="29" spans="6:6" x14ac:dyDescent="0.3">
      <c r="F29">
        <v>13</v>
      </c>
    </row>
    <row r="30" spans="6:6" x14ac:dyDescent="0.3">
      <c r="F30">
        <v>13</v>
      </c>
    </row>
    <row r="31" spans="6:6" x14ac:dyDescent="0.3">
      <c r="F31">
        <v>14</v>
      </c>
    </row>
    <row r="32" spans="6:6" x14ac:dyDescent="0.3">
      <c r="F32">
        <v>14</v>
      </c>
    </row>
    <row r="33" spans="6:6" x14ac:dyDescent="0.3">
      <c r="F33">
        <v>15</v>
      </c>
    </row>
    <row r="34" spans="6:6" x14ac:dyDescent="0.3">
      <c r="F34">
        <v>15</v>
      </c>
    </row>
    <row r="35" spans="6:6" x14ac:dyDescent="0.3">
      <c r="F35">
        <v>16</v>
      </c>
    </row>
    <row r="36" spans="6:6" x14ac:dyDescent="0.3">
      <c r="F36">
        <v>16</v>
      </c>
    </row>
    <row r="37" spans="6:6" x14ac:dyDescent="0.3">
      <c r="F37">
        <v>17</v>
      </c>
    </row>
    <row r="38" spans="6:6" x14ac:dyDescent="0.3">
      <c r="F38">
        <v>17</v>
      </c>
    </row>
    <row r="39" spans="6:6" x14ac:dyDescent="0.3">
      <c r="F39">
        <v>18</v>
      </c>
    </row>
    <row r="40" spans="6:6" x14ac:dyDescent="0.3">
      <c r="F40">
        <v>18</v>
      </c>
    </row>
    <row r="41" spans="6:6" x14ac:dyDescent="0.3">
      <c r="F41">
        <v>19</v>
      </c>
    </row>
    <row r="42" spans="6:6" x14ac:dyDescent="0.3">
      <c r="F42">
        <v>19</v>
      </c>
    </row>
    <row r="43" spans="6:6" x14ac:dyDescent="0.3">
      <c r="F43">
        <v>20</v>
      </c>
    </row>
    <row r="44" spans="6:6" x14ac:dyDescent="0.3">
      <c r="F44">
        <v>20</v>
      </c>
    </row>
    <row r="45" spans="6:6" x14ac:dyDescent="0.3">
      <c r="F45">
        <v>21</v>
      </c>
    </row>
    <row r="46" spans="6:6" x14ac:dyDescent="0.3">
      <c r="F46">
        <v>21</v>
      </c>
    </row>
    <row r="47" spans="6:6" x14ac:dyDescent="0.3">
      <c r="F47">
        <v>22</v>
      </c>
    </row>
    <row r="48" spans="6:6" x14ac:dyDescent="0.3">
      <c r="F48">
        <v>22</v>
      </c>
    </row>
    <row r="49" spans="6:6" x14ac:dyDescent="0.3">
      <c r="F49">
        <v>23</v>
      </c>
    </row>
    <row r="50" spans="6:6" x14ac:dyDescent="0.3">
      <c r="F50">
        <v>23</v>
      </c>
    </row>
    <row r="51" spans="6:6" x14ac:dyDescent="0.3">
      <c r="F51">
        <v>24</v>
      </c>
    </row>
    <row r="52" spans="6:6" x14ac:dyDescent="0.3">
      <c r="F52">
        <v>24</v>
      </c>
    </row>
    <row r="53" spans="6:6" x14ac:dyDescent="0.3">
      <c r="F53">
        <v>25</v>
      </c>
    </row>
    <row r="54" spans="6:6" x14ac:dyDescent="0.3">
      <c r="F54">
        <v>25</v>
      </c>
    </row>
    <row r="55" spans="6:6" x14ac:dyDescent="0.3">
      <c r="F55">
        <v>26</v>
      </c>
    </row>
    <row r="56" spans="6:6" x14ac:dyDescent="0.3">
      <c r="F56">
        <v>26</v>
      </c>
    </row>
    <row r="57" spans="6:6" x14ac:dyDescent="0.3">
      <c r="F57">
        <v>27</v>
      </c>
    </row>
    <row r="58" spans="6:6" x14ac:dyDescent="0.3">
      <c r="F58">
        <v>27</v>
      </c>
    </row>
    <row r="59" spans="6:6" x14ac:dyDescent="0.3">
      <c r="F59">
        <v>28</v>
      </c>
    </row>
    <row r="60" spans="6:6" x14ac:dyDescent="0.3">
      <c r="F60">
        <v>28</v>
      </c>
    </row>
    <row r="61" spans="6:6" x14ac:dyDescent="0.3">
      <c r="F61">
        <v>29</v>
      </c>
    </row>
    <row r="62" spans="6:6" x14ac:dyDescent="0.3">
      <c r="F62">
        <v>29</v>
      </c>
    </row>
    <row r="63" spans="6:6" x14ac:dyDescent="0.3">
      <c r="F63">
        <v>30</v>
      </c>
    </row>
    <row r="64" spans="6:6" x14ac:dyDescent="0.3">
      <c r="F64">
        <v>30</v>
      </c>
    </row>
    <row r="65" spans="6:6" x14ac:dyDescent="0.3">
      <c r="F65">
        <v>31</v>
      </c>
    </row>
    <row r="66" spans="6:6" x14ac:dyDescent="0.3">
      <c r="F66">
        <v>31</v>
      </c>
    </row>
    <row r="67" spans="6:6" x14ac:dyDescent="0.3">
      <c r="F67">
        <v>32</v>
      </c>
    </row>
    <row r="68" spans="6:6" x14ac:dyDescent="0.3">
      <c r="F68">
        <v>32</v>
      </c>
    </row>
    <row r="69" spans="6:6" x14ac:dyDescent="0.3">
      <c r="F69">
        <v>33</v>
      </c>
    </row>
    <row r="70" spans="6:6" x14ac:dyDescent="0.3">
      <c r="F70">
        <v>33</v>
      </c>
    </row>
    <row r="71" spans="6:6" x14ac:dyDescent="0.3">
      <c r="F71">
        <v>34</v>
      </c>
    </row>
    <row r="72" spans="6:6" x14ac:dyDescent="0.3">
      <c r="F72">
        <v>34</v>
      </c>
    </row>
    <row r="73" spans="6:6" x14ac:dyDescent="0.3">
      <c r="F73">
        <v>35</v>
      </c>
    </row>
    <row r="74" spans="6:6" x14ac:dyDescent="0.3">
      <c r="F74">
        <v>35</v>
      </c>
    </row>
    <row r="75" spans="6:6" x14ac:dyDescent="0.3">
      <c r="F75">
        <v>36</v>
      </c>
    </row>
    <row r="76" spans="6:6" x14ac:dyDescent="0.3">
      <c r="F76">
        <v>36</v>
      </c>
    </row>
    <row r="77" spans="6:6" x14ac:dyDescent="0.3">
      <c r="F77">
        <v>37</v>
      </c>
    </row>
    <row r="78" spans="6:6" x14ac:dyDescent="0.3">
      <c r="F78">
        <v>37</v>
      </c>
    </row>
    <row r="79" spans="6:6" x14ac:dyDescent="0.3">
      <c r="F79">
        <v>38</v>
      </c>
    </row>
    <row r="80" spans="6:6" x14ac:dyDescent="0.3">
      <c r="F80">
        <v>38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5726fb42-8426-4577-9964-f13a62ad5eb9}" enabled="0" method="" siteId="{5726fb42-8426-4577-9964-f13a62ad5eb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DataSIOP</vt:lpstr>
      <vt:lpstr>TablaDinamica</vt:lpstr>
      <vt:lpstr>Ejemplo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installer</dc:creator>
  <cp:lastModifiedBy>Cristhian Martin Valladolid Chero</cp:lastModifiedBy>
  <cp:lastPrinted>2023-09-29T12:44:24Z</cp:lastPrinted>
  <dcterms:created xsi:type="dcterms:W3CDTF">2021-02-05T15:07:44Z</dcterms:created>
  <dcterms:modified xsi:type="dcterms:W3CDTF">2025-03-04T20:40:07Z</dcterms:modified>
</cp:coreProperties>
</file>