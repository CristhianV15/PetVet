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FC20029F-0B96-4320-8A42-7CD1FEC58C3E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definedNames>
    <definedName name="_xlnm._FilterDatabase" localSheetId="9" hidden="1">DataResumen!$A$36:$E$41</definedName>
  </definedNames>
  <calcPr calcId="191029"/>
  <pivotCaches>
    <pivotCache cacheId="364" r:id="rId12"/>
    <pivotCache cacheId="365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03" l="1"/>
  <c r="E2" i="203"/>
  <c r="E3" i="203"/>
  <c r="E4" i="203"/>
  <c r="E5" i="203"/>
  <c r="E6" i="203"/>
  <c r="E7" i="203"/>
  <c r="E8" i="203"/>
  <c r="E9" i="203"/>
  <c r="E10" i="203"/>
  <c r="E11" i="203"/>
  <c r="E12" i="203"/>
  <c r="E13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E434" i="203"/>
  <c r="E435" i="203"/>
  <c r="E436" i="203"/>
  <c r="E437" i="203"/>
  <c r="E438" i="203"/>
  <c r="E439" i="203"/>
  <c r="E440" i="203"/>
  <c r="E441" i="203"/>
  <c r="E442" i="203"/>
  <c r="E443" i="203"/>
  <c r="E444" i="203"/>
  <c r="E445" i="203"/>
  <c r="E446" i="203"/>
  <c r="E447" i="203"/>
  <c r="E448" i="203"/>
  <c r="E449" i="203"/>
  <c r="E450" i="203"/>
  <c r="E451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D434" i="203"/>
  <c r="D435" i="203"/>
  <c r="D436" i="203"/>
  <c r="D437" i="203"/>
  <c r="D438" i="203"/>
  <c r="D439" i="203"/>
  <c r="D440" i="203"/>
  <c r="D441" i="203"/>
  <c r="D442" i="203"/>
  <c r="D443" i="203"/>
  <c r="D444" i="203"/>
  <c r="D445" i="203"/>
  <c r="D446" i="203"/>
  <c r="D447" i="203"/>
  <c r="D448" i="203"/>
  <c r="D449" i="203"/>
  <c r="D450" i="203"/>
  <c r="D451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46" i="193" l="1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<sst xmlns="http://schemas.openxmlformats.org/spreadsheetml/2006/main" count="3846" uniqueCount="643">
  <si>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</si>
  <si>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</si>
  <si>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</si>
  <si>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</si>
  <si>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</si>
  <si>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</si>
  <si>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</si>
  <si>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</si>
  <si>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</si>
  <si>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</si>
  <si>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</si>
  <si>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</si>
  <si>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</si>
  <si>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</si>
  <si>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</si>
  <si>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</si>
  <si>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</si>
  <si>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</si>
  <si>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</si>
  <si>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</si>
  <si>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</si>
  <si>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</si>
  <si>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</si>
  <si>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</si>
  <si>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</si>
  <si>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</si>
  <si>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</si>
  <si>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</si>
  <si>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</si>
  <si>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</si>
  <si>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</si>
  <si>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</si>
  <si>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</si>
  <si>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</si>
  <si>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</si>
  <si>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</si>
  <si>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</si>
  <si>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</si>
  <si>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</si>
  <si>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</si>
  <si>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</si>
  <si>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</si>
  <si>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</si>
  <si>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</si>
  <si>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</si>
  <si>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</si>
  <si>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</si>
  <si>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</si>
  <si>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</si>
  <si>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</si>
  <si>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</si>
  <si>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</si>
  <si>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</si>
  <si>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</si>
  <si>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</si>
  <si>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</si>
  <si>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</si>
  <si>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</si>
  <si>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</si>
  <si>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</si>
  <si>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</si>
  <si>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</si>
  <si>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</si>
  <si>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</si>
  <si>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</si>
  <si>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</si>
  <si>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</si>
  <si>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</si>
  <si>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</si>
  <si>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</si>
  <si>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</si>
  <si>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</si>
  <si>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</si>
  <si>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</si>
  <si>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</si>
  <si>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</si>
  <si>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</si>
  <si>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</si>
  <si>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</si>
  <si>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</si>
  <si>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</si>
  <si>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</si>
  <si>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</si>
  <si>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</si>
  <si>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</si>
  <si>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</si>
  <si>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</si>
  <si>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</si>
  <si>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</si>
  <si>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</si>
  <si>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</si>
  <si>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</si>
  <si>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</si>
  <si>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</si>
  <si>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</si>
  <si>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</si>
  <si>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</si>
  <si>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</si>
  <si>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</si>
  <si>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</si>
  <si>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</si>
  <si>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</si>
  <si>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</si>
  <si>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</si>
  <si>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</si>
  <si>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</si>
  <si>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</si>
  <si>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</si>
  <si>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</si>
  <si>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</si>
  <si>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</si>
  <si>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</si>
  <si>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</si>
  <si>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</si>
  <si>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</si>
  <si>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</si>
  <si>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</si>
  <si>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</si>
  <si>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</si>
  <si>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</si>
  <si>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</si>
  <si>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</si>
  <si>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</si>
  <si>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</si>
  <si>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</si>
  <si>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</si>
  <si>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</si>
  <si>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</si>
  <si>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</si>
  <si>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</si>
  <si>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</si>
  <si>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</si>
  <si>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</si>
  <si>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</si>
  <si>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</si>
  <si>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</si>
  <si>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</si>
  <si>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</si>
  <si>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</si>
  <si>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</si>
  <si>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</si>
  <si>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</si>
  <si>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</si>
  <si>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</si>
  <si>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</si>
  <si>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</si>
  <si>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</si>
  <si>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</si>
  <si>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</si>
  <si>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</si>
  <si>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</si>
  <si>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</si>
  <si>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</si>
  <si>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</si>
  <si>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</si>
  <si>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</si>
  <si>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</si>
  <si>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</si>
  <si>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</si>
  <si>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</si>
  <si>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</si>
  <si>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</si>
  <si>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</si>
  <si>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</si>
  <si>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</si>
  <si>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</si>
  <si>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</si>
  <si>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</si>
  <si>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</si>
  <si>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</si>
  <si>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</si>
  <si>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</si>
  <si>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</si>
  <si>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</si>
  <si>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</si>
  <si>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</si>
  <si>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</si>
  <si>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</si>
  <si>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</si>
  <si>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</si>
  <si>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</si>
  <si>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</si>
  <si>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</si>
  <si>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</si>
  <si>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</si>
  <si>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</si>
  <si>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</si>
  <si>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</si>
  <si>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</si>
  <si>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</si>
  <si>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</si>
  <si>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</si>
  <si>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</si>
  <si>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</si>
  <si>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</si>
  <si>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</si>
  <si>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</si>
  <si>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</si>
  <si>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</si>
  <si>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</si>
  <si>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</si>
  <si>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</si>
  <si>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</si>
  <si>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</si>
  <si>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</si>
  <si>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</si>
  <si>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</si>
  <si>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</si>
  <si>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</si>
  <si>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</si>
  <si>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</si>
  <si>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</si>
  <si>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</si>
  <si>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</si>
  <si>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</si>
  <si>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</si>
  <si>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</si>
  <si>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</si>
  <si>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</si>
  <si>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</si>
  <si>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</si>
  <si>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</si>
  <si>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</si>
  <si>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</si>
  <si>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</si>
  <si>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</si>
  <si>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</si>
  <si>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</si>
  <si>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</si>
  <si>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</si>
  <si>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</si>
  <si>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</si>
  <si>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</si>
  <si>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</si>
  <si>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</si>
  <si>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</si>
  <si>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</si>
  <si>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</si>
  <si>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</si>
  <si>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</si>
  <si>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</si>
  <si>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</si>
  <si>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</si>
  <si>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</si>
  <si>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</si>
  <si>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</si>
  <si>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</si>
  <si>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</si>
  <si>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</si>
  <si>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</si>
  <si>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</si>
  <si>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</si>
  <si>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</si>
  <si>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</si>
  <si>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</si>
  <si>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</si>
  <si>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</si>
  <si>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</si>
  <si>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</si>
  <si>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</si>
  <si>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</si>
  <si>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</si>
  <si>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</si>
  <si>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</si>
  <si>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</si>
  <si>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</si>
  <si>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</si>
  <si>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</si>
  <si>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</si>
  <si>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</si>
  <si>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</si>
  <si>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</si>
  <si>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</si>
  <si>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</si>
  <si>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</si>
  <si>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</si>
  <si>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</si>
  <si>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</si>
  <si>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</si>
  <si>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</si>
  <si>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</si>
  <si>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</si>
  <si>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</si>
  <si>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</si>
  <si>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</si>
  <si>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</si>
  <si>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</si>
  <si>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</si>
  <si>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</si>
  <si>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</si>
  <si>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</si>
  <si>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</si>
  <si>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</si>
  <si>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</si>
  <si>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</si>
  <si>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</si>
  <si>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</si>
  <si>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</si>
  <si>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</si>
  <si>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</si>
  <si>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</si>
  <si>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</si>
  <si>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</si>
  <si>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</si>
  <si>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</si>
  <si>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</si>
  <si>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</si>
  <si>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</si>
  <si>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</si>
  <si>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</si>
  <si>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</si>
  <si>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</si>
  <si>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</si>
  <si>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</si>
  <si>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</si>
  <si>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</si>
  <si>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</si>
  <si>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</si>
  <si>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</si>
  <si>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</si>
  <si>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</si>
  <si>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</si>
  <si>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</si>
  <si>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</si>
  <si>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</si>
  <si>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</si>
  <si>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</si>
  <si>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</si>
  <si>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</si>
  <si>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</si>
  <si>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</si>
  <si>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</si>
  <si>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</si>
  <si>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</si>
  <si>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</si>
  <si>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</si>
  <si>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</si>
  <si>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</si>
  <si>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</si>
  <si>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</si>
  <si>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</si>
  <si>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</si>
  <si>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</si>
  <si>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</si>
  <si>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</si>
  <si>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</si>
  <si>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</si>
  <si>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</si>
  <si>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</si>
  <si>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</si>
  <si>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</si>
  <si>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</si>
  <si>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</si>
  <si>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</si>
  <si>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</si>
  <si>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</si>
  <si>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</si>
  <si>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</si>
  <si>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</si>
  <si>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</si>
  <si>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</si>
  <si>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</si>
  <si>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</si>
  <si>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</si>
  <si>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</si>
  <si>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</si>
  <si>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</si>
  <si>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</si>
  <si>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</si>
  <si>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</si>
  <si>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</si>
  <si>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</si>
  <si>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</si>
  <si>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</si>
  <si>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</si>
  <si>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</si>
  <si>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</si>
  <si>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</si>
  <si>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</si>
  <si>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</si>
  <si>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</si>
  <si>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</si>
  <si>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</si>
  <si>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</si>
  <si>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</si>
  <si>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</si>
  <si>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</si>
  <si>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</si>
  <si>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</si>
  <si>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</si>
  <si>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</si>
  <si>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</si>
  <si>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</si>
  <si>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</si>
  <si>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</si>
  <si>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</si>
  <si>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</si>
  <si>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</si>
  <si>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</si>
  <si>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</si>
  <si>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</si>
  <si>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</si>
  <si>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</si>
  <si>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</si>
  <si>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</si>
  <si>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</si>
  <si>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</si>
  <si>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</si>
  <si>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</si>
  <si>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</si>
  <si>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</si>
  <si>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</si>
  <si>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</si>
  <si>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</si>
  <si>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</si>
  <si>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</si>
  <si>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</si>
  <si>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</si>
  <si>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</si>
  <si>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</si>
  <si>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</si>
  <si>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</si>
  <si>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</si>
  <si>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</si>
  <si>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</si>
  <si>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</si>
  <si>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</si>
  <si>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</si>
  <si>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</si>
  <si>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</si>
  <si>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</si>
  <si>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</si>
  <si>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</si>
  <si>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</si>
  <si>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</si>
  <si>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</si>
  <si>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</si>
  <si>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</si>
  <si>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</si>
  <si>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</si>
  <si>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</si>
  <si>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</si>
  <si>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</si>
  <si>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</si>
  <si>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</si>
  <si>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</si>
  <si>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</si>
  <si>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</si>
  <si>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</si>
  <si>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</si>
  <si>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</si>
  <si>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</si>
  <si>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</si>
  <si>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</si>
  <si>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</si>
  <si>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</si>
  <si>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</si>
  <si>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</si>
  <si>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</si>
  <si>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</si>
  <si>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</si>
  <si>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</si>
  <si>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</si>
  <si>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</si>
  <si>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</si>
  <si>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</si>
  <si>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</si>
  <si>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</si>
  <si>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</si>
  <si>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</si>
  <si>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</si>
  <si>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</si>
  <si>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</si>
  <si>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</si>
  <si>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</si>
  <si>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</si>
  <si>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</si>
  <si>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</si>
  <si>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</si>
  <si>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</si>
  <si>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</si>
  <si>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</si>
  <si>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</si>
  <si>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</si>
  <si>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</si>
  <si>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</si>
  <si>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</si>
  <si>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</si>
  <si>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</si>
  <si>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</si>
  <si>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</si>
  <si>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</si>
  <si>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</si>
  <si>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</si>
  <si>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</si>
  <si>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</si>
  <si>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</si>
  <si>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</si>
  <si>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</si>
  <si>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</si>
  <si>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</si>
  <si>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</si>
  <si>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</si>
  <si>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</si>
  <si>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</si>
  <si>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</si>
  <si>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</si>
  <si>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</si>
  <si>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</si>
  <si>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</si>
  <si>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</si>
  <si>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</si>
  <si>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</si>
  <si>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</si>
  <si>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</si>
  <si>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</si>
  <si>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</si>
  <si>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</si>
  <si>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</si>
  <si>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</si>
  <si>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</si>
  <si>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</si>
  <si>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</si>
  <si>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</si>
  <si>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</si>
  <si>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</si>
  <si>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</si>
  <si>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</si>
  <si>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</si>
  <si>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</si>
  <si>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</si>
  <si>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</si>
  <si>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</si>
  <si>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</si>
  <si>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</si>
  <si>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</si>
  <si>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</si>
  <si>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</si>
  <si>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</si>
  <si>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</si>
  <si>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</si>
  <si>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</si>
  <si>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</si>
  <si>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</si>
  <si>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</si>
  <si>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</si>
  <si>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</si>
  <si>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</si>
  <si>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</si>
  <si>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</si>
  <si>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</si>
  <si>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</si>
  <si>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</si>
  <si>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</si>
  <si>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</si>
  <si>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</si>
  <si>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</si>
  <si>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</si>
  <si>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</si>
  <si>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</si>
  <si>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</si>
  <si>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</si>
  <si>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</si>
  <si>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</si>
  <si>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</si>
  <si>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</si>
  <si>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</si>
  <si>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</si>
  <si>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</si>
  <si>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</si>
  <si>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</si>
  <si>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</si>
  <si>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</si>
  <si>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</si>
  <si>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</si>
  <si>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</si>
  <si>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</si>
  <si>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</si>
  <si>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</si>
  <si>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</si>
  <si>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</si>
  <si>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</si>
  <si>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</si>
  <si>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</si>
  <si>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</si>
  <si>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</si>
  <si>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</si>
  <si>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</si>
  <si>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</si>
  <si>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</si>
  <si>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</si>
  <si>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Agradecemos su participación en esta encuesta, si tuviera alguna sugerencia para mejorar el servicio, por favor escríbalo en el siguiente espacio.</t>
  </si>
  <si>
    <t>No aplica</t>
  </si>
  <si>
    <t>JCheroPa@agricolachira.com.pe</t>
  </si>
  <si>
    <t>Pedro Alejandro Trigoso Feijoo</t>
  </si>
  <si>
    <t>La contabilidad es muy importante, pero debe alinearse a las necesidades del mercado.  Sus procesos no pueden limitar ventas o solicitudes legalmente validas y sustentadas de nuestros clientes.</t>
  </si>
  <si>
    <t>JArevaloga@agricolachira.com.pe</t>
  </si>
  <si>
    <t>capacitacion continua temas guias de remision remitente</t>
  </si>
  <si>
    <t>Jene Fransheska Gómez Aparicio</t>
  </si>
  <si>
    <t>Son los mejores, eficientes y rápidos, gran reconocimiento para Miroslava y Karol!!!!</t>
  </si>
  <si>
    <t>WCarrascoA@agricolachira.com.pe</t>
  </si>
  <si>
    <t>Karol Ruth Zavaleta Mar</t>
  </si>
  <si>
    <t>JIngaF@agricolachira.com.pe</t>
  </si>
  <si>
    <t xml:space="preserve">Muchas gracias a la rápida atención de Karol, lo máximo.
Un excelente equipo.¡¡¡¡¡ </t>
  </si>
  <si>
    <t>Raul Javier Torres Silva</t>
  </si>
  <si>
    <t>CSosaL@agricolachira.com.pe</t>
  </si>
  <si>
    <t>JHidalgoS@agricolachira.com.pe</t>
  </si>
  <si>
    <t>Excelente trabajo, a seguir así constante, muy buen servicio.</t>
  </si>
  <si>
    <t>Buen equipo de trabajo!</t>
  </si>
  <si>
    <t>JLaraMa@agricolachira.com.pe</t>
  </si>
  <si>
    <t xml:space="preserve">Reforzar lineamientos de Ebiz con proveedores. </t>
  </si>
  <si>
    <t>ALachiraP@agricolachira.com.pe</t>
  </si>
  <si>
    <t>-</t>
  </si>
  <si>
    <t>Jose Alexander Jimenez Caceres</t>
  </si>
  <si>
    <t>BGonzalesM@agricolachira.com.pe</t>
  </si>
  <si>
    <t>Héctor Daniel Borja Torres</t>
  </si>
  <si>
    <t>muy buena coordinación</t>
  </si>
  <si>
    <t>Lenin Vasquez Pinday</t>
  </si>
  <si>
    <t>OMontenegroC@agricolachira.com.pe</t>
  </si>
  <si>
    <t>EAmesM@agricolachira.com.pe</t>
  </si>
  <si>
    <t>Buen equipo de trabajo.</t>
  </si>
  <si>
    <t>Deberían prescindir de Ebiz Latin</t>
  </si>
  <si>
    <t>Mayor capacitacion de las responsabilidades del area de contabilidad en la empresa</t>
  </si>
  <si>
    <t>AVasquezM@agricolachira.com.pe</t>
  </si>
  <si>
    <t>VICTOR EXCELENTE SERVICIO 10 DE 10</t>
  </si>
  <si>
    <t>MDiazTa@agricolachira.com.pe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</si>
  <si>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</si>
  <si>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</si>
  <si>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</si>
  <si>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</si>
  <si>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</si>
  <si>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</si>
  <si>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</si>
  <si>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</si>
  <si>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90 personas (96.77%)</t>
  </si>
  <si>
    <t>No completaron 3 personas (3.23%)</t>
  </si>
  <si>
    <t>Manual</t>
  </si>
  <si>
    <t>Columna1</t>
  </si>
  <si>
    <t>Etiquetas de fila</t>
  </si>
  <si>
    <t>Total general</t>
  </si>
  <si>
    <t>(Varios elementos)</t>
  </si>
  <si>
    <t>Cuenta de Nro</t>
  </si>
  <si>
    <t>Promedio de 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</si>
</sst>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9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9" borderId="63" xfId="0" applyFill="1" applyBorder="1"/>
    <xf numFmtId="0" fontId="0" fillId="9" borderId="44" xfId="0" applyFill="1" applyBorder="1"/>
    <xf numFmtId="0" fontId="0" fillId="8" borderId="64" xfId="0" applyFill="1" applyBorder="1"/>
    <xf numFmtId="0" fontId="0" fillId="9" borderId="64" xfId="0" applyFill="1" applyBorder="1"/>
    <xf numFmtId="0" fontId="0" fillId="9" borderId="41" xfId="0" applyFill="1" applyBorder="1"/>
    <xf numFmtId="0" fontId="0" fillId="8" borderId="65" xfId="0" applyFill="1" applyBorder="1"/>
    <xf numFmtId="0" fontId="0" fillId="9" borderId="65" xfId="0" applyFill="1" applyBorder="1"/>
    <xf numFmtId="0" fontId="0" fillId="9" borderId="42" xfId="0" applyFill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4" xfId="0" applyBorder="1"/>
    <xf numFmtId="165" fontId="0" fillId="0" borderId="0" xfId="0" applyNumberFormat="1"/>
    <xf numFmtId="0" fontId="3" fillId="9" borderId="63" xfId="2" applyFill="1" applyBorder="1"/>
    <xf numFmtId="0" fontId="0" fillId="0" borderId="0" xfId="0" pivotButton="1"/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DataResumen!$A$16:$A$20</c:f>
              <c:strCache>
                <c:ptCount val="5"/>
                <c:pt idx="0">
                  <c:v>Entregas a rendir y reembolsos</c:v>
                </c:pt>
                <c:pt idx="1">
                  <c:v>Contabilidad Tributaria</c:v>
                </c:pt>
                <c:pt idx="2">
                  <c:v>Contabilidad Financiera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DataResumen!$B$16:$B$20</c:f>
              <c:numCache>
                <c:formatCode>General</c:formatCode>
                <c:ptCount val="5"/>
                <c:pt idx="0">
                  <c:v>4.508</c:v>
                </c:pt>
                <c:pt idx="1">
                  <c:v>4.4690000000000003</c:v>
                </c:pt>
                <c:pt idx="2">
                  <c:v>4.3819999999999997</c:v>
                </c:pt>
                <c:pt idx="3" formatCode="0.000">
                  <c:v>4.29</c:v>
                </c:pt>
                <c:pt idx="4">
                  <c:v>4.2859999999999996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F-440B-ADF3-497CF7849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823008"/>
        <c:axId val="117831168"/>
      </c:barChart>
      <c:catAx>
        <c:axId val="11782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831168"/>
        <c:crosses val="autoZero"/>
        <c:auto val="1"/>
        <c:lblAlgn val="ctr"/>
        <c:lblOffset val="100"/>
        <c:noMultiLvlLbl val="0"/>
      </c:catAx>
      <c:valAx>
        <c:axId val="117831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7823008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Administración y Finanzas</c:v>
                </c:pt>
                <c:pt idx="2">
                  <c:v>Operaciones</c:v>
                </c:pt>
                <c:pt idx="3">
                  <c:v>Agrícola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4.6109999999999998</c:v>
                </c:pt>
                <c:pt idx="1">
                  <c:v>4.4160000000000004</c:v>
                </c:pt>
                <c:pt idx="2">
                  <c:v>4.3609999999999998</c:v>
                </c:pt>
                <c:pt idx="3">
                  <c:v>4.266</c:v>
                </c:pt>
                <c:pt idx="4">
                  <c:v>4.0869999999999997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75-462B-8301-1255EA342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954176"/>
        <c:axId val="227957056"/>
      </c:barChart>
      <c:catAx>
        <c:axId val="22795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7957056"/>
        <c:crosses val="autoZero"/>
        <c:auto val="1"/>
        <c:lblAlgn val="ctr"/>
        <c:lblOffset val="100"/>
        <c:noMultiLvlLbl val="0"/>
      </c:catAx>
      <c:valAx>
        <c:axId val="227957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27954176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HistoricoAreas!$B$4:$F$4</c:f>
              <c:numCache>
                <c:formatCode>_-* #,##0.000_-;\-* #,##0.000_-;_-* "-"??_-;_-@_-</c:formatCode>
                <c:ptCount val="5"/>
                <c:pt idx="0">
                  <c:v>4.04</c:v>
                </c:pt>
                <c:pt idx="1">
                  <c:v>4.0279999999999996</c:v>
                </c:pt>
                <c:pt idx="2">
                  <c:v>4.1596872565260501</c:v>
                </c:pt>
                <c:pt idx="3">
                  <c:v>4.1929999999999996</c:v>
                </c:pt>
                <c:pt idx="4" formatCode="General">
                  <c:v>4.3869999999999996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2-4930-9EB0-5682AA60A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672064"/>
        <c:axId val="337673504"/>
      </c:barChart>
      <c:catAx>
        <c:axId val="33767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7673504"/>
        <c:crosses val="autoZero"/>
        <c:auto val="1"/>
        <c:lblAlgn val="ctr"/>
        <c:lblOffset val="100"/>
        <c:noMultiLvlLbl val="0"/>
      </c:catAx>
      <c:valAx>
        <c:axId val="337673504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337672064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93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7.7684278688922234E-2"/>
                  <c:y val="-1.3606530563267593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399C-4C32-85A7-F04D973FE263}"/>
                </c:ext>
              </c:extLst>
            </c:dLbl>
            <c:dLbl>
              <c:idx val="1"/>
              <c:layout>
                <c:manualLayout>
                  <c:x val="7.5005510458269753E-2"/>
                  <c:y val="-2.2677550938779267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99C-4C32-85A7-F04D973FE26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90 personas (96.77%)</c:v>
                </c:pt>
                <c:pt idx="1">
                  <c:v>No completaron 3 personas (3.23%)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90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9C-4C32-85A7-F04D973FE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7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Tributaria</c:v>
                </c:pt>
                <c:pt idx="2">
                  <c:v>Contabilidad Financiera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DataResumen!$B$37:$B$41</c:f>
              <c:numCache>
                <c:formatCode>_-* #,##0.000_-;\-* #,##0.000_-;_-* "-"??_-;_-@_-</c:formatCode>
                <c:ptCount val="5"/>
                <c:pt idx="1">
                  <c:v>4.2320945945945949</c:v>
                </c:pt>
                <c:pt idx="2">
                  <c:v>4.0340909090909092</c:v>
                </c:pt>
                <c:pt idx="3">
                  <c:v>3.8463438735177862</c:v>
                </c:pt>
                <c:pt idx="4">
                  <c:v>3.9649122807017543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6-49EA-AE1A-B7C6BC5D7EF4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Tributaria</c:v>
                </c:pt>
                <c:pt idx="2">
                  <c:v>Contabilidad Financiera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DataResumen!$C$37:$C$41</c:f>
              <c:numCache>
                <c:formatCode>0.000</c:formatCode>
                <c:ptCount val="5"/>
                <c:pt idx="0">
                  <c:v>4.1764705882352944</c:v>
                </c:pt>
                <c:pt idx="1">
                  <c:v>4.3283208020050132</c:v>
                </c:pt>
                <c:pt idx="2">
                  <c:v>4.1862170087976542</c:v>
                </c:pt>
                <c:pt idx="3">
                  <c:v>4.0620192307692307</c:v>
                </c:pt>
                <c:pt idx="4">
                  <c:v>4.0443037974683538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6-49EA-AE1A-B7C6BC5D7EF4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Tributaria</c:v>
                </c:pt>
                <c:pt idx="2">
                  <c:v>Contabilidad Financiera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DataResumen!$D$37:$D$41</c:f>
              <c:numCache>
                <c:formatCode>0.000</c:formatCode>
                <c:ptCount val="5"/>
                <c:pt idx="0" formatCode="General">
                  <c:v>4.2169999999999996</c:v>
                </c:pt>
                <c:pt idx="1">
                  <c:v>4.32</c:v>
                </c:pt>
                <c:pt idx="2" formatCode="General">
                  <c:v>4.2370000000000001</c:v>
                </c:pt>
                <c:pt idx="3" formatCode="General">
                  <c:v>4.0940000000000003</c:v>
                </c:pt>
                <c:pt idx="4" formatCode="General">
                  <c:v>4.0949999999999998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06-49EA-AE1A-B7C6BC5D7EF4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Entregas a rendir y reembolsos</c:v>
                </c:pt>
                <c:pt idx="1">
                  <c:v>Contabilidad Tributaria</c:v>
                </c:pt>
                <c:pt idx="2">
                  <c:v>Contabilidad Financiera</c:v>
                </c:pt>
                <c:pt idx="3">
                  <c:v>Contabilidad de Activos (Alta/Baja y control de Activos Fijos)</c:v>
                </c:pt>
                <c:pt idx="4">
                  <c:v>Capacitación y orientación en temas contables </c:v>
                </c:pt>
              </c:strCache>
            </c:strRef>
          </c:cat>
          <c:val>
            <c:numRef>
              <c:f>DataResumen!$E$37:$E$41</c:f>
              <c:numCache>
                <c:formatCode>General</c:formatCode>
                <c:ptCount val="5"/>
                <c:pt idx="0">
                  <c:v>4.508</c:v>
                </c:pt>
                <c:pt idx="1">
                  <c:v>4.4690000000000003</c:v>
                </c:pt>
                <c:pt idx="2">
                  <c:v>4.3819999999999997</c:v>
                </c:pt>
                <c:pt idx="3" formatCode="0.000">
                  <c:v>4.29</c:v>
                </c:pt>
                <c:pt idx="4">
                  <c:v>4.2859999999999996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06-49EA-AE1A-B7C6BC5D7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7"/>
        <c:overlap val="-47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Contabilidad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Graficos!$E$70:$H$70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5295333683392005E-2"/>
                  <c:y val="9.53525721240133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66-4891-9BB8-52708F60648A}"/>
                </c:ext>
              </c:extLst>
            </c:dLbl>
            <c:dLbl>
              <c:idx val="1"/>
              <c:layout>
                <c:manualLayout>
                  <c:x val="-5.8060100367561582E-2"/>
                  <c:y val="8.62713747788691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66-4891-9BB8-52708F60648A}"/>
                </c:ext>
              </c:extLst>
            </c:dLbl>
            <c:dLbl>
              <c:idx val="2"/>
              <c:layout>
                <c:manualLayout>
                  <c:x val="-4.7001033630883184E-2"/>
                  <c:y val="9.53525721240133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66-4891-9BB8-52708F60648A}"/>
                </c:ext>
              </c:extLst>
            </c:dLbl>
            <c:dLbl>
              <c:idx val="3"/>
              <c:layout>
                <c:manualLayout>
                  <c:x val="-4.4236266946713787E-2"/>
                  <c:y val="9.08119734514413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66-4891-9BB8-52708F6064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Graficos!$E$70:$H$70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Graficos!$E$71:$H$71</c:f>
              <c:numCache>
                <c:formatCode>_-* #,##0.000_-;\-* #,##0.000_-;_-* "-"??_-;_-@_-</c:formatCode>
                <c:ptCount val="4"/>
                <c:pt idx="0">
                  <c:v>4.04</c:v>
                </c:pt>
                <c:pt idx="1">
                  <c:v>4.0279999999999996</c:v>
                </c:pt>
                <c:pt idx="2">
                  <c:v>4.1596872565260501</c:v>
                </c:pt>
                <c:pt idx="3">
                  <c:v>4.2899999999999991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66-4891-9BB8-52708F606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[EncuestaContabilidad.xlsm]DataResumen!PivotTablaAutoevaluacion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PE"/>
              <a:t>Autoevaluación</a:t>
            </a:r>
            <a:r>
              <a:rPr lang="es-PE" baseline="0"/>
              <a:t> por servicios (5 usuarios)</a:t>
            </a:r>
            <a:endParaRPr lang="es-PE"/>
          </a:p>
        </c:rich>
      </c:tx>
      <c:overlay val="0"/>
    </c:title>
    <c:autoTitleDeleted val="0"/>
    <c:pivotFmts>
      <c:pivotFmt>
        <c:idx val="0"/>
        <c:spPr>
          <a:solidFill>
            <a:srgbClr val="0B84A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DataResumen!$L$37:$L$42</c:f>
              <c:strCache>
                <c:ptCount val="5"/>
                <c:pt idx="0">
                  <c:v>Capacitación y orientación en temas contables </c:v>
                </c:pt>
                <c:pt idx="1">
                  <c:v>Contabilidad de Activos (Alta/Baja y control de Activos Fijos)</c:v>
                </c:pt>
                <c:pt idx="2">
                  <c:v>Contabilidad Financiera</c:v>
                </c:pt>
                <c:pt idx="3">
                  <c:v>Contabilidad Tributaria</c:v>
                </c:pt>
                <c:pt idx="4">
                  <c:v>Entregas a rendir y reembolsos</c:v>
                </c:pt>
              </c:strCache>
            </c:strRef>
          </c:cat>
          <c:val>
            <c:numRef>
              <c:f>DataResumen!$M$37:$M$42</c:f>
              <c:numCache>
                <c:formatCode>0.000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D-4A8B-8196-8491D01C9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5885743"/>
        <c:axId val="1625890063"/>
      </c:barChart>
      <c:catAx>
        <c:axId val="16258857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5890063"/>
        <c:crosses val="autoZero"/>
        <c:auto val="1"/>
        <c:lblAlgn val="ctr"/>
        <c:lblOffset val="100"/>
        <c:noMultiLvlLbl val="0"/>
      </c:catAx>
      <c:valAx>
        <c:axId val="1625890063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crossAx val="1625885743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9</xdr:row>
          <xdr:rowOff>83820</xdr:rowOff>
        </xdr:from>
        <xdr:to>
          <xdr:col>17</xdr:col>
          <xdr:colOff>327660</xdr:colOff>
          <xdr:row>12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15</xdr:col>
      <xdr:colOff>398722</xdr:colOff>
      <xdr:row>8</xdr:row>
      <xdr:rowOff>53648</xdr:rowOff>
    </xdr:from>
    <xdr:to>
      <xdr:col>20</xdr:col>
      <xdr:colOff>381000</xdr:colOff>
      <xdr:row>10</xdr:row>
      <xdr:rowOff>177209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B42DEAB-C202-EE2D-C1D8-3ADEFC4758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66123"/>
        <a:stretch/>
      </xdr:blipFill>
      <xdr:spPr>
        <a:xfrm>
          <a:off x="8337699" y="1595369"/>
          <a:ext cx="2560673" cy="4957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63797</xdr:colOff>
      <xdr:row>8</xdr:row>
      <xdr:rowOff>57044</xdr:rowOff>
    </xdr:from>
    <xdr:to>
      <xdr:col>26</xdr:col>
      <xdr:colOff>443024</xdr:colOff>
      <xdr:row>11</xdr:row>
      <xdr:rowOff>44303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B3BF44A-8A58-9A09-C3FB-900626D47F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4888" b="32247"/>
        <a:stretch/>
      </xdr:blipFill>
      <xdr:spPr>
        <a:xfrm>
          <a:off x="11130518" y="1598765"/>
          <a:ext cx="2904459" cy="545468"/>
        </a:xfrm>
        <a:prstGeom prst="rect">
          <a:avLst/>
        </a:prstGeom>
      </xdr:spPr>
    </xdr:pic>
    <xdr:clientData/>
  </xdr:twoCellAnchor>
  <xdr:twoCellAnchor editAs="oneCell">
    <xdr:from>
      <xdr:col>8</xdr:col>
      <xdr:colOff>101011</xdr:colOff>
      <xdr:row>8</xdr:row>
      <xdr:rowOff>126729</xdr:rowOff>
    </xdr:from>
    <xdr:to>
      <xdr:col>14</xdr:col>
      <xdr:colOff>381001</xdr:colOff>
      <xdr:row>11</xdr:row>
      <xdr:rowOff>123608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7352AC75-13E0-338F-D181-4CA7897ABA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9170"/>
        <a:stretch/>
      </xdr:blipFill>
      <xdr:spPr>
        <a:xfrm>
          <a:off x="4664151" y="1668450"/>
          <a:ext cx="3150780" cy="555088"/>
        </a:xfrm>
        <a:prstGeom prst="rect">
          <a:avLst/>
        </a:prstGeom>
      </xdr:spPr>
    </xdr:pic>
    <xdr:clientData/>
  </xdr:twoCellAnchor>
  <xdr:twoCellAnchor editAs="oneCell">
    <xdr:from>
      <xdr:col>33</xdr:col>
      <xdr:colOff>186072</xdr:colOff>
      <xdr:row>7</xdr:row>
      <xdr:rowOff>43649</xdr:rowOff>
    </xdr:from>
    <xdr:to>
      <xdr:col>39</xdr:col>
      <xdr:colOff>26582</xdr:colOff>
      <xdr:row>10</xdr:row>
      <xdr:rowOff>97465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0F6E276-BF34-3D06-6861-F2FC77917F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47387"/>
        <a:stretch/>
      </xdr:blipFill>
      <xdr:spPr>
        <a:xfrm>
          <a:off x="17171584" y="1399300"/>
          <a:ext cx="2587254" cy="612025"/>
        </a:xfrm>
        <a:prstGeom prst="rect">
          <a:avLst/>
        </a:prstGeom>
      </xdr:spPr>
    </xdr:pic>
    <xdr:clientData/>
  </xdr:twoCellAnchor>
  <xdr:twoCellAnchor editAs="oneCell">
    <xdr:from>
      <xdr:col>26</xdr:col>
      <xdr:colOff>487326</xdr:colOff>
      <xdr:row>7</xdr:row>
      <xdr:rowOff>63856</xdr:rowOff>
    </xdr:from>
    <xdr:to>
      <xdr:col>32</xdr:col>
      <xdr:colOff>212651</xdr:colOff>
      <xdr:row>10</xdr:row>
      <xdr:rowOff>112626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D858FD1-A339-434A-2749-6A5AEDD8C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51009"/>
        <a:stretch/>
      </xdr:blipFill>
      <xdr:spPr>
        <a:xfrm>
          <a:off x="14079279" y="1419507"/>
          <a:ext cx="2755605" cy="6069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9</xdr:col>
      <xdr:colOff>212652</xdr:colOff>
      <xdr:row>0</xdr:row>
      <xdr:rowOff>132906</xdr:rowOff>
    </xdr:from>
    <xdr:to>
      <xdr:col>14</xdr:col>
      <xdr:colOff>562249</xdr:colOff>
      <xdr:row>3</xdr:row>
      <xdr:rowOff>28428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D62CF74-BF43-8B54-13D6-C78F23F2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21350" y="132906"/>
          <a:ext cx="2874829" cy="498034"/>
        </a:xfrm>
        <a:prstGeom prst="rect">
          <a:avLst/>
        </a:prstGeom>
      </xdr:spPr>
    </xdr:pic>
    <xdr:clientData/>
  </xdr:twoCellAnchor>
  <xdr:twoCellAnchor editAs="oneCell">
    <xdr:from>
      <xdr:col>16</xdr:col>
      <xdr:colOff>88605</xdr:colOff>
      <xdr:row>0</xdr:row>
      <xdr:rowOff>88605</xdr:rowOff>
    </xdr:from>
    <xdr:to>
      <xdr:col>20</xdr:col>
      <xdr:colOff>389860</xdr:colOff>
      <xdr:row>3</xdr:row>
      <xdr:rowOff>67722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17EF775-9CF4-6D59-593B-7B14D036B2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48265"/>
        <a:stretch/>
      </xdr:blipFill>
      <xdr:spPr>
        <a:xfrm>
          <a:off x="8638954" y="88605"/>
          <a:ext cx="2374604" cy="581629"/>
        </a:xfrm>
        <a:prstGeom prst="rect">
          <a:avLst/>
        </a:prstGeom>
      </xdr:spPr>
    </xdr:pic>
    <xdr:clientData/>
  </xdr:twoCellAnchor>
  <xdr:twoCellAnchor editAs="oneCell">
    <xdr:from>
      <xdr:col>21</xdr:col>
      <xdr:colOff>141768</xdr:colOff>
      <xdr:row>0</xdr:row>
      <xdr:rowOff>50755</xdr:rowOff>
    </xdr:from>
    <xdr:to>
      <xdr:col>27</xdr:col>
      <xdr:colOff>53163</xdr:colOff>
      <xdr:row>4</xdr:row>
      <xdr:rowOff>35962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5BCC84F-9C2D-DC17-DCD5-3ECF3E60F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270512" y="50755"/>
          <a:ext cx="2941674" cy="773788"/>
        </a:xfrm>
        <a:prstGeom prst="rect">
          <a:avLst/>
        </a:prstGeom>
      </xdr:spPr>
    </xdr:pic>
    <xdr:clientData/>
  </xdr:twoCellAnchor>
  <xdr:twoCellAnchor editAs="oneCell">
    <xdr:from>
      <xdr:col>33</xdr:col>
      <xdr:colOff>265814</xdr:colOff>
      <xdr:row>0</xdr:row>
      <xdr:rowOff>0</xdr:rowOff>
    </xdr:from>
    <xdr:to>
      <xdr:col>38</xdr:col>
      <xdr:colOff>177209</xdr:colOff>
      <xdr:row>4</xdr:row>
      <xdr:rowOff>101009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1F41F69D-90C9-06F2-76BF-8B83C94518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50784"/>
        <a:stretch/>
      </xdr:blipFill>
      <xdr:spPr>
        <a:xfrm>
          <a:off x="17313349" y="0"/>
          <a:ext cx="2294860" cy="889590"/>
        </a:xfrm>
        <a:prstGeom prst="rect">
          <a:avLst/>
        </a:prstGeom>
      </xdr:spPr>
    </xdr:pic>
    <xdr:clientData/>
  </xdr:twoCellAnchor>
  <xdr:twoCellAnchor editAs="oneCell">
    <xdr:from>
      <xdr:col>28</xdr:col>
      <xdr:colOff>37214</xdr:colOff>
      <xdr:row>0</xdr:row>
      <xdr:rowOff>0</xdr:rowOff>
    </xdr:from>
    <xdr:to>
      <xdr:col>32</xdr:col>
      <xdr:colOff>168349</xdr:colOff>
      <xdr:row>4</xdr:row>
      <xdr:rowOff>89141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BF2006A6-E566-6450-18DA-CC5700730F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48200"/>
        <a:stretch/>
      </xdr:blipFill>
      <xdr:spPr>
        <a:xfrm>
          <a:off x="14701284" y="0"/>
          <a:ext cx="2151321" cy="8777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D4AFFA0-31CB-7ED1-F459-DFC05BECD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9C9D70F-A4A9-C4A6-543F-24EF57F35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525780</xdr:colOff>
      <xdr:row>41</xdr:row>
      <xdr:rowOff>22860</xdr:rowOff>
    </xdr:from>
    <xdr:to>
      <xdr:col>9</xdr:col>
      <xdr:colOff>58420</xdr:colOff>
      <xdr:row>61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4EB6FA0-3964-5522-8E06-C24FC4F47D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388620</xdr:colOff>
      <xdr:row>2</xdr:row>
      <xdr:rowOff>91440</xdr:rowOff>
    </xdr:from>
    <xdr:to>
      <xdr:col>8</xdr:col>
      <xdr:colOff>374725</xdr:colOff>
      <xdr:row>17</xdr:row>
      <xdr:rowOff>148366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A016422-2CA0-47C3-9A98-70D0371EE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487680</xdr:colOff>
      <xdr:row>41</xdr:row>
      <xdr:rowOff>91440</xdr:rowOff>
    </xdr:from>
    <xdr:to>
      <xdr:col>15</xdr:col>
      <xdr:colOff>791285</xdr:colOff>
      <xdr:row>61</xdr:row>
      <xdr:rowOff>172122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3E10EFC-B658-4D4B-9D80-D2BE6B325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7172</xdr:colOff>
      <xdr:row>67</xdr:row>
      <xdr:rowOff>147470</xdr:rowOff>
    </xdr:from>
    <xdr:to>
      <xdr:col>14</xdr:col>
      <xdr:colOff>638288</xdr:colOff>
      <xdr:row>83</xdr:row>
      <xdr:rowOff>18378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ABCFE29-5CFB-47C5-8B53-B0AE80BF2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29</xdr:col>
      <xdr:colOff>10160</xdr:colOff>
      <xdr:row>42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444A15C-A638-DDD7-1ACD-A7C17D1A6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3.084523263889" createdVersion="8" refreshedVersion="8" minRefreshableVersion="3" recordCount="450" xr:uid="{D6A66AB1-D6CD-4EE7-84AD-E539BBF4C78B}">
  <cacheSource type="worksheet">
    <worksheetSource name="Resumen2"/>
  </cacheSource>
  <cacheFields count="6">
    <cacheField name="Correo electrónico" numFmtId="0">
      <sharedItems/>
    </cacheField>
    <cacheField name="Servicios" numFmtId="0">
      <sharedItems count="5">
        <s v="Entregas a rendir y reembolsos"/>
        <s v="Contabilidad Financiera"/>
        <s v="Contabilidad Tributaria"/>
        <s v="Contabilidad de Activos (Alta/Baja y control de Activos Fijos)"/>
        <s v="Capacitación y orientación en temas contables "/>
      </sharedItems>
    </cacheField>
    <cacheField name="Nro" numFmtId="0">
      <sharedItems containsMixedTypes="1" containsNumber="1" containsInteger="1" minValue="2" maxValue="5" count="5">
        <n v="4"/>
        <n v="5"/>
        <n v="3"/>
        <s v="X"/>
        <n v="2"/>
      </sharedItems>
    </cacheField>
    <cacheField name="Gerencia" numFmtId="0">
      <sharedItems count="5">
        <s v="Gestión Humana y Sostenibilidad"/>
        <s v="Administración y Finanzas"/>
        <s v="Industrial y de Mantenimiento"/>
        <s v="Operaciones"/>
        <s v="Agrícola"/>
      </sharedItems>
    </cacheField>
    <cacheField name="Area" numFmtId="0">
      <sharedItems count="36">
        <s v="Gestion del Talento"/>
        <s v="Riesgos y Cumplimiento"/>
        <s v="Finanzas y Tesorería"/>
        <s v="Electricidad"/>
        <s v="Legal"/>
        <s v="Cosecha"/>
        <s v="Calidad"/>
        <s v="Almacenes y Distribución PT"/>
        <s v="Comercial No Giro"/>
        <s v="Compras"/>
        <s v="Contabilidad Tributaria"/>
        <s v="Mantenimiento de Riego y Bombas"/>
        <s v="Gerencia de Operaciones"/>
        <s v="Seguridad"/>
        <s v="Producción"/>
        <s v="Transporte"/>
        <s v="Fundo San Vicente"/>
        <s v="Cadenas Productivas"/>
        <s v="Sistemas y TI"/>
        <s v="Comercial"/>
        <s v="Sostenibilidad"/>
        <s v="Compensación y Nóminas"/>
        <s v="Control de Gestión"/>
        <s v="Planta y Srv Industriales"/>
        <s v="Administración"/>
        <s v="Mantenimiento CAT"/>
        <s v="Fundo Lobo"/>
        <s v="Fundo Montelima"/>
        <s v="Planificador Agrícola"/>
        <s v="Mantenimiento Industrial"/>
        <s v="Sistema Integral de Gestión"/>
        <s v="Laboratorio e Investigación Agricola"/>
        <s v="Bienestar - Medico Ocupacional"/>
        <s v="Comunicaciones y Responsabilidad Social"/>
        <s v="Mantenimiento de Transportes"/>
        <s v="Gerencia Administración y Finanzas"/>
      </sharedItems>
    </cacheField>
    <cacheField name="Columna1" numFmtId="0">
      <sharedItems count="5">
        <s v="Gestión Humana y Sostenibilidad"/>
        <s v="Administración y Finanzas"/>
        <s v="Industrial y de Mantenimiento"/>
        <s v="Operaciones"/>
        <s v="Agrícol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6.372387962962" createdVersion="3" refreshedVersion="8" minRefreshableVersion="3" recordCount="450" xr:uid="{C112FCCE-2734-47FA-B67D-D5DA8BDF4726}">
  <cacheSource type="worksheet">
    <worksheetSource ref="A1:E451" sheet="Paso3_Tabuleado"/>
  </cacheSource>
  <cacheFields count="5">
    <cacheField name="Correo electrónico" numFmtId="0">
      <sharedItems/>
    </cacheField>
    <cacheField name="Servicios" numFmtId="0">
      <sharedItems count="5">
        <s v="Entregas a rendir y reembolsos"/>
        <s v="Contabilidad Financiera"/>
        <s v="Contabilidad Tributaria"/>
        <s v="Contabilidad de Activos (Alta/Baja y control de Activos Fijos)"/>
        <s v="Capacitación y orientación en temas contables "/>
      </sharedItems>
    </cacheField>
    <cacheField name="Nro" numFmtId="0">
      <sharedItems containsMixedTypes="1" containsNumber="1" containsInteger="1" minValue="2" maxValue="5"/>
    </cacheField>
    <cacheField name="Gerencia" numFmtId="0">
      <sharedItems/>
    </cacheField>
    <cacheField name="Area" numFmtId="0">
      <sharedItems count="36">
        <s v="Gestion del Talento"/>
        <s v="Riesgos y Cumplimiento"/>
        <s v="Finanzas y Tesorería"/>
        <s v="Electricidad"/>
        <s v="Legal"/>
        <s v="Cosecha"/>
        <s v="Calidad"/>
        <s v="Almacenes y Distribución PT"/>
        <s v="Comercial No Giro"/>
        <s v="Compras"/>
        <s v="Contabilidad Tributaria"/>
        <s v="Mantenimiento de Riego y Bombas"/>
        <s v="Gerencia de Operaciones"/>
        <s v="Seguridad"/>
        <s v="Producción"/>
        <s v="Transporte"/>
        <s v="Fundo San Vicente"/>
        <s v="Cadenas Productivas"/>
        <s v="Sistemas y TI"/>
        <s v="Comercial"/>
        <s v="Sostenibilidad"/>
        <s v="Compensación y Nóminas"/>
        <s v="Control de Gestión"/>
        <s v="Planta y Srv Industriales"/>
        <s v="Administración"/>
        <s v="Mantenimiento CAT"/>
        <s v="Fundo Lobo"/>
        <s v="Fundo Montelima"/>
        <s v="Planificador Agrícola"/>
        <s v="Mantenimiento Industrial"/>
        <s v="Sistema Integral de Gestión"/>
        <s v="Laboratorio e Investigación Agricola"/>
        <s v="Bienestar - Medico Ocupacional"/>
        <s v="Comunicaciones y Responsabilidad Social"/>
        <s v="Mantenimiento de Transportes"/>
        <s v="Gerencia Administración y Finanza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s v="CRamosG@agricolachira.com.pe"/>
    <x v="0"/>
    <x v="0"/>
    <x v="0"/>
    <x v="0"/>
    <x v="0"/>
  </r>
  <r>
    <s v="HMocarroC@agricolachira.com.pe"/>
    <x v="0"/>
    <x v="1"/>
    <x v="1"/>
    <x v="1"/>
    <x v="1"/>
  </r>
  <r>
    <s v="LOlayaLe@agricolachira.com.pe"/>
    <x v="0"/>
    <x v="2"/>
    <x v="1"/>
    <x v="2"/>
    <x v="1"/>
  </r>
  <r>
    <s v="CCarrilloR@agricolachira.com.pe"/>
    <x v="0"/>
    <x v="3"/>
    <x v="2"/>
    <x v="3"/>
    <x v="2"/>
  </r>
  <r>
    <s v="KOtinianoP@agricolachira.com.pe"/>
    <x v="0"/>
    <x v="2"/>
    <x v="1"/>
    <x v="4"/>
    <x v="1"/>
  </r>
  <r>
    <s v="VLopezS@agricolachira.com.pe"/>
    <x v="0"/>
    <x v="0"/>
    <x v="3"/>
    <x v="5"/>
    <x v="3"/>
  </r>
  <r>
    <s v="JCobenasS@agricolachira.com.pe"/>
    <x v="0"/>
    <x v="0"/>
    <x v="3"/>
    <x v="6"/>
    <x v="3"/>
  </r>
  <r>
    <s v="DCheroN@agricolachira.com.pe"/>
    <x v="0"/>
    <x v="1"/>
    <x v="3"/>
    <x v="7"/>
    <x v="3"/>
  </r>
  <r>
    <s v="ABlancoE@agricolachira.com.pe"/>
    <x v="0"/>
    <x v="1"/>
    <x v="3"/>
    <x v="8"/>
    <x v="3"/>
  </r>
  <r>
    <s v="YGarridoS@agricolachira.com.pe"/>
    <x v="0"/>
    <x v="1"/>
    <x v="3"/>
    <x v="7"/>
    <x v="3"/>
  </r>
  <r>
    <s v="VRequelmeS@agricolachira.com.pe"/>
    <x v="0"/>
    <x v="3"/>
    <x v="1"/>
    <x v="2"/>
    <x v="1"/>
  </r>
  <r>
    <s v="JCheroPa@agricolachira.com.pe"/>
    <x v="0"/>
    <x v="3"/>
    <x v="1"/>
    <x v="9"/>
    <x v="1"/>
  </r>
  <r>
    <s v="MMartinezP@agricolachira.com.pe"/>
    <x v="0"/>
    <x v="1"/>
    <x v="1"/>
    <x v="10"/>
    <x v="1"/>
  </r>
  <r>
    <s v="JMioA@agricolachira.com.pe"/>
    <x v="0"/>
    <x v="0"/>
    <x v="4"/>
    <x v="11"/>
    <x v="4"/>
  </r>
  <r>
    <s v="ptrigoso@agricolachira.com.pe"/>
    <x v="0"/>
    <x v="3"/>
    <x v="3"/>
    <x v="12"/>
    <x v="3"/>
  </r>
  <r>
    <s v="DZuritaF@agricolachira.com.pe"/>
    <x v="0"/>
    <x v="0"/>
    <x v="1"/>
    <x v="4"/>
    <x v="1"/>
  </r>
  <r>
    <s v="JArevaloga@agricolachira.com.pe"/>
    <x v="0"/>
    <x v="1"/>
    <x v="0"/>
    <x v="13"/>
    <x v="0"/>
  </r>
  <r>
    <s v="AFloresD@agricolachira.com.pe"/>
    <x v="0"/>
    <x v="0"/>
    <x v="2"/>
    <x v="14"/>
    <x v="2"/>
  </r>
  <r>
    <s v="MVegaY@agricolachira.com.pe"/>
    <x v="0"/>
    <x v="0"/>
    <x v="3"/>
    <x v="6"/>
    <x v="3"/>
  </r>
  <r>
    <s v="LGarciaC@agricolachira.com.pe"/>
    <x v="0"/>
    <x v="3"/>
    <x v="3"/>
    <x v="5"/>
    <x v="3"/>
  </r>
  <r>
    <s v="SMerinoV@agricolachira.com.pe"/>
    <x v="0"/>
    <x v="1"/>
    <x v="1"/>
    <x v="2"/>
    <x v="1"/>
  </r>
  <r>
    <s v="JMogollonC@agricolachira.com.pe"/>
    <x v="0"/>
    <x v="3"/>
    <x v="3"/>
    <x v="15"/>
    <x v="3"/>
  </r>
  <r>
    <s v="WChavezS@agricolachira.com.pe"/>
    <x v="0"/>
    <x v="3"/>
    <x v="4"/>
    <x v="16"/>
    <x v="4"/>
  </r>
  <r>
    <s v="EArevaloJ@agricolachira.com.pe"/>
    <x v="0"/>
    <x v="1"/>
    <x v="1"/>
    <x v="17"/>
    <x v="1"/>
  </r>
  <r>
    <s v="JGomezAp@agricolachira.com.pe"/>
    <x v="0"/>
    <x v="1"/>
    <x v="1"/>
    <x v="18"/>
    <x v="1"/>
  </r>
  <r>
    <s v="JChaparroB@agricolachira.com.pe"/>
    <x v="0"/>
    <x v="1"/>
    <x v="1"/>
    <x v="9"/>
    <x v="1"/>
  </r>
  <r>
    <s v="WCarrascoA@agricolachira.com.pe"/>
    <x v="0"/>
    <x v="0"/>
    <x v="1"/>
    <x v="18"/>
    <x v="1"/>
  </r>
  <r>
    <s v="KZavaletaM@agricolachira.com.pe"/>
    <x v="0"/>
    <x v="1"/>
    <x v="1"/>
    <x v="10"/>
    <x v="1"/>
  </r>
  <r>
    <s v="YMoscolC@agricolachira.com.pe"/>
    <x v="0"/>
    <x v="1"/>
    <x v="3"/>
    <x v="19"/>
    <x v="3"/>
  </r>
  <r>
    <s v="lsipiona@agricolachira.com.pe"/>
    <x v="0"/>
    <x v="1"/>
    <x v="0"/>
    <x v="20"/>
    <x v="0"/>
  </r>
  <r>
    <s v="AAguilarMo@agricolachira.com.pe"/>
    <x v="0"/>
    <x v="3"/>
    <x v="1"/>
    <x v="9"/>
    <x v="1"/>
  </r>
  <r>
    <s v="LChanduviT@agricolachira.com.pe"/>
    <x v="0"/>
    <x v="1"/>
    <x v="1"/>
    <x v="10"/>
    <x v="1"/>
  </r>
  <r>
    <s v="NPizarroC@agricolachira.com.pe"/>
    <x v="0"/>
    <x v="1"/>
    <x v="3"/>
    <x v="8"/>
    <x v="3"/>
  </r>
  <r>
    <s v="jvasquezc@agricolachira.com.pe"/>
    <x v="0"/>
    <x v="1"/>
    <x v="1"/>
    <x v="18"/>
    <x v="1"/>
  </r>
  <r>
    <s v="HCruzA@agricolachira.com.pe"/>
    <x v="0"/>
    <x v="3"/>
    <x v="3"/>
    <x v="7"/>
    <x v="3"/>
  </r>
  <r>
    <s v="cfreym@agricolachira.com.pe"/>
    <x v="0"/>
    <x v="1"/>
    <x v="3"/>
    <x v="19"/>
    <x v="3"/>
  </r>
  <r>
    <s v="JIngaF@agricolachira.com.pe"/>
    <x v="0"/>
    <x v="1"/>
    <x v="1"/>
    <x v="18"/>
    <x v="1"/>
  </r>
  <r>
    <s v="EMartinezG@agricolachira.com.pe"/>
    <x v="0"/>
    <x v="0"/>
    <x v="0"/>
    <x v="21"/>
    <x v="0"/>
  </r>
  <r>
    <s v="JBayonaG@agricolachira.com.pe"/>
    <x v="0"/>
    <x v="3"/>
    <x v="1"/>
    <x v="9"/>
    <x v="1"/>
  </r>
  <r>
    <s v="AColomaL@agricolachira.com.pe"/>
    <x v="0"/>
    <x v="0"/>
    <x v="0"/>
    <x v="21"/>
    <x v="0"/>
  </r>
  <r>
    <s v="RTorresS@agricolachira.com.pe"/>
    <x v="0"/>
    <x v="0"/>
    <x v="4"/>
    <x v="11"/>
    <x v="4"/>
  </r>
  <r>
    <s v="CSosaL@agricolachira.com.pe"/>
    <x v="0"/>
    <x v="3"/>
    <x v="1"/>
    <x v="22"/>
    <x v="1"/>
  </r>
  <r>
    <s v="ABurneoL@agricolachira.com.pe"/>
    <x v="0"/>
    <x v="3"/>
    <x v="1"/>
    <x v="22"/>
    <x v="1"/>
  </r>
  <r>
    <s v="JNegronC@agricolachira.com.pe"/>
    <x v="0"/>
    <x v="0"/>
    <x v="4"/>
    <x v="11"/>
    <x v="4"/>
  </r>
  <r>
    <s v="JHidalgoS@agricolachira.com.pe"/>
    <x v="0"/>
    <x v="0"/>
    <x v="1"/>
    <x v="18"/>
    <x v="1"/>
  </r>
  <r>
    <s v="IFloresF@bioenergiadelchira.pe"/>
    <x v="0"/>
    <x v="1"/>
    <x v="2"/>
    <x v="23"/>
    <x v="2"/>
  </r>
  <r>
    <s v="jquevedoa@agricolachira.com.pe"/>
    <x v="0"/>
    <x v="0"/>
    <x v="1"/>
    <x v="24"/>
    <x v="1"/>
  </r>
  <r>
    <s v="USanchezF@agricolachira.com.pe"/>
    <x v="0"/>
    <x v="0"/>
    <x v="1"/>
    <x v="22"/>
    <x v="1"/>
  </r>
  <r>
    <s v="EMijahuancaG@agricolachira.com.pe"/>
    <x v="0"/>
    <x v="1"/>
    <x v="3"/>
    <x v="25"/>
    <x v="3"/>
  </r>
  <r>
    <s v="AGuldenG@agricolachira.com.pe"/>
    <x v="0"/>
    <x v="3"/>
    <x v="4"/>
    <x v="26"/>
    <x v="4"/>
  </r>
  <r>
    <s v="JRojasBarr@agricolachira.com.pe"/>
    <x v="0"/>
    <x v="3"/>
    <x v="4"/>
    <x v="27"/>
    <x v="4"/>
  </r>
  <r>
    <s v="AVilelaJ@agricolachira.com.pe"/>
    <x v="0"/>
    <x v="1"/>
    <x v="1"/>
    <x v="2"/>
    <x v="1"/>
  </r>
  <r>
    <s v="JLaraMa@agricolachira.com.pe"/>
    <x v="0"/>
    <x v="3"/>
    <x v="1"/>
    <x v="9"/>
    <x v="1"/>
  </r>
  <r>
    <s v="AGutierrezR@agricolachira.com.pe"/>
    <x v="0"/>
    <x v="1"/>
    <x v="3"/>
    <x v="19"/>
    <x v="3"/>
  </r>
  <r>
    <s v="JAquijeD@agricolachira.com.pe"/>
    <x v="0"/>
    <x v="2"/>
    <x v="4"/>
    <x v="27"/>
    <x v="4"/>
  </r>
  <r>
    <s v="ALachiraP@agricolachira.com.pe"/>
    <x v="0"/>
    <x v="0"/>
    <x v="3"/>
    <x v="7"/>
    <x v="3"/>
  </r>
  <r>
    <s v="jjimenezc@agricolachira.com.pe"/>
    <x v="0"/>
    <x v="1"/>
    <x v="0"/>
    <x v="20"/>
    <x v="0"/>
  </r>
  <r>
    <s v="BGonzalesM@agricolachira.com.pe"/>
    <x v="0"/>
    <x v="1"/>
    <x v="3"/>
    <x v="15"/>
    <x v="3"/>
  </r>
  <r>
    <s v="VAntezanaM@agricolachira.com.pe"/>
    <x v="0"/>
    <x v="1"/>
    <x v="1"/>
    <x v="24"/>
    <x v="1"/>
  </r>
  <r>
    <s v="HBorjaT@agricolachira.com.pe"/>
    <x v="0"/>
    <x v="3"/>
    <x v="2"/>
    <x v="3"/>
    <x v="2"/>
  </r>
  <r>
    <s v="GPenaP@agricolachira.com.pe"/>
    <x v="0"/>
    <x v="1"/>
    <x v="4"/>
    <x v="26"/>
    <x v="4"/>
  </r>
  <r>
    <s v="ovasquezp@agricolachira.com.pe"/>
    <x v="0"/>
    <x v="3"/>
    <x v="4"/>
    <x v="28"/>
    <x v="4"/>
  </r>
  <r>
    <s v="NHansenG@agricolachira.com.pe"/>
    <x v="0"/>
    <x v="3"/>
    <x v="4"/>
    <x v="11"/>
    <x v="4"/>
  </r>
  <r>
    <s v="LVillarF@agricolachira.com.pe"/>
    <x v="0"/>
    <x v="0"/>
    <x v="2"/>
    <x v="29"/>
    <x v="2"/>
  </r>
  <r>
    <s v="DGameroS@agricolachira.com.pe"/>
    <x v="0"/>
    <x v="3"/>
    <x v="2"/>
    <x v="14"/>
    <x v="2"/>
  </r>
  <r>
    <s v="JEstelaF@agricolachira.com.pe"/>
    <x v="0"/>
    <x v="0"/>
    <x v="3"/>
    <x v="6"/>
    <x v="3"/>
  </r>
  <r>
    <s v="DFloreanoP@agricolachira.com.pe"/>
    <x v="0"/>
    <x v="3"/>
    <x v="1"/>
    <x v="9"/>
    <x v="1"/>
  </r>
  <r>
    <s v="PMarroquinR@agricolachira.com.pe"/>
    <x v="0"/>
    <x v="0"/>
    <x v="4"/>
    <x v="30"/>
    <x v="4"/>
  </r>
  <r>
    <s v="jbacilioh@agricolachira.com.pe"/>
    <x v="0"/>
    <x v="0"/>
    <x v="4"/>
    <x v="31"/>
    <x v="4"/>
  </r>
  <r>
    <s v="OMontenegroC@agricolachira.com.pe"/>
    <x v="0"/>
    <x v="1"/>
    <x v="3"/>
    <x v="19"/>
    <x v="3"/>
  </r>
  <r>
    <s v="SSanchezV@agricolachira.com.pe"/>
    <x v="0"/>
    <x v="1"/>
    <x v="1"/>
    <x v="22"/>
    <x v="1"/>
  </r>
  <r>
    <s v="EAmesM@agricolachira.com.pe"/>
    <x v="0"/>
    <x v="0"/>
    <x v="0"/>
    <x v="32"/>
    <x v="0"/>
  </r>
  <r>
    <s v="JMendozaG@agricolachira.com.pe"/>
    <x v="0"/>
    <x v="1"/>
    <x v="0"/>
    <x v="13"/>
    <x v="0"/>
  </r>
  <r>
    <s v="LRodriguezC@agricolachira.com.pe"/>
    <x v="0"/>
    <x v="1"/>
    <x v="0"/>
    <x v="33"/>
    <x v="0"/>
  </r>
  <r>
    <s v="JPichilinguP@agricolachira.com.pe"/>
    <x v="0"/>
    <x v="1"/>
    <x v="3"/>
    <x v="19"/>
    <x v="3"/>
  </r>
  <r>
    <s v="LTimanaT@agricolachira.com.pe"/>
    <x v="0"/>
    <x v="0"/>
    <x v="1"/>
    <x v="9"/>
    <x v="1"/>
  </r>
  <r>
    <s v="RLupucheQ@agricolachira.com.pe"/>
    <x v="0"/>
    <x v="1"/>
    <x v="4"/>
    <x v="31"/>
    <x v="4"/>
  </r>
  <r>
    <s v="MVillegasJ@agricolachira.com.pe"/>
    <x v="0"/>
    <x v="1"/>
    <x v="1"/>
    <x v="24"/>
    <x v="1"/>
  </r>
  <r>
    <s v="RMoncadaP@agricolachira.com.pe"/>
    <x v="0"/>
    <x v="1"/>
    <x v="1"/>
    <x v="22"/>
    <x v="1"/>
  </r>
  <r>
    <s v="JCalderonChu@agricolachira.com.pe"/>
    <x v="0"/>
    <x v="0"/>
    <x v="2"/>
    <x v="14"/>
    <x v="2"/>
  </r>
  <r>
    <s v="AVasquezM@agricolachira.com.pe"/>
    <x v="0"/>
    <x v="3"/>
    <x v="2"/>
    <x v="29"/>
    <x v="2"/>
  </r>
  <r>
    <s v="RGarciaFe@agricolachira.com.pe"/>
    <x v="0"/>
    <x v="1"/>
    <x v="1"/>
    <x v="10"/>
    <x v="1"/>
  </r>
  <r>
    <s v="VAbadP@agricolachira.com.pe"/>
    <x v="0"/>
    <x v="1"/>
    <x v="1"/>
    <x v="10"/>
    <x v="1"/>
  </r>
  <r>
    <s v="AAdanaqueE@agricolachira.com.pe"/>
    <x v="0"/>
    <x v="1"/>
    <x v="0"/>
    <x v="21"/>
    <x v="0"/>
  </r>
  <r>
    <s v="PSuncionZ@agricolachira.com.pe"/>
    <x v="0"/>
    <x v="1"/>
    <x v="0"/>
    <x v="21"/>
    <x v="0"/>
  </r>
  <r>
    <s v="CLupucheV@agricolachira.com.pe"/>
    <x v="0"/>
    <x v="1"/>
    <x v="4"/>
    <x v="26"/>
    <x v="4"/>
  </r>
  <r>
    <s v="MDiazTa@agricolachira.com.pe"/>
    <x v="0"/>
    <x v="1"/>
    <x v="1"/>
    <x v="2"/>
    <x v="1"/>
  </r>
  <r>
    <s v="LOcanaP@agricolachira.com.pe"/>
    <x v="0"/>
    <x v="0"/>
    <x v="1"/>
    <x v="22"/>
    <x v="1"/>
  </r>
  <r>
    <s v="creyesy@agricolachira.com.pe"/>
    <x v="0"/>
    <x v="3"/>
    <x v="2"/>
    <x v="34"/>
    <x v="2"/>
  </r>
  <r>
    <s v="CVivancoM@agricolachira.com.pe"/>
    <x v="0"/>
    <x v="0"/>
    <x v="1"/>
    <x v="35"/>
    <x v="1"/>
  </r>
  <r>
    <s v="CRamosG@agricolachira.com.pe"/>
    <x v="1"/>
    <x v="0"/>
    <x v="0"/>
    <x v="0"/>
    <x v="0"/>
  </r>
  <r>
    <s v="HMocarroC@agricolachira.com.pe"/>
    <x v="1"/>
    <x v="1"/>
    <x v="1"/>
    <x v="1"/>
    <x v="1"/>
  </r>
  <r>
    <s v="LOlayaLe@agricolachira.com.pe"/>
    <x v="1"/>
    <x v="2"/>
    <x v="1"/>
    <x v="2"/>
    <x v="1"/>
  </r>
  <r>
    <s v="CCarrilloR@agricolachira.com.pe"/>
    <x v="1"/>
    <x v="1"/>
    <x v="2"/>
    <x v="3"/>
    <x v="2"/>
  </r>
  <r>
    <s v="KOtinianoP@agricolachira.com.pe"/>
    <x v="1"/>
    <x v="0"/>
    <x v="1"/>
    <x v="4"/>
    <x v="1"/>
  </r>
  <r>
    <s v="VLopezS@agricolachira.com.pe"/>
    <x v="1"/>
    <x v="0"/>
    <x v="3"/>
    <x v="5"/>
    <x v="3"/>
  </r>
  <r>
    <s v="JCobenasS@agricolachira.com.pe"/>
    <x v="1"/>
    <x v="0"/>
    <x v="3"/>
    <x v="6"/>
    <x v="3"/>
  </r>
  <r>
    <s v="DCheroN@agricolachira.com.pe"/>
    <x v="1"/>
    <x v="1"/>
    <x v="3"/>
    <x v="7"/>
    <x v="3"/>
  </r>
  <r>
    <s v="ABlancoE@agricolachira.com.pe"/>
    <x v="1"/>
    <x v="1"/>
    <x v="3"/>
    <x v="8"/>
    <x v="3"/>
  </r>
  <r>
    <s v="YGarridoS@agricolachira.com.pe"/>
    <x v="1"/>
    <x v="0"/>
    <x v="3"/>
    <x v="7"/>
    <x v="3"/>
  </r>
  <r>
    <s v="VRequelmeS@agricolachira.com.pe"/>
    <x v="1"/>
    <x v="1"/>
    <x v="1"/>
    <x v="2"/>
    <x v="1"/>
  </r>
  <r>
    <s v="JCheroPa@agricolachira.com.pe"/>
    <x v="1"/>
    <x v="3"/>
    <x v="1"/>
    <x v="9"/>
    <x v="1"/>
  </r>
  <r>
    <s v="MMartinezP@agricolachira.com.pe"/>
    <x v="1"/>
    <x v="1"/>
    <x v="1"/>
    <x v="10"/>
    <x v="1"/>
  </r>
  <r>
    <s v="JMioA@agricolachira.com.pe"/>
    <x v="1"/>
    <x v="0"/>
    <x v="4"/>
    <x v="11"/>
    <x v="4"/>
  </r>
  <r>
    <s v="ptrigoso@agricolachira.com.pe"/>
    <x v="1"/>
    <x v="0"/>
    <x v="3"/>
    <x v="12"/>
    <x v="3"/>
  </r>
  <r>
    <s v="DZuritaF@agricolachira.com.pe"/>
    <x v="1"/>
    <x v="3"/>
    <x v="1"/>
    <x v="4"/>
    <x v="1"/>
  </r>
  <r>
    <s v="JArevaloga@agricolachira.com.pe"/>
    <x v="1"/>
    <x v="0"/>
    <x v="0"/>
    <x v="13"/>
    <x v="0"/>
  </r>
  <r>
    <s v="AFloresD@agricolachira.com.pe"/>
    <x v="1"/>
    <x v="0"/>
    <x v="2"/>
    <x v="14"/>
    <x v="2"/>
  </r>
  <r>
    <s v="MVegaY@agricolachira.com.pe"/>
    <x v="1"/>
    <x v="2"/>
    <x v="3"/>
    <x v="6"/>
    <x v="3"/>
  </r>
  <r>
    <s v="LGarciaC@agricolachira.com.pe"/>
    <x v="1"/>
    <x v="3"/>
    <x v="3"/>
    <x v="5"/>
    <x v="3"/>
  </r>
  <r>
    <s v="SMerinoV@agricolachira.com.pe"/>
    <x v="1"/>
    <x v="1"/>
    <x v="1"/>
    <x v="2"/>
    <x v="1"/>
  </r>
  <r>
    <s v="JMogollonC@agricolachira.com.pe"/>
    <x v="1"/>
    <x v="3"/>
    <x v="3"/>
    <x v="15"/>
    <x v="3"/>
  </r>
  <r>
    <s v="WChavezS@agricolachira.com.pe"/>
    <x v="1"/>
    <x v="3"/>
    <x v="4"/>
    <x v="16"/>
    <x v="4"/>
  </r>
  <r>
    <s v="EArevaloJ@agricolachira.com.pe"/>
    <x v="1"/>
    <x v="1"/>
    <x v="1"/>
    <x v="17"/>
    <x v="1"/>
  </r>
  <r>
    <s v="JGomezAp@agricolachira.com.pe"/>
    <x v="1"/>
    <x v="1"/>
    <x v="1"/>
    <x v="18"/>
    <x v="1"/>
  </r>
  <r>
    <s v="JChaparroB@agricolachira.com.pe"/>
    <x v="1"/>
    <x v="1"/>
    <x v="1"/>
    <x v="9"/>
    <x v="1"/>
  </r>
  <r>
    <s v="WCarrascoA@agricolachira.com.pe"/>
    <x v="1"/>
    <x v="0"/>
    <x v="1"/>
    <x v="18"/>
    <x v="1"/>
  </r>
  <r>
    <s v="KZavaletaM@agricolachira.com.pe"/>
    <x v="1"/>
    <x v="1"/>
    <x v="1"/>
    <x v="10"/>
    <x v="1"/>
  </r>
  <r>
    <s v="YMoscolC@agricolachira.com.pe"/>
    <x v="1"/>
    <x v="1"/>
    <x v="3"/>
    <x v="19"/>
    <x v="3"/>
  </r>
  <r>
    <s v="lsipiona@agricolachira.com.pe"/>
    <x v="1"/>
    <x v="0"/>
    <x v="0"/>
    <x v="20"/>
    <x v="0"/>
  </r>
  <r>
    <s v="AAguilarMo@agricolachira.com.pe"/>
    <x v="1"/>
    <x v="0"/>
    <x v="1"/>
    <x v="9"/>
    <x v="1"/>
  </r>
  <r>
    <s v="LChanduviT@agricolachira.com.pe"/>
    <x v="1"/>
    <x v="1"/>
    <x v="1"/>
    <x v="10"/>
    <x v="1"/>
  </r>
  <r>
    <s v="NPizarroC@agricolachira.com.pe"/>
    <x v="1"/>
    <x v="1"/>
    <x v="3"/>
    <x v="8"/>
    <x v="3"/>
  </r>
  <r>
    <s v="jvasquezc@agricolachira.com.pe"/>
    <x v="1"/>
    <x v="0"/>
    <x v="1"/>
    <x v="18"/>
    <x v="1"/>
  </r>
  <r>
    <s v="HCruzA@agricolachira.com.pe"/>
    <x v="1"/>
    <x v="0"/>
    <x v="3"/>
    <x v="7"/>
    <x v="3"/>
  </r>
  <r>
    <s v="cfreym@agricolachira.com.pe"/>
    <x v="1"/>
    <x v="0"/>
    <x v="3"/>
    <x v="19"/>
    <x v="3"/>
  </r>
  <r>
    <s v="JIngaF@agricolachira.com.pe"/>
    <x v="1"/>
    <x v="1"/>
    <x v="1"/>
    <x v="18"/>
    <x v="1"/>
  </r>
  <r>
    <s v="EMartinezG@agricolachira.com.pe"/>
    <x v="1"/>
    <x v="0"/>
    <x v="0"/>
    <x v="21"/>
    <x v="0"/>
  </r>
  <r>
    <s v="JBayonaG@agricolachira.com.pe"/>
    <x v="1"/>
    <x v="3"/>
    <x v="1"/>
    <x v="9"/>
    <x v="1"/>
  </r>
  <r>
    <s v="AColomaL@agricolachira.com.pe"/>
    <x v="1"/>
    <x v="0"/>
    <x v="0"/>
    <x v="21"/>
    <x v="0"/>
  </r>
  <r>
    <s v="RTorresS@agricolachira.com.pe"/>
    <x v="1"/>
    <x v="0"/>
    <x v="4"/>
    <x v="11"/>
    <x v="4"/>
  </r>
  <r>
    <s v="CSosaL@agricolachira.com.pe"/>
    <x v="1"/>
    <x v="3"/>
    <x v="1"/>
    <x v="22"/>
    <x v="1"/>
  </r>
  <r>
    <s v="ABurneoL@agricolachira.com.pe"/>
    <x v="1"/>
    <x v="3"/>
    <x v="1"/>
    <x v="22"/>
    <x v="1"/>
  </r>
  <r>
    <s v="JNegronC@agricolachira.com.pe"/>
    <x v="1"/>
    <x v="0"/>
    <x v="4"/>
    <x v="11"/>
    <x v="4"/>
  </r>
  <r>
    <s v="JHidalgoS@agricolachira.com.pe"/>
    <x v="1"/>
    <x v="1"/>
    <x v="1"/>
    <x v="18"/>
    <x v="1"/>
  </r>
  <r>
    <s v="IFloresF@bioenergiadelchira.pe"/>
    <x v="1"/>
    <x v="0"/>
    <x v="2"/>
    <x v="23"/>
    <x v="2"/>
  </r>
  <r>
    <s v="jquevedoa@agricolachira.com.pe"/>
    <x v="1"/>
    <x v="0"/>
    <x v="1"/>
    <x v="24"/>
    <x v="1"/>
  </r>
  <r>
    <s v="USanchezF@agricolachira.com.pe"/>
    <x v="1"/>
    <x v="0"/>
    <x v="1"/>
    <x v="22"/>
    <x v="1"/>
  </r>
  <r>
    <s v="EMijahuancaG@agricolachira.com.pe"/>
    <x v="1"/>
    <x v="1"/>
    <x v="3"/>
    <x v="25"/>
    <x v="3"/>
  </r>
  <r>
    <s v="AGuldenG@agricolachira.com.pe"/>
    <x v="1"/>
    <x v="1"/>
    <x v="4"/>
    <x v="26"/>
    <x v="4"/>
  </r>
  <r>
    <s v="JRojasBarr@agricolachira.com.pe"/>
    <x v="1"/>
    <x v="0"/>
    <x v="4"/>
    <x v="27"/>
    <x v="4"/>
  </r>
  <r>
    <s v="AVilelaJ@agricolachira.com.pe"/>
    <x v="1"/>
    <x v="1"/>
    <x v="1"/>
    <x v="2"/>
    <x v="1"/>
  </r>
  <r>
    <s v="JLaraMa@agricolachira.com.pe"/>
    <x v="1"/>
    <x v="3"/>
    <x v="1"/>
    <x v="9"/>
    <x v="1"/>
  </r>
  <r>
    <s v="AGutierrezR@agricolachira.com.pe"/>
    <x v="1"/>
    <x v="1"/>
    <x v="3"/>
    <x v="19"/>
    <x v="3"/>
  </r>
  <r>
    <s v="JAquijeD@agricolachira.com.pe"/>
    <x v="1"/>
    <x v="0"/>
    <x v="4"/>
    <x v="27"/>
    <x v="4"/>
  </r>
  <r>
    <s v="ALachiraP@agricolachira.com.pe"/>
    <x v="1"/>
    <x v="0"/>
    <x v="3"/>
    <x v="7"/>
    <x v="3"/>
  </r>
  <r>
    <s v="jjimenezc@agricolachira.com.pe"/>
    <x v="1"/>
    <x v="1"/>
    <x v="0"/>
    <x v="20"/>
    <x v="0"/>
  </r>
  <r>
    <s v="BGonzalesM@agricolachira.com.pe"/>
    <x v="1"/>
    <x v="0"/>
    <x v="3"/>
    <x v="15"/>
    <x v="3"/>
  </r>
  <r>
    <s v="VAntezanaM@agricolachira.com.pe"/>
    <x v="1"/>
    <x v="3"/>
    <x v="1"/>
    <x v="24"/>
    <x v="1"/>
  </r>
  <r>
    <s v="HBorjaT@agricolachira.com.pe"/>
    <x v="1"/>
    <x v="0"/>
    <x v="2"/>
    <x v="3"/>
    <x v="2"/>
  </r>
  <r>
    <s v="GPenaP@agricolachira.com.pe"/>
    <x v="1"/>
    <x v="1"/>
    <x v="4"/>
    <x v="26"/>
    <x v="4"/>
  </r>
  <r>
    <s v="ovasquezp@agricolachira.com.pe"/>
    <x v="1"/>
    <x v="1"/>
    <x v="4"/>
    <x v="28"/>
    <x v="4"/>
  </r>
  <r>
    <s v="NHansenG@agricolachira.com.pe"/>
    <x v="1"/>
    <x v="0"/>
    <x v="4"/>
    <x v="11"/>
    <x v="4"/>
  </r>
  <r>
    <s v="LVillarF@agricolachira.com.pe"/>
    <x v="1"/>
    <x v="0"/>
    <x v="2"/>
    <x v="29"/>
    <x v="2"/>
  </r>
  <r>
    <s v="DGameroS@agricolachira.com.pe"/>
    <x v="1"/>
    <x v="0"/>
    <x v="2"/>
    <x v="14"/>
    <x v="2"/>
  </r>
  <r>
    <s v="JEstelaF@agricolachira.com.pe"/>
    <x v="1"/>
    <x v="0"/>
    <x v="3"/>
    <x v="6"/>
    <x v="3"/>
  </r>
  <r>
    <s v="DFloreanoP@agricolachira.com.pe"/>
    <x v="1"/>
    <x v="3"/>
    <x v="1"/>
    <x v="9"/>
    <x v="1"/>
  </r>
  <r>
    <s v="PMarroquinR@agricolachira.com.pe"/>
    <x v="1"/>
    <x v="3"/>
    <x v="4"/>
    <x v="30"/>
    <x v="4"/>
  </r>
  <r>
    <s v="jbacilioh@agricolachira.com.pe"/>
    <x v="1"/>
    <x v="1"/>
    <x v="4"/>
    <x v="31"/>
    <x v="4"/>
  </r>
  <r>
    <s v="OMontenegroC@agricolachira.com.pe"/>
    <x v="1"/>
    <x v="1"/>
    <x v="3"/>
    <x v="19"/>
    <x v="3"/>
  </r>
  <r>
    <s v="SSanchezV@agricolachira.com.pe"/>
    <x v="1"/>
    <x v="0"/>
    <x v="1"/>
    <x v="22"/>
    <x v="1"/>
  </r>
  <r>
    <s v="EAmesM@agricolachira.com.pe"/>
    <x v="1"/>
    <x v="0"/>
    <x v="0"/>
    <x v="32"/>
    <x v="0"/>
  </r>
  <r>
    <s v="JMendozaG@agricolachira.com.pe"/>
    <x v="1"/>
    <x v="1"/>
    <x v="0"/>
    <x v="13"/>
    <x v="0"/>
  </r>
  <r>
    <s v="LRodriguezC@agricolachira.com.pe"/>
    <x v="1"/>
    <x v="3"/>
    <x v="0"/>
    <x v="33"/>
    <x v="0"/>
  </r>
  <r>
    <s v="JPichilinguP@agricolachira.com.pe"/>
    <x v="1"/>
    <x v="0"/>
    <x v="3"/>
    <x v="19"/>
    <x v="3"/>
  </r>
  <r>
    <s v="LTimanaT@agricolachira.com.pe"/>
    <x v="1"/>
    <x v="3"/>
    <x v="1"/>
    <x v="9"/>
    <x v="1"/>
  </r>
  <r>
    <s v="RLupucheQ@agricolachira.com.pe"/>
    <x v="1"/>
    <x v="3"/>
    <x v="4"/>
    <x v="31"/>
    <x v="4"/>
  </r>
  <r>
    <s v="MVillegasJ@agricolachira.com.pe"/>
    <x v="1"/>
    <x v="1"/>
    <x v="1"/>
    <x v="24"/>
    <x v="1"/>
  </r>
  <r>
    <s v="RMoncadaP@agricolachira.com.pe"/>
    <x v="1"/>
    <x v="1"/>
    <x v="1"/>
    <x v="22"/>
    <x v="1"/>
  </r>
  <r>
    <s v="JCalderonChu@agricolachira.com.pe"/>
    <x v="1"/>
    <x v="3"/>
    <x v="2"/>
    <x v="14"/>
    <x v="2"/>
  </r>
  <r>
    <s v="AVasquezM@agricolachira.com.pe"/>
    <x v="1"/>
    <x v="3"/>
    <x v="2"/>
    <x v="29"/>
    <x v="2"/>
  </r>
  <r>
    <s v="RGarciaFe@agricolachira.com.pe"/>
    <x v="1"/>
    <x v="1"/>
    <x v="1"/>
    <x v="10"/>
    <x v="1"/>
  </r>
  <r>
    <s v="VAbadP@agricolachira.com.pe"/>
    <x v="1"/>
    <x v="1"/>
    <x v="1"/>
    <x v="10"/>
    <x v="1"/>
  </r>
  <r>
    <s v="AAdanaqueE@agricolachira.com.pe"/>
    <x v="1"/>
    <x v="1"/>
    <x v="0"/>
    <x v="21"/>
    <x v="0"/>
  </r>
  <r>
    <s v="PSuncionZ@agricolachira.com.pe"/>
    <x v="1"/>
    <x v="1"/>
    <x v="0"/>
    <x v="21"/>
    <x v="0"/>
  </r>
  <r>
    <s v="CLupucheV@agricolachira.com.pe"/>
    <x v="1"/>
    <x v="1"/>
    <x v="4"/>
    <x v="26"/>
    <x v="4"/>
  </r>
  <r>
    <s v="MDiazTa@agricolachira.com.pe"/>
    <x v="1"/>
    <x v="1"/>
    <x v="1"/>
    <x v="2"/>
    <x v="1"/>
  </r>
  <r>
    <s v="LOcanaP@agricolachira.com.pe"/>
    <x v="1"/>
    <x v="0"/>
    <x v="1"/>
    <x v="22"/>
    <x v="1"/>
  </r>
  <r>
    <s v="creyesy@agricolachira.com.pe"/>
    <x v="1"/>
    <x v="0"/>
    <x v="2"/>
    <x v="34"/>
    <x v="2"/>
  </r>
  <r>
    <s v="CVivancoM@agricolachira.com.pe"/>
    <x v="1"/>
    <x v="2"/>
    <x v="1"/>
    <x v="35"/>
    <x v="1"/>
  </r>
  <r>
    <s v="CRamosG@agricolachira.com.pe"/>
    <x v="2"/>
    <x v="0"/>
    <x v="0"/>
    <x v="0"/>
    <x v="0"/>
  </r>
  <r>
    <s v="HMocarroC@agricolachira.com.pe"/>
    <x v="2"/>
    <x v="1"/>
    <x v="1"/>
    <x v="1"/>
    <x v="1"/>
  </r>
  <r>
    <s v="LOlayaLe@agricolachira.com.pe"/>
    <x v="2"/>
    <x v="2"/>
    <x v="1"/>
    <x v="2"/>
    <x v="1"/>
  </r>
  <r>
    <s v="CCarrilloR@agricolachira.com.pe"/>
    <x v="2"/>
    <x v="0"/>
    <x v="2"/>
    <x v="3"/>
    <x v="2"/>
  </r>
  <r>
    <s v="KOtinianoP@agricolachira.com.pe"/>
    <x v="2"/>
    <x v="0"/>
    <x v="1"/>
    <x v="4"/>
    <x v="1"/>
  </r>
  <r>
    <s v="VLopezS@agricolachira.com.pe"/>
    <x v="2"/>
    <x v="0"/>
    <x v="3"/>
    <x v="5"/>
    <x v="3"/>
  </r>
  <r>
    <s v="JCobenasS@agricolachira.com.pe"/>
    <x v="2"/>
    <x v="0"/>
    <x v="3"/>
    <x v="6"/>
    <x v="3"/>
  </r>
  <r>
    <s v="DCheroN@agricolachira.com.pe"/>
    <x v="2"/>
    <x v="1"/>
    <x v="3"/>
    <x v="7"/>
    <x v="3"/>
  </r>
  <r>
    <s v="ABlancoE@agricolachira.com.pe"/>
    <x v="2"/>
    <x v="1"/>
    <x v="3"/>
    <x v="8"/>
    <x v="3"/>
  </r>
  <r>
    <s v="YGarridoS@agricolachira.com.pe"/>
    <x v="2"/>
    <x v="1"/>
    <x v="3"/>
    <x v="7"/>
    <x v="3"/>
  </r>
  <r>
    <s v="VRequelmeS@agricolachira.com.pe"/>
    <x v="2"/>
    <x v="1"/>
    <x v="1"/>
    <x v="2"/>
    <x v="1"/>
  </r>
  <r>
    <s v="JCheroPa@agricolachira.com.pe"/>
    <x v="2"/>
    <x v="3"/>
    <x v="1"/>
    <x v="9"/>
    <x v="1"/>
  </r>
  <r>
    <s v="MMartinezP@agricolachira.com.pe"/>
    <x v="2"/>
    <x v="1"/>
    <x v="1"/>
    <x v="10"/>
    <x v="1"/>
  </r>
  <r>
    <s v="JMioA@agricolachira.com.pe"/>
    <x v="2"/>
    <x v="0"/>
    <x v="4"/>
    <x v="11"/>
    <x v="4"/>
  </r>
  <r>
    <s v="ptrigoso@agricolachira.com.pe"/>
    <x v="2"/>
    <x v="0"/>
    <x v="3"/>
    <x v="12"/>
    <x v="3"/>
  </r>
  <r>
    <s v="DZuritaF@agricolachira.com.pe"/>
    <x v="2"/>
    <x v="3"/>
    <x v="1"/>
    <x v="4"/>
    <x v="1"/>
  </r>
  <r>
    <s v="JArevaloga@agricolachira.com.pe"/>
    <x v="2"/>
    <x v="3"/>
    <x v="0"/>
    <x v="13"/>
    <x v="0"/>
  </r>
  <r>
    <s v="AFloresD@agricolachira.com.pe"/>
    <x v="2"/>
    <x v="3"/>
    <x v="2"/>
    <x v="14"/>
    <x v="2"/>
  </r>
  <r>
    <s v="MVegaY@agricolachira.com.pe"/>
    <x v="2"/>
    <x v="0"/>
    <x v="3"/>
    <x v="6"/>
    <x v="3"/>
  </r>
  <r>
    <s v="LGarciaC@agricolachira.com.pe"/>
    <x v="2"/>
    <x v="3"/>
    <x v="3"/>
    <x v="5"/>
    <x v="3"/>
  </r>
  <r>
    <s v="SMerinoV@agricolachira.com.pe"/>
    <x v="2"/>
    <x v="1"/>
    <x v="1"/>
    <x v="2"/>
    <x v="1"/>
  </r>
  <r>
    <s v="JMogollonC@agricolachira.com.pe"/>
    <x v="2"/>
    <x v="0"/>
    <x v="3"/>
    <x v="15"/>
    <x v="3"/>
  </r>
  <r>
    <s v="WChavezS@agricolachira.com.pe"/>
    <x v="2"/>
    <x v="0"/>
    <x v="4"/>
    <x v="16"/>
    <x v="4"/>
  </r>
  <r>
    <s v="EArevaloJ@agricolachira.com.pe"/>
    <x v="2"/>
    <x v="1"/>
    <x v="1"/>
    <x v="17"/>
    <x v="1"/>
  </r>
  <r>
    <s v="JGomezAp@agricolachira.com.pe"/>
    <x v="2"/>
    <x v="1"/>
    <x v="1"/>
    <x v="18"/>
    <x v="1"/>
  </r>
  <r>
    <s v="JChaparroB@agricolachira.com.pe"/>
    <x v="2"/>
    <x v="1"/>
    <x v="1"/>
    <x v="9"/>
    <x v="1"/>
  </r>
  <r>
    <s v="WCarrascoA@agricolachira.com.pe"/>
    <x v="2"/>
    <x v="2"/>
    <x v="1"/>
    <x v="18"/>
    <x v="1"/>
  </r>
  <r>
    <s v="KZavaletaM@agricolachira.com.pe"/>
    <x v="2"/>
    <x v="1"/>
    <x v="1"/>
    <x v="10"/>
    <x v="1"/>
  </r>
  <r>
    <s v="YMoscolC@agricolachira.com.pe"/>
    <x v="2"/>
    <x v="1"/>
    <x v="3"/>
    <x v="19"/>
    <x v="3"/>
  </r>
  <r>
    <s v="lsipiona@agricolachira.com.pe"/>
    <x v="2"/>
    <x v="1"/>
    <x v="0"/>
    <x v="20"/>
    <x v="0"/>
  </r>
  <r>
    <s v="AAguilarMo@agricolachira.com.pe"/>
    <x v="2"/>
    <x v="3"/>
    <x v="1"/>
    <x v="9"/>
    <x v="1"/>
  </r>
  <r>
    <s v="LChanduviT@agricolachira.com.pe"/>
    <x v="2"/>
    <x v="1"/>
    <x v="1"/>
    <x v="10"/>
    <x v="1"/>
  </r>
  <r>
    <s v="NPizarroC@agricolachira.com.pe"/>
    <x v="2"/>
    <x v="1"/>
    <x v="3"/>
    <x v="8"/>
    <x v="3"/>
  </r>
  <r>
    <s v="jvasquezc@agricolachira.com.pe"/>
    <x v="2"/>
    <x v="0"/>
    <x v="1"/>
    <x v="18"/>
    <x v="1"/>
  </r>
  <r>
    <s v="HCruzA@agricolachira.com.pe"/>
    <x v="2"/>
    <x v="1"/>
    <x v="3"/>
    <x v="7"/>
    <x v="3"/>
  </r>
  <r>
    <s v="cfreym@agricolachira.com.pe"/>
    <x v="2"/>
    <x v="1"/>
    <x v="3"/>
    <x v="19"/>
    <x v="3"/>
  </r>
  <r>
    <s v="JIngaF@agricolachira.com.pe"/>
    <x v="2"/>
    <x v="1"/>
    <x v="1"/>
    <x v="18"/>
    <x v="1"/>
  </r>
  <r>
    <s v="EMartinezG@agricolachira.com.pe"/>
    <x v="2"/>
    <x v="0"/>
    <x v="0"/>
    <x v="21"/>
    <x v="0"/>
  </r>
  <r>
    <s v="JBayonaG@agricolachira.com.pe"/>
    <x v="2"/>
    <x v="0"/>
    <x v="1"/>
    <x v="9"/>
    <x v="1"/>
  </r>
  <r>
    <s v="AColomaL@agricolachira.com.pe"/>
    <x v="2"/>
    <x v="0"/>
    <x v="0"/>
    <x v="21"/>
    <x v="0"/>
  </r>
  <r>
    <s v="RTorresS@agricolachira.com.pe"/>
    <x v="2"/>
    <x v="0"/>
    <x v="4"/>
    <x v="11"/>
    <x v="4"/>
  </r>
  <r>
    <s v="CSosaL@agricolachira.com.pe"/>
    <x v="2"/>
    <x v="1"/>
    <x v="1"/>
    <x v="22"/>
    <x v="1"/>
  </r>
  <r>
    <s v="ABurneoL@agricolachira.com.pe"/>
    <x v="2"/>
    <x v="3"/>
    <x v="1"/>
    <x v="22"/>
    <x v="1"/>
  </r>
  <r>
    <s v="JNegronC@agricolachira.com.pe"/>
    <x v="2"/>
    <x v="0"/>
    <x v="4"/>
    <x v="11"/>
    <x v="4"/>
  </r>
  <r>
    <s v="JHidalgoS@agricolachira.com.pe"/>
    <x v="2"/>
    <x v="1"/>
    <x v="1"/>
    <x v="18"/>
    <x v="1"/>
  </r>
  <r>
    <s v="IFloresF@bioenergiadelchira.pe"/>
    <x v="2"/>
    <x v="0"/>
    <x v="2"/>
    <x v="23"/>
    <x v="2"/>
  </r>
  <r>
    <s v="jquevedoa@agricolachira.com.pe"/>
    <x v="2"/>
    <x v="3"/>
    <x v="1"/>
    <x v="24"/>
    <x v="1"/>
  </r>
  <r>
    <s v="USanchezF@agricolachira.com.pe"/>
    <x v="2"/>
    <x v="0"/>
    <x v="1"/>
    <x v="22"/>
    <x v="1"/>
  </r>
  <r>
    <s v="EMijahuancaG@agricolachira.com.pe"/>
    <x v="2"/>
    <x v="3"/>
    <x v="3"/>
    <x v="25"/>
    <x v="3"/>
  </r>
  <r>
    <s v="AGuldenG@agricolachira.com.pe"/>
    <x v="2"/>
    <x v="1"/>
    <x v="4"/>
    <x v="26"/>
    <x v="4"/>
  </r>
  <r>
    <s v="JRojasBarr@agricolachira.com.pe"/>
    <x v="2"/>
    <x v="3"/>
    <x v="4"/>
    <x v="27"/>
    <x v="4"/>
  </r>
  <r>
    <s v="AVilelaJ@agricolachira.com.pe"/>
    <x v="2"/>
    <x v="1"/>
    <x v="1"/>
    <x v="2"/>
    <x v="1"/>
  </r>
  <r>
    <s v="JLaraMa@agricolachira.com.pe"/>
    <x v="2"/>
    <x v="0"/>
    <x v="1"/>
    <x v="9"/>
    <x v="1"/>
  </r>
  <r>
    <s v="AGutierrezR@agricolachira.com.pe"/>
    <x v="2"/>
    <x v="1"/>
    <x v="3"/>
    <x v="19"/>
    <x v="3"/>
  </r>
  <r>
    <s v="JAquijeD@agricolachira.com.pe"/>
    <x v="2"/>
    <x v="3"/>
    <x v="4"/>
    <x v="27"/>
    <x v="4"/>
  </r>
  <r>
    <s v="ALachiraP@agricolachira.com.pe"/>
    <x v="2"/>
    <x v="0"/>
    <x v="3"/>
    <x v="7"/>
    <x v="3"/>
  </r>
  <r>
    <s v="jjimenezc@agricolachira.com.pe"/>
    <x v="2"/>
    <x v="1"/>
    <x v="0"/>
    <x v="20"/>
    <x v="0"/>
  </r>
  <r>
    <s v="BGonzalesM@agricolachira.com.pe"/>
    <x v="2"/>
    <x v="3"/>
    <x v="3"/>
    <x v="15"/>
    <x v="3"/>
  </r>
  <r>
    <s v="VAntezanaM@agricolachira.com.pe"/>
    <x v="2"/>
    <x v="3"/>
    <x v="1"/>
    <x v="24"/>
    <x v="1"/>
  </r>
  <r>
    <s v="HBorjaT@agricolachira.com.pe"/>
    <x v="2"/>
    <x v="3"/>
    <x v="2"/>
    <x v="3"/>
    <x v="2"/>
  </r>
  <r>
    <s v="GPenaP@agricolachira.com.pe"/>
    <x v="2"/>
    <x v="1"/>
    <x v="4"/>
    <x v="26"/>
    <x v="4"/>
  </r>
  <r>
    <s v="ovasquezp@agricolachira.com.pe"/>
    <x v="2"/>
    <x v="0"/>
    <x v="4"/>
    <x v="28"/>
    <x v="4"/>
  </r>
  <r>
    <s v="NHansenG@agricolachira.com.pe"/>
    <x v="2"/>
    <x v="3"/>
    <x v="4"/>
    <x v="11"/>
    <x v="4"/>
  </r>
  <r>
    <s v="LVillarF@agricolachira.com.pe"/>
    <x v="2"/>
    <x v="0"/>
    <x v="2"/>
    <x v="29"/>
    <x v="2"/>
  </r>
  <r>
    <s v="DGameroS@agricolachira.com.pe"/>
    <x v="2"/>
    <x v="0"/>
    <x v="2"/>
    <x v="14"/>
    <x v="2"/>
  </r>
  <r>
    <s v="JEstelaF@agricolachira.com.pe"/>
    <x v="2"/>
    <x v="0"/>
    <x v="3"/>
    <x v="6"/>
    <x v="3"/>
  </r>
  <r>
    <s v="DFloreanoP@agricolachira.com.pe"/>
    <x v="2"/>
    <x v="3"/>
    <x v="1"/>
    <x v="9"/>
    <x v="1"/>
  </r>
  <r>
    <s v="PMarroquinR@agricolachira.com.pe"/>
    <x v="2"/>
    <x v="0"/>
    <x v="4"/>
    <x v="30"/>
    <x v="4"/>
  </r>
  <r>
    <s v="jbacilioh@agricolachira.com.pe"/>
    <x v="2"/>
    <x v="0"/>
    <x v="4"/>
    <x v="31"/>
    <x v="4"/>
  </r>
  <r>
    <s v="OMontenegroC@agricolachira.com.pe"/>
    <x v="2"/>
    <x v="1"/>
    <x v="3"/>
    <x v="19"/>
    <x v="3"/>
  </r>
  <r>
    <s v="SSanchezV@agricolachira.com.pe"/>
    <x v="2"/>
    <x v="1"/>
    <x v="1"/>
    <x v="22"/>
    <x v="1"/>
  </r>
  <r>
    <s v="EAmesM@agricolachira.com.pe"/>
    <x v="2"/>
    <x v="3"/>
    <x v="0"/>
    <x v="32"/>
    <x v="0"/>
  </r>
  <r>
    <s v="JMendozaG@agricolachira.com.pe"/>
    <x v="2"/>
    <x v="1"/>
    <x v="0"/>
    <x v="13"/>
    <x v="0"/>
  </r>
  <r>
    <s v="LRodriguezC@agricolachira.com.pe"/>
    <x v="2"/>
    <x v="3"/>
    <x v="0"/>
    <x v="33"/>
    <x v="0"/>
  </r>
  <r>
    <s v="JPichilinguP@agricolachira.com.pe"/>
    <x v="2"/>
    <x v="0"/>
    <x v="3"/>
    <x v="19"/>
    <x v="3"/>
  </r>
  <r>
    <s v="LTimanaT@agricolachira.com.pe"/>
    <x v="2"/>
    <x v="1"/>
    <x v="1"/>
    <x v="9"/>
    <x v="1"/>
  </r>
  <r>
    <s v="RLupucheQ@agricolachira.com.pe"/>
    <x v="2"/>
    <x v="3"/>
    <x v="4"/>
    <x v="31"/>
    <x v="4"/>
  </r>
  <r>
    <s v="MVillegasJ@agricolachira.com.pe"/>
    <x v="2"/>
    <x v="1"/>
    <x v="1"/>
    <x v="24"/>
    <x v="1"/>
  </r>
  <r>
    <s v="RMoncadaP@agricolachira.com.pe"/>
    <x v="2"/>
    <x v="1"/>
    <x v="1"/>
    <x v="22"/>
    <x v="1"/>
  </r>
  <r>
    <s v="JCalderonChu@agricolachira.com.pe"/>
    <x v="2"/>
    <x v="3"/>
    <x v="2"/>
    <x v="14"/>
    <x v="2"/>
  </r>
  <r>
    <s v="AVasquezM@agricolachira.com.pe"/>
    <x v="2"/>
    <x v="3"/>
    <x v="2"/>
    <x v="29"/>
    <x v="2"/>
  </r>
  <r>
    <s v="RGarciaFe@agricolachira.com.pe"/>
    <x v="2"/>
    <x v="1"/>
    <x v="1"/>
    <x v="10"/>
    <x v="1"/>
  </r>
  <r>
    <s v="VAbadP@agricolachira.com.pe"/>
    <x v="2"/>
    <x v="1"/>
    <x v="1"/>
    <x v="10"/>
    <x v="1"/>
  </r>
  <r>
    <s v="AAdanaqueE@agricolachira.com.pe"/>
    <x v="2"/>
    <x v="1"/>
    <x v="0"/>
    <x v="21"/>
    <x v="0"/>
  </r>
  <r>
    <s v="PSuncionZ@agricolachira.com.pe"/>
    <x v="2"/>
    <x v="1"/>
    <x v="0"/>
    <x v="21"/>
    <x v="0"/>
  </r>
  <r>
    <s v="CLupucheV@agricolachira.com.pe"/>
    <x v="2"/>
    <x v="0"/>
    <x v="4"/>
    <x v="26"/>
    <x v="4"/>
  </r>
  <r>
    <s v="MDiazTa@agricolachira.com.pe"/>
    <x v="2"/>
    <x v="1"/>
    <x v="1"/>
    <x v="2"/>
    <x v="1"/>
  </r>
  <r>
    <s v="LOcanaP@agricolachira.com.pe"/>
    <x v="2"/>
    <x v="1"/>
    <x v="1"/>
    <x v="22"/>
    <x v="1"/>
  </r>
  <r>
    <s v="creyesy@agricolachira.com.pe"/>
    <x v="2"/>
    <x v="0"/>
    <x v="2"/>
    <x v="34"/>
    <x v="2"/>
  </r>
  <r>
    <s v="CVivancoM@agricolachira.com.pe"/>
    <x v="2"/>
    <x v="0"/>
    <x v="1"/>
    <x v="35"/>
    <x v="1"/>
  </r>
  <r>
    <s v="CRamosG@agricolachira.com.pe"/>
    <x v="3"/>
    <x v="0"/>
    <x v="0"/>
    <x v="0"/>
    <x v="0"/>
  </r>
  <r>
    <s v="HMocarroC@agricolachira.com.pe"/>
    <x v="3"/>
    <x v="1"/>
    <x v="1"/>
    <x v="1"/>
    <x v="1"/>
  </r>
  <r>
    <s v="LOlayaLe@agricolachira.com.pe"/>
    <x v="3"/>
    <x v="2"/>
    <x v="1"/>
    <x v="2"/>
    <x v="1"/>
  </r>
  <r>
    <s v="CCarrilloR@agricolachira.com.pe"/>
    <x v="3"/>
    <x v="0"/>
    <x v="2"/>
    <x v="3"/>
    <x v="2"/>
  </r>
  <r>
    <s v="KOtinianoP@agricolachira.com.pe"/>
    <x v="3"/>
    <x v="0"/>
    <x v="1"/>
    <x v="4"/>
    <x v="1"/>
  </r>
  <r>
    <s v="VLopezS@agricolachira.com.pe"/>
    <x v="3"/>
    <x v="0"/>
    <x v="3"/>
    <x v="5"/>
    <x v="3"/>
  </r>
  <r>
    <s v="JCobenasS@agricolachira.com.pe"/>
    <x v="3"/>
    <x v="0"/>
    <x v="3"/>
    <x v="6"/>
    <x v="3"/>
  </r>
  <r>
    <s v="DCheroN@agricolachira.com.pe"/>
    <x v="3"/>
    <x v="1"/>
    <x v="3"/>
    <x v="7"/>
    <x v="3"/>
  </r>
  <r>
    <s v="ABlancoE@agricolachira.com.pe"/>
    <x v="3"/>
    <x v="1"/>
    <x v="3"/>
    <x v="8"/>
    <x v="3"/>
  </r>
  <r>
    <s v="YGarridoS@agricolachira.com.pe"/>
    <x v="3"/>
    <x v="2"/>
    <x v="3"/>
    <x v="7"/>
    <x v="3"/>
  </r>
  <r>
    <s v="VRequelmeS@agricolachira.com.pe"/>
    <x v="3"/>
    <x v="3"/>
    <x v="1"/>
    <x v="2"/>
    <x v="1"/>
  </r>
  <r>
    <s v="JCheroPa@agricolachira.com.pe"/>
    <x v="3"/>
    <x v="0"/>
    <x v="1"/>
    <x v="9"/>
    <x v="1"/>
  </r>
  <r>
    <s v="MMartinezP@agricolachira.com.pe"/>
    <x v="3"/>
    <x v="1"/>
    <x v="1"/>
    <x v="10"/>
    <x v="1"/>
  </r>
  <r>
    <s v="JMioA@agricolachira.com.pe"/>
    <x v="3"/>
    <x v="0"/>
    <x v="4"/>
    <x v="11"/>
    <x v="4"/>
  </r>
  <r>
    <s v="ptrigoso@agricolachira.com.pe"/>
    <x v="3"/>
    <x v="0"/>
    <x v="3"/>
    <x v="12"/>
    <x v="3"/>
  </r>
  <r>
    <s v="DZuritaF@agricolachira.com.pe"/>
    <x v="3"/>
    <x v="3"/>
    <x v="1"/>
    <x v="4"/>
    <x v="1"/>
  </r>
  <r>
    <s v="JArevaloga@agricolachira.com.pe"/>
    <x v="3"/>
    <x v="1"/>
    <x v="0"/>
    <x v="13"/>
    <x v="0"/>
  </r>
  <r>
    <s v="AFloresD@agricolachira.com.pe"/>
    <x v="3"/>
    <x v="0"/>
    <x v="2"/>
    <x v="14"/>
    <x v="2"/>
  </r>
  <r>
    <s v="MVegaY@agricolachira.com.pe"/>
    <x v="3"/>
    <x v="0"/>
    <x v="3"/>
    <x v="6"/>
    <x v="3"/>
  </r>
  <r>
    <s v="LGarciaC@agricolachira.com.pe"/>
    <x v="3"/>
    <x v="2"/>
    <x v="3"/>
    <x v="5"/>
    <x v="3"/>
  </r>
  <r>
    <s v="SMerinoV@agricolachira.com.pe"/>
    <x v="3"/>
    <x v="1"/>
    <x v="1"/>
    <x v="2"/>
    <x v="1"/>
  </r>
  <r>
    <s v="JMogollonC@agricolachira.com.pe"/>
    <x v="3"/>
    <x v="0"/>
    <x v="3"/>
    <x v="15"/>
    <x v="3"/>
  </r>
  <r>
    <s v="WChavezS@agricolachira.com.pe"/>
    <x v="3"/>
    <x v="3"/>
    <x v="4"/>
    <x v="16"/>
    <x v="4"/>
  </r>
  <r>
    <s v="EArevaloJ@agricolachira.com.pe"/>
    <x v="3"/>
    <x v="3"/>
    <x v="1"/>
    <x v="17"/>
    <x v="1"/>
  </r>
  <r>
    <s v="JGomezAp@agricolachira.com.pe"/>
    <x v="3"/>
    <x v="1"/>
    <x v="1"/>
    <x v="18"/>
    <x v="1"/>
  </r>
  <r>
    <s v="JChaparroB@agricolachira.com.pe"/>
    <x v="3"/>
    <x v="1"/>
    <x v="1"/>
    <x v="9"/>
    <x v="1"/>
  </r>
  <r>
    <s v="WCarrascoA@agricolachira.com.pe"/>
    <x v="3"/>
    <x v="1"/>
    <x v="1"/>
    <x v="18"/>
    <x v="1"/>
  </r>
  <r>
    <s v="KZavaletaM@agricolachira.com.pe"/>
    <x v="3"/>
    <x v="1"/>
    <x v="1"/>
    <x v="10"/>
    <x v="1"/>
  </r>
  <r>
    <s v="YMoscolC@agricolachira.com.pe"/>
    <x v="3"/>
    <x v="3"/>
    <x v="3"/>
    <x v="19"/>
    <x v="3"/>
  </r>
  <r>
    <s v="lsipiona@agricolachira.com.pe"/>
    <x v="3"/>
    <x v="1"/>
    <x v="0"/>
    <x v="20"/>
    <x v="0"/>
  </r>
  <r>
    <s v="AAguilarMo@agricolachira.com.pe"/>
    <x v="3"/>
    <x v="3"/>
    <x v="1"/>
    <x v="9"/>
    <x v="1"/>
  </r>
  <r>
    <s v="LChanduviT@agricolachira.com.pe"/>
    <x v="3"/>
    <x v="1"/>
    <x v="1"/>
    <x v="10"/>
    <x v="1"/>
  </r>
  <r>
    <s v="NPizarroC@agricolachira.com.pe"/>
    <x v="3"/>
    <x v="1"/>
    <x v="3"/>
    <x v="8"/>
    <x v="3"/>
  </r>
  <r>
    <s v="jvasquezc@agricolachira.com.pe"/>
    <x v="3"/>
    <x v="0"/>
    <x v="1"/>
    <x v="18"/>
    <x v="1"/>
  </r>
  <r>
    <s v="HCruzA@agricolachira.com.pe"/>
    <x v="3"/>
    <x v="0"/>
    <x v="3"/>
    <x v="7"/>
    <x v="3"/>
  </r>
  <r>
    <s v="cfreym@agricolachira.com.pe"/>
    <x v="3"/>
    <x v="0"/>
    <x v="3"/>
    <x v="19"/>
    <x v="3"/>
  </r>
  <r>
    <s v="JIngaF@agricolachira.com.pe"/>
    <x v="3"/>
    <x v="1"/>
    <x v="1"/>
    <x v="18"/>
    <x v="1"/>
  </r>
  <r>
    <s v="EMartinezG@agricolachira.com.pe"/>
    <x v="3"/>
    <x v="0"/>
    <x v="0"/>
    <x v="21"/>
    <x v="0"/>
  </r>
  <r>
    <s v="JBayonaG@agricolachira.com.pe"/>
    <x v="3"/>
    <x v="3"/>
    <x v="1"/>
    <x v="9"/>
    <x v="1"/>
  </r>
  <r>
    <s v="AColomaL@agricolachira.com.pe"/>
    <x v="3"/>
    <x v="0"/>
    <x v="0"/>
    <x v="21"/>
    <x v="0"/>
  </r>
  <r>
    <s v="RTorresS@agricolachira.com.pe"/>
    <x v="3"/>
    <x v="0"/>
    <x v="4"/>
    <x v="11"/>
    <x v="4"/>
  </r>
  <r>
    <s v="CSosaL@agricolachira.com.pe"/>
    <x v="3"/>
    <x v="0"/>
    <x v="1"/>
    <x v="22"/>
    <x v="1"/>
  </r>
  <r>
    <s v="ABurneoL@agricolachira.com.pe"/>
    <x v="3"/>
    <x v="0"/>
    <x v="1"/>
    <x v="22"/>
    <x v="1"/>
  </r>
  <r>
    <s v="JNegronC@agricolachira.com.pe"/>
    <x v="3"/>
    <x v="0"/>
    <x v="4"/>
    <x v="11"/>
    <x v="4"/>
  </r>
  <r>
    <s v="JHidalgoS@agricolachira.com.pe"/>
    <x v="3"/>
    <x v="0"/>
    <x v="1"/>
    <x v="18"/>
    <x v="1"/>
  </r>
  <r>
    <s v="IFloresF@bioenergiadelchira.pe"/>
    <x v="3"/>
    <x v="0"/>
    <x v="2"/>
    <x v="23"/>
    <x v="2"/>
  </r>
  <r>
    <s v="jquevedoa@agricolachira.com.pe"/>
    <x v="3"/>
    <x v="0"/>
    <x v="1"/>
    <x v="24"/>
    <x v="1"/>
  </r>
  <r>
    <s v="USanchezF@agricolachira.com.pe"/>
    <x v="3"/>
    <x v="0"/>
    <x v="1"/>
    <x v="22"/>
    <x v="1"/>
  </r>
  <r>
    <s v="EMijahuancaG@agricolachira.com.pe"/>
    <x v="3"/>
    <x v="1"/>
    <x v="3"/>
    <x v="25"/>
    <x v="3"/>
  </r>
  <r>
    <s v="AGuldenG@agricolachira.com.pe"/>
    <x v="3"/>
    <x v="1"/>
    <x v="4"/>
    <x v="26"/>
    <x v="4"/>
  </r>
  <r>
    <s v="JRojasBarr@agricolachira.com.pe"/>
    <x v="3"/>
    <x v="0"/>
    <x v="4"/>
    <x v="27"/>
    <x v="4"/>
  </r>
  <r>
    <s v="AVilelaJ@agricolachira.com.pe"/>
    <x v="3"/>
    <x v="1"/>
    <x v="1"/>
    <x v="2"/>
    <x v="1"/>
  </r>
  <r>
    <s v="JLaraMa@agricolachira.com.pe"/>
    <x v="3"/>
    <x v="0"/>
    <x v="1"/>
    <x v="9"/>
    <x v="1"/>
  </r>
  <r>
    <s v="AGutierrezR@agricolachira.com.pe"/>
    <x v="3"/>
    <x v="1"/>
    <x v="3"/>
    <x v="19"/>
    <x v="3"/>
  </r>
  <r>
    <s v="JAquijeD@agricolachira.com.pe"/>
    <x v="3"/>
    <x v="0"/>
    <x v="4"/>
    <x v="27"/>
    <x v="4"/>
  </r>
  <r>
    <s v="ALachiraP@agricolachira.com.pe"/>
    <x v="3"/>
    <x v="0"/>
    <x v="3"/>
    <x v="7"/>
    <x v="3"/>
  </r>
  <r>
    <s v="jjimenezc@agricolachira.com.pe"/>
    <x v="3"/>
    <x v="1"/>
    <x v="0"/>
    <x v="20"/>
    <x v="0"/>
  </r>
  <r>
    <s v="BGonzalesM@agricolachira.com.pe"/>
    <x v="3"/>
    <x v="0"/>
    <x v="3"/>
    <x v="15"/>
    <x v="3"/>
  </r>
  <r>
    <s v="VAntezanaM@agricolachira.com.pe"/>
    <x v="3"/>
    <x v="1"/>
    <x v="1"/>
    <x v="24"/>
    <x v="1"/>
  </r>
  <r>
    <s v="HBorjaT@agricolachira.com.pe"/>
    <x v="3"/>
    <x v="3"/>
    <x v="2"/>
    <x v="3"/>
    <x v="2"/>
  </r>
  <r>
    <s v="GPenaP@agricolachira.com.pe"/>
    <x v="3"/>
    <x v="1"/>
    <x v="4"/>
    <x v="26"/>
    <x v="4"/>
  </r>
  <r>
    <s v="ovasquezp@agricolachira.com.pe"/>
    <x v="3"/>
    <x v="0"/>
    <x v="4"/>
    <x v="28"/>
    <x v="4"/>
  </r>
  <r>
    <s v="NHansenG@agricolachira.com.pe"/>
    <x v="3"/>
    <x v="0"/>
    <x v="4"/>
    <x v="11"/>
    <x v="4"/>
  </r>
  <r>
    <s v="LVillarF@agricolachira.com.pe"/>
    <x v="3"/>
    <x v="0"/>
    <x v="2"/>
    <x v="29"/>
    <x v="2"/>
  </r>
  <r>
    <s v="DGameroS@agricolachira.com.pe"/>
    <x v="3"/>
    <x v="3"/>
    <x v="2"/>
    <x v="14"/>
    <x v="2"/>
  </r>
  <r>
    <s v="JEstelaF@agricolachira.com.pe"/>
    <x v="3"/>
    <x v="0"/>
    <x v="3"/>
    <x v="6"/>
    <x v="3"/>
  </r>
  <r>
    <s v="DFloreanoP@agricolachira.com.pe"/>
    <x v="3"/>
    <x v="3"/>
    <x v="1"/>
    <x v="9"/>
    <x v="1"/>
  </r>
  <r>
    <s v="PMarroquinR@agricolachira.com.pe"/>
    <x v="3"/>
    <x v="0"/>
    <x v="4"/>
    <x v="30"/>
    <x v="4"/>
  </r>
  <r>
    <s v="jbacilioh@agricolachira.com.pe"/>
    <x v="3"/>
    <x v="0"/>
    <x v="4"/>
    <x v="31"/>
    <x v="4"/>
  </r>
  <r>
    <s v="OMontenegroC@agricolachira.com.pe"/>
    <x v="3"/>
    <x v="1"/>
    <x v="3"/>
    <x v="19"/>
    <x v="3"/>
  </r>
  <r>
    <s v="SSanchezV@agricolachira.com.pe"/>
    <x v="3"/>
    <x v="0"/>
    <x v="1"/>
    <x v="22"/>
    <x v="1"/>
  </r>
  <r>
    <s v="EAmesM@agricolachira.com.pe"/>
    <x v="3"/>
    <x v="3"/>
    <x v="0"/>
    <x v="32"/>
    <x v="0"/>
  </r>
  <r>
    <s v="JMendozaG@agricolachira.com.pe"/>
    <x v="3"/>
    <x v="1"/>
    <x v="0"/>
    <x v="13"/>
    <x v="0"/>
  </r>
  <r>
    <s v="LRodriguezC@agricolachira.com.pe"/>
    <x v="3"/>
    <x v="3"/>
    <x v="0"/>
    <x v="33"/>
    <x v="0"/>
  </r>
  <r>
    <s v="JPichilinguP@agricolachira.com.pe"/>
    <x v="3"/>
    <x v="3"/>
    <x v="3"/>
    <x v="19"/>
    <x v="3"/>
  </r>
  <r>
    <s v="LTimanaT@agricolachira.com.pe"/>
    <x v="3"/>
    <x v="0"/>
    <x v="1"/>
    <x v="9"/>
    <x v="1"/>
  </r>
  <r>
    <s v="RLupucheQ@agricolachira.com.pe"/>
    <x v="3"/>
    <x v="3"/>
    <x v="4"/>
    <x v="31"/>
    <x v="4"/>
  </r>
  <r>
    <s v="MVillegasJ@agricolachira.com.pe"/>
    <x v="3"/>
    <x v="1"/>
    <x v="1"/>
    <x v="24"/>
    <x v="1"/>
  </r>
  <r>
    <s v="RMoncadaP@agricolachira.com.pe"/>
    <x v="3"/>
    <x v="1"/>
    <x v="1"/>
    <x v="22"/>
    <x v="1"/>
  </r>
  <r>
    <s v="JCalderonChu@agricolachira.com.pe"/>
    <x v="3"/>
    <x v="3"/>
    <x v="2"/>
    <x v="14"/>
    <x v="2"/>
  </r>
  <r>
    <s v="AVasquezM@agricolachira.com.pe"/>
    <x v="3"/>
    <x v="1"/>
    <x v="2"/>
    <x v="29"/>
    <x v="2"/>
  </r>
  <r>
    <s v="RGarciaFe@agricolachira.com.pe"/>
    <x v="3"/>
    <x v="1"/>
    <x v="1"/>
    <x v="10"/>
    <x v="1"/>
  </r>
  <r>
    <s v="VAbadP@agricolachira.com.pe"/>
    <x v="3"/>
    <x v="1"/>
    <x v="1"/>
    <x v="10"/>
    <x v="1"/>
  </r>
  <r>
    <s v="AAdanaqueE@agricolachira.com.pe"/>
    <x v="3"/>
    <x v="1"/>
    <x v="0"/>
    <x v="21"/>
    <x v="0"/>
  </r>
  <r>
    <s v="PSuncionZ@agricolachira.com.pe"/>
    <x v="3"/>
    <x v="1"/>
    <x v="0"/>
    <x v="21"/>
    <x v="0"/>
  </r>
  <r>
    <s v="CLupucheV@agricolachira.com.pe"/>
    <x v="3"/>
    <x v="3"/>
    <x v="4"/>
    <x v="26"/>
    <x v="4"/>
  </r>
  <r>
    <s v="MDiazTa@agricolachira.com.pe"/>
    <x v="3"/>
    <x v="1"/>
    <x v="1"/>
    <x v="2"/>
    <x v="1"/>
  </r>
  <r>
    <s v="LOcanaP@agricolachira.com.pe"/>
    <x v="3"/>
    <x v="2"/>
    <x v="1"/>
    <x v="22"/>
    <x v="1"/>
  </r>
  <r>
    <s v="creyesy@agricolachira.com.pe"/>
    <x v="3"/>
    <x v="0"/>
    <x v="2"/>
    <x v="34"/>
    <x v="2"/>
  </r>
  <r>
    <s v="CVivancoM@agricolachira.com.pe"/>
    <x v="3"/>
    <x v="4"/>
    <x v="1"/>
    <x v="35"/>
    <x v="1"/>
  </r>
  <r>
    <s v="CRamosG@agricolachira.com.pe"/>
    <x v="4"/>
    <x v="0"/>
    <x v="0"/>
    <x v="0"/>
    <x v="0"/>
  </r>
  <r>
    <s v="HMocarroC@agricolachira.com.pe"/>
    <x v="4"/>
    <x v="1"/>
    <x v="1"/>
    <x v="1"/>
    <x v="1"/>
  </r>
  <r>
    <s v="LOlayaLe@agricolachira.com.pe"/>
    <x v="4"/>
    <x v="2"/>
    <x v="1"/>
    <x v="2"/>
    <x v="1"/>
  </r>
  <r>
    <s v="CCarrilloR@agricolachira.com.pe"/>
    <x v="4"/>
    <x v="0"/>
    <x v="2"/>
    <x v="3"/>
    <x v="2"/>
  </r>
  <r>
    <s v="KOtinianoP@agricolachira.com.pe"/>
    <x v="4"/>
    <x v="0"/>
    <x v="1"/>
    <x v="4"/>
    <x v="1"/>
  </r>
  <r>
    <s v="VLopezS@agricolachira.com.pe"/>
    <x v="4"/>
    <x v="0"/>
    <x v="3"/>
    <x v="5"/>
    <x v="3"/>
  </r>
  <r>
    <s v="JCobenasS@agricolachira.com.pe"/>
    <x v="4"/>
    <x v="0"/>
    <x v="3"/>
    <x v="6"/>
    <x v="3"/>
  </r>
  <r>
    <s v="DCheroN@agricolachira.com.pe"/>
    <x v="4"/>
    <x v="1"/>
    <x v="3"/>
    <x v="7"/>
    <x v="3"/>
  </r>
  <r>
    <s v="ABlancoE@agricolachira.com.pe"/>
    <x v="4"/>
    <x v="0"/>
    <x v="3"/>
    <x v="8"/>
    <x v="3"/>
  </r>
  <r>
    <s v="YGarridoS@agricolachira.com.pe"/>
    <x v="4"/>
    <x v="0"/>
    <x v="3"/>
    <x v="7"/>
    <x v="3"/>
  </r>
  <r>
    <s v="VRequelmeS@agricolachira.com.pe"/>
    <x v="4"/>
    <x v="2"/>
    <x v="1"/>
    <x v="2"/>
    <x v="1"/>
  </r>
  <r>
    <s v="JCheroPa@agricolachira.com.pe"/>
    <x v="4"/>
    <x v="0"/>
    <x v="1"/>
    <x v="9"/>
    <x v="1"/>
  </r>
  <r>
    <s v="MMartinezP@agricolachira.com.pe"/>
    <x v="4"/>
    <x v="1"/>
    <x v="1"/>
    <x v="10"/>
    <x v="1"/>
  </r>
  <r>
    <s v="JMioA@agricolachira.com.pe"/>
    <x v="4"/>
    <x v="2"/>
    <x v="4"/>
    <x v="11"/>
    <x v="4"/>
  </r>
  <r>
    <s v="ptrigoso@agricolachira.com.pe"/>
    <x v="4"/>
    <x v="2"/>
    <x v="3"/>
    <x v="12"/>
    <x v="3"/>
  </r>
  <r>
    <s v="DZuritaF@agricolachira.com.pe"/>
    <x v="4"/>
    <x v="3"/>
    <x v="1"/>
    <x v="4"/>
    <x v="1"/>
  </r>
  <r>
    <s v="JArevaloga@agricolachira.com.pe"/>
    <x v="4"/>
    <x v="1"/>
    <x v="0"/>
    <x v="13"/>
    <x v="0"/>
  </r>
  <r>
    <s v="AFloresD@agricolachira.com.pe"/>
    <x v="4"/>
    <x v="0"/>
    <x v="2"/>
    <x v="14"/>
    <x v="2"/>
  </r>
  <r>
    <s v="MVegaY@agricolachira.com.pe"/>
    <x v="4"/>
    <x v="0"/>
    <x v="3"/>
    <x v="6"/>
    <x v="3"/>
  </r>
  <r>
    <s v="LGarciaC@agricolachira.com.pe"/>
    <x v="4"/>
    <x v="0"/>
    <x v="3"/>
    <x v="5"/>
    <x v="3"/>
  </r>
  <r>
    <s v="SMerinoV@agricolachira.com.pe"/>
    <x v="4"/>
    <x v="1"/>
    <x v="1"/>
    <x v="2"/>
    <x v="1"/>
  </r>
  <r>
    <s v="JMogollonC@agricolachira.com.pe"/>
    <x v="4"/>
    <x v="3"/>
    <x v="3"/>
    <x v="15"/>
    <x v="3"/>
  </r>
  <r>
    <s v="WChavezS@agricolachira.com.pe"/>
    <x v="4"/>
    <x v="0"/>
    <x v="4"/>
    <x v="16"/>
    <x v="4"/>
  </r>
  <r>
    <s v="EArevaloJ@agricolachira.com.pe"/>
    <x v="4"/>
    <x v="1"/>
    <x v="1"/>
    <x v="17"/>
    <x v="1"/>
  </r>
  <r>
    <s v="JGomezAp@agricolachira.com.pe"/>
    <x v="4"/>
    <x v="1"/>
    <x v="1"/>
    <x v="18"/>
    <x v="1"/>
  </r>
  <r>
    <s v="JChaparroB@agricolachira.com.pe"/>
    <x v="4"/>
    <x v="1"/>
    <x v="1"/>
    <x v="9"/>
    <x v="1"/>
  </r>
  <r>
    <s v="WCarrascoA@agricolachira.com.pe"/>
    <x v="4"/>
    <x v="2"/>
    <x v="1"/>
    <x v="18"/>
    <x v="1"/>
  </r>
  <r>
    <s v="KZavaletaM@agricolachira.com.pe"/>
    <x v="4"/>
    <x v="1"/>
    <x v="1"/>
    <x v="10"/>
    <x v="1"/>
  </r>
  <r>
    <s v="YMoscolC@agricolachira.com.pe"/>
    <x v="4"/>
    <x v="1"/>
    <x v="3"/>
    <x v="19"/>
    <x v="3"/>
  </r>
  <r>
    <s v="lsipiona@agricolachira.com.pe"/>
    <x v="4"/>
    <x v="1"/>
    <x v="0"/>
    <x v="20"/>
    <x v="0"/>
  </r>
  <r>
    <s v="AAguilarMo@agricolachira.com.pe"/>
    <x v="4"/>
    <x v="1"/>
    <x v="1"/>
    <x v="9"/>
    <x v="1"/>
  </r>
  <r>
    <s v="LChanduviT@agricolachira.com.pe"/>
    <x v="4"/>
    <x v="1"/>
    <x v="1"/>
    <x v="10"/>
    <x v="1"/>
  </r>
  <r>
    <s v="NPizarroC@agricolachira.com.pe"/>
    <x v="4"/>
    <x v="1"/>
    <x v="3"/>
    <x v="8"/>
    <x v="3"/>
  </r>
  <r>
    <s v="jvasquezc@agricolachira.com.pe"/>
    <x v="4"/>
    <x v="2"/>
    <x v="1"/>
    <x v="18"/>
    <x v="1"/>
  </r>
  <r>
    <s v="HCruzA@agricolachira.com.pe"/>
    <x v="4"/>
    <x v="0"/>
    <x v="3"/>
    <x v="7"/>
    <x v="3"/>
  </r>
  <r>
    <s v="cfreym@agricolachira.com.pe"/>
    <x v="4"/>
    <x v="0"/>
    <x v="3"/>
    <x v="19"/>
    <x v="3"/>
  </r>
  <r>
    <s v="JIngaF@agricolachira.com.pe"/>
    <x v="4"/>
    <x v="1"/>
    <x v="1"/>
    <x v="18"/>
    <x v="1"/>
  </r>
  <r>
    <s v="EMartinezG@agricolachira.com.pe"/>
    <x v="4"/>
    <x v="0"/>
    <x v="0"/>
    <x v="21"/>
    <x v="0"/>
  </r>
  <r>
    <s v="JBayonaG@agricolachira.com.pe"/>
    <x v="4"/>
    <x v="3"/>
    <x v="1"/>
    <x v="9"/>
    <x v="1"/>
  </r>
  <r>
    <s v="AColomaL@agricolachira.com.pe"/>
    <x v="4"/>
    <x v="0"/>
    <x v="0"/>
    <x v="21"/>
    <x v="0"/>
  </r>
  <r>
    <s v="RTorresS@agricolachira.com.pe"/>
    <x v="4"/>
    <x v="0"/>
    <x v="4"/>
    <x v="11"/>
    <x v="4"/>
  </r>
  <r>
    <s v="CSosaL@agricolachira.com.pe"/>
    <x v="4"/>
    <x v="0"/>
    <x v="1"/>
    <x v="22"/>
    <x v="1"/>
  </r>
  <r>
    <s v="ABurneoL@agricolachira.com.pe"/>
    <x v="4"/>
    <x v="0"/>
    <x v="1"/>
    <x v="22"/>
    <x v="1"/>
  </r>
  <r>
    <s v="JNegronC@agricolachira.com.pe"/>
    <x v="4"/>
    <x v="0"/>
    <x v="4"/>
    <x v="11"/>
    <x v="4"/>
  </r>
  <r>
    <s v="JHidalgoS@agricolachira.com.pe"/>
    <x v="4"/>
    <x v="1"/>
    <x v="1"/>
    <x v="18"/>
    <x v="1"/>
  </r>
  <r>
    <s v="IFloresF@bioenergiadelchira.pe"/>
    <x v="4"/>
    <x v="0"/>
    <x v="2"/>
    <x v="23"/>
    <x v="2"/>
  </r>
  <r>
    <s v="jquevedoa@agricolachira.com.pe"/>
    <x v="4"/>
    <x v="0"/>
    <x v="1"/>
    <x v="24"/>
    <x v="1"/>
  </r>
  <r>
    <s v="USanchezF@agricolachira.com.pe"/>
    <x v="4"/>
    <x v="3"/>
    <x v="1"/>
    <x v="22"/>
    <x v="1"/>
  </r>
  <r>
    <s v="EMijahuancaG@agricolachira.com.pe"/>
    <x v="4"/>
    <x v="1"/>
    <x v="3"/>
    <x v="25"/>
    <x v="3"/>
  </r>
  <r>
    <s v="AGuldenG@agricolachira.com.pe"/>
    <x v="4"/>
    <x v="0"/>
    <x v="4"/>
    <x v="26"/>
    <x v="4"/>
  </r>
  <r>
    <s v="JRojasBarr@agricolachira.com.pe"/>
    <x v="4"/>
    <x v="3"/>
    <x v="4"/>
    <x v="27"/>
    <x v="4"/>
  </r>
  <r>
    <s v="AVilelaJ@agricolachira.com.pe"/>
    <x v="4"/>
    <x v="1"/>
    <x v="1"/>
    <x v="2"/>
    <x v="1"/>
  </r>
  <r>
    <s v="JLaraMa@agricolachira.com.pe"/>
    <x v="4"/>
    <x v="4"/>
    <x v="1"/>
    <x v="9"/>
    <x v="1"/>
  </r>
  <r>
    <s v="AGutierrezR@agricolachira.com.pe"/>
    <x v="4"/>
    <x v="1"/>
    <x v="3"/>
    <x v="19"/>
    <x v="3"/>
  </r>
  <r>
    <s v="JAquijeD@agricolachira.com.pe"/>
    <x v="4"/>
    <x v="0"/>
    <x v="4"/>
    <x v="27"/>
    <x v="4"/>
  </r>
  <r>
    <s v="ALachiraP@agricolachira.com.pe"/>
    <x v="4"/>
    <x v="0"/>
    <x v="3"/>
    <x v="7"/>
    <x v="3"/>
  </r>
  <r>
    <s v="jjimenezc@agricolachira.com.pe"/>
    <x v="4"/>
    <x v="1"/>
    <x v="0"/>
    <x v="20"/>
    <x v="0"/>
  </r>
  <r>
    <s v="BGonzalesM@agricolachira.com.pe"/>
    <x v="4"/>
    <x v="1"/>
    <x v="3"/>
    <x v="15"/>
    <x v="3"/>
  </r>
  <r>
    <s v="VAntezanaM@agricolachira.com.pe"/>
    <x v="4"/>
    <x v="1"/>
    <x v="1"/>
    <x v="24"/>
    <x v="1"/>
  </r>
  <r>
    <s v="HBorjaT@agricolachira.com.pe"/>
    <x v="4"/>
    <x v="0"/>
    <x v="2"/>
    <x v="3"/>
    <x v="2"/>
  </r>
  <r>
    <s v="GPenaP@agricolachira.com.pe"/>
    <x v="4"/>
    <x v="1"/>
    <x v="4"/>
    <x v="26"/>
    <x v="4"/>
  </r>
  <r>
    <s v="ovasquezp@agricolachira.com.pe"/>
    <x v="4"/>
    <x v="1"/>
    <x v="4"/>
    <x v="28"/>
    <x v="4"/>
  </r>
  <r>
    <s v="NHansenG@agricolachira.com.pe"/>
    <x v="4"/>
    <x v="3"/>
    <x v="4"/>
    <x v="11"/>
    <x v="4"/>
  </r>
  <r>
    <s v="LVillarF@agricolachira.com.pe"/>
    <x v="4"/>
    <x v="0"/>
    <x v="2"/>
    <x v="29"/>
    <x v="2"/>
  </r>
  <r>
    <s v="DGameroS@agricolachira.com.pe"/>
    <x v="4"/>
    <x v="0"/>
    <x v="2"/>
    <x v="14"/>
    <x v="2"/>
  </r>
  <r>
    <s v="JEstelaF@agricolachira.com.pe"/>
    <x v="4"/>
    <x v="0"/>
    <x v="3"/>
    <x v="6"/>
    <x v="3"/>
  </r>
  <r>
    <s v="DFloreanoP@agricolachira.com.pe"/>
    <x v="4"/>
    <x v="1"/>
    <x v="1"/>
    <x v="9"/>
    <x v="1"/>
  </r>
  <r>
    <s v="PMarroquinR@agricolachira.com.pe"/>
    <x v="4"/>
    <x v="0"/>
    <x v="4"/>
    <x v="30"/>
    <x v="4"/>
  </r>
  <r>
    <s v="jbacilioh@agricolachira.com.pe"/>
    <x v="4"/>
    <x v="3"/>
    <x v="4"/>
    <x v="31"/>
    <x v="4"/>
  </r>
  <r>
    <s v="OMontenegroC@agricolachira.com.pe"/>
    <x v="4"/>
    <x v="1"/>
    <x v="3"/>
    <x v="19"/>
    <x v="3"/>
  </r>
  <r>
    <s v="SSanchezV@agricolachira.com.pe"/>
    <x v="4"/>
    <x v="0"/>
    <x v="1"/>
    <x v="22"/>
    <x v="1"/>
  </r>
  <r>
    <s v="EAmesM@agricolachira.com.pe"/>
    <x v="4"/>
    <x v="1"/>
    <x v="0"/>
    <x v="32"/>
    <x v="0"/>
  </r>
  <r>
    <s v="JMendozaG@agricolachira.com.pe"/>
    <x v="4"/>
    <x v="1"/>
    <x v="0"/>
    <x v="13"/>
    <x v="0"/>
  </r>
  <r>
    <s v="LRodriguezC@agricolachira.com.pe"/>
    <x v="4"/>
    <x v="1"/>
    <x v="0"/>
    <x v="33"/>
    <x v="0"/>
  </r>
  <r>
    <s v="JPichilinguP@agricolachira.com.pe"/>
    <x v="4"/>
    <x v="4"/>
    <x v="3"/>
    <x v="19"/>
    <x v="3"/>
  </r>
  <r>
    <s v="LTimanaT@agricolachira.com.pe"/>
    <x v="4"/>
    <x v="1"/>
    <x v="1"/>
    <x v="9"/>
    <x v="1"/>
  </r>
  <r>
    <s v="RLupucheQ@agricolachira.com.pe"/>
    <x v="4"/>
    <x v="1"/>
    <x v="4"/>
    <x v="31"/>
    <x v="4"/>
  </r>
  <r>
    <s v="MVillegasJ@agricolachira.com.pe"/>
    <x v="4"/>
    <x v="0"/>
    <x v="1"/>
    <x v="24"/>
    <x v="1"/>
  </r>
  <r>
    <s v="RMoncadaP@agricolachira.com.pe"/>
    <x v="4"/>
    <x v="1"/>
    <x v="1"/>
    <x v="22"/>
    <x v="1"/>
  </r>
  <r>
    <s v="JCalderonChu@agricolachira.com.pe"/>
    <x v="4"/>
    <x v="2"/>
    <x v="2"/>
    <x v="14"/>
    <x v="2"/>
  </r>
  <r>
    <s v="AVasquezM@agricolachira.com.pe"/>
    <x v="4"/>
    <x v="3"/>
    <x v="2"/>
    <x v="29"/>
    <x v="2"/>
  </r>
  <r>
    <s v="RGarciaFe@agricolachira.com.pe"/>
    <x v="4"/>
    <x v="1"/>
    <x v="1"/>
    <x v="10"/>
    <x v="1"/>
  </r>
  <r>
    <s v="VAbadP@agricolachira.com.pe"/>
    <x v="4"/>
    <x v="1"/>
    <x v="1"/>
    <x v="10"/>
    <x v="1"/>
  </r>
  <r>
    <s v="AAdanaqueE@agricolachira.com.pe"/>
    <x v="4"/>
    <x v="1"/>
    <x v="0"/>
    <x v="21"/>
    <x v="0"/>
  </r>
  <r>
    <s v="PSuncionZ@agricolachira.com.pe"/>
    <x v="4"/>
    <x v="1"/>
    <x v="0"/>
    <x v="21"/>
    <x v="0"/>
  </r>
  <r>
    <s v="CLupucheV@agricolachira.com.pe"/>
    <x v="4"/>
    <x v="1"/>
    <x v="4"/>
    <x v="26"/>
    <x v="4"/>
  </r>
  <r>
    <s v="MDiazTa@agricolachira.com.pe"/>
    <x v="4"/>
    <x v="1"/>
    <x v="1"/>
    <x v="2"/>
    <x v="1"/>
  </r>
  <r>
    <s v="LOcanaP@agricolachira.com.pe"/>
    <x v="4"/>
    <x v="0"/>
    <x v="1"/>
    <x v="22"/>
    <x v="1"/>
  </r>
  <r>
    <s v="creyesy@agricolachira.com.pe"/>
    <x v="4"/>
    <x v="0"/>
    <x v="2"/>
    <x v="34"/>
    <x v="2"/>
  </r>
  <r>
    <s v="CVivancoM@agricolachira.com.pe"/>
    <x v="4"/>
    <x v="0"/>
    <x v="1"/>
    <x v="35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s v="CRamosG@agricolachira.com.pe"/>
    <x v="0"/>
    <n v="4"/>
    <s v="Gestión Humana y Sostenibilidad"/>
    <x v="0"/>
  </r>
  <r>
    <s v="HMocarroC@agricolachira.com.pe"/>
    <x v="0"/>
    <n v="5"/>
    <s v="Administración y Finanzas"/>
    <x v="1"/>
  </r>
  <r>
    <s v="LOlayaLe@agricolachira.com.pe"/>
    <x v="0"/>
    <n v="3"/>
    <s v="Administración y Finanzas"/>
    <x v="2"/>
  </r>
  <r>
    <s v="CCarrilloR@agricolachira.com.pe"/>
    <x v="0"/>
    <s v="X"/>
    <s v="Industrial y de Mantenimiento"/>
    <x v="3"/>
  </r>
  <r>
    <s v="KOtinianoP@agricolachira.com.pe"/>
    <x v="0"/>
    <n v="3"/>
    <s v="Administración y Finanzas"/>
    <x v="4"/>
  </r>
  <r>
    <s v="VLopezS@agricolachira.com.pe"/>
    <x v="0"/>
    <n v="4"/>
    <s v="Operaciones"/>
    <x v="5"/>
  </r>
  <r>
    <s v="JCobenasS@agricolachira.com.pe"/>
    <x v="0"/>
    <n v="4"/>
    <s v="Operaciones"/>
    <x v="6"/>
  </r>
  <r>
    <s v="DCheroN@agricolachira.com.pe"/>
    <x v="0"/>
    <n v="5"/>
    <s v="Operaciones"/>
    <x v="7"/>
  </r>
  <r>
    <s v="ABlancoE@agricolachira.com.pe"/>
    <x v="0"/>
    <n v="5"/>
    <s v="Operaciones"/>
    <x v="8"/>
  </r>
  <r>
    <s v="YGarridoS@agricolachira.com.pe"/>
    <x v="0"/>
    <n v="5"/>
    <s v="Operaciones"/>
    <x v="7"/>
  </r>
  <r>
    <s v="VRequelmeS@agricolachira.com.pe"/>
    <x v="0"/>
    <s v="X"/>
    <s v="Administración y Finanzas"/>
    <x v="2"/>
  </r>
  <r>
    <s v="JCheroPa@agricolachira.com.pe"/>
    <x v="0"/>
    <s v="X"/>
    <s v="Administración y Finanzas"/>
    <x v="9"/>
  </r>
  <r>
    <s v="MMartinezP@agricolachira.com.pe"/>
    <x v="0"/>
    <n v="5"/>
    <s v="Administración y Finanzas"/>
    <x v="10"/>
  </r>
  <r>
    <s v="JMioA@agricolachira.com.pe"/>
    <x v="0"/>
    <n v="4"/>
    <s v="Agrícola"/>
    <x v="11"/>
  </r>
  <r>
    <s v="ptrigoso@agricolachira.com.pe"/>
    <x v="0"/>
    <s v="X"/>
    <s v="Operaciones"/>
    <x v="12"/>
  </r>
  <r>
    <s v="DZuritaF@agricolachira.com.pe"/>
    <x v="0"/>
    <n v="4"/>
    <s v="Administración y Finanzas"/>
    <x v="4"/>
  </r>
  <r>
    <s v="JArevaloga@agricolachira.com.pe"/>
    <x v="0"/>
    <n v="5"/>
    <s v="Gestión Humana y Sostenibilidad"/>
    <x v="13"/>
  </r>
  <r>
    <s v="AFloresD@agricolachira.com.pe"/>
    <x v="0"/>
    <n v="4"/>
    <s v="Industrial y de Mantenimiento"/>
    <x v="14"/>
  </r>
  <r>
    <s v="MVegaY@agricolachira.com.pe"/>
    <x v="0"/>
    <n v="4"/>
    <s v="Operaciones"/>
    <x v="6"/>
  </r>
  <r>
    <s v="LGarciaC@agricolachira.com.pe"/>
    <x v="0"/>
    <s v="X"/>
    <s v="Operaciones"/>
    <x v="5"/>
  </r>
  <r>
    <s v="SMerinoV@agricolachira.com.pe"/>
    <x v="0"/>
    <n v="5"/>
    <s v="Administración y Finanzas"/>
    <x v="2"/>
  </r>
  <r>
    <s v="JMogollonC@agricolachira.com.pe"/>
    <x v="0"/>
    <s v="X"/>
    <s v="Operaciones"/>
    <x v="15"/>
  </r>
  <r>
    <s v="WChavezS@agricolachira.com.pe"/>
    <x v="0"/>
    <s v="X"/>
    <s v="Agrícola"/>
    <x v="16"/>
  </r>
  <r>
    <s v="EArevaloJ@agricolachira.com.pe"/>
    <x v="0"/>
    <n v="5"/>
    <s v="Administración y Finanzas"/>
    <x v="17"/>
  </r>
  <r>
    <s v="JGomezAp@agricolachira.com.pe"/>
    <x v="0"/>
    <n v="5"/>
    <s v="Administración y Finanzas"/>
    <x v="18"/>
  </r>
  <r>
    <s v="JChaparroB@agricolachira.com.pe"/>
    <x v="0"/>
    <n v="5"/>
    <s v="Administración y Finanzas"/>
    <x v="9"/>
  </r>
  <r>
    <s v="WCarrascoA@agricolachira.com.pe"/>
    <x v="0"/>
    <n v="4"/>
    <s v="Administración y Finanzas"/>
    <x v="18"/>
  </r>
  <r>
    <s v="KZavaletaM@agricolachira.com.pe"/>
    <x v="0"/>
    <n v="5"/>
    <s v="Administración y Finanzas"/>
    <x v="10"/>
  </r>
  <r>
    <s v="YMoscolC@agricolachira.com.pe"/>
    <x v="0"/>
    <n v="5"/>
    <s v="Operaciones"/>
    <x v="19"/>
  </r>
  <r>
    <s v="lsipiona@agricolachira.com.pe"/>
    <x v="0"/>
    <n v="5"/>
    <s v="Gestión Humana y Sostenibilidad"/>
    <x v="20"/>
  </r>
  <r>
    <s v="AAguilarMo@agricolachira.com.pe"/>
    <x v="0"/>
    <s v="X"/>
    <s v="Administración y Finanzas"/>
    <x v="9"/>
  </r>
  <r>
    <s v="LChanduviT@agricolachira.com.pe"/>
    <x v="0"/>
    <n v="5"/>
    <s v="Administración y Finanzas"/>
    <x v="10"/>
  </r>
  <r>
    <s v="NPizarroC@agricolachira.com.pe"/>
    <x v="0"/>
    <n v="5"/>
    <s v="Operaciones"/>
    <x v="8"/>
  </r>
  <r>
    <s v="jvasquezc@agricolachira.com.pe"/>
    <x v="0"/>
    <n v="5"/>
    <s v="Administración y Finanzas"/>
    <x v="18"/>
  </r>
  <r>
    <s v="HCruzA@agricolachira.com.pe"/>
    <x v="0"/>
    <s v="X"/>
    <s v="Operaciones"/>
    <x v="7"/>
  </r>
  <r>
    <s v="cfreym@agricolachira.com.pe"/>
    <x v="0"/>
    <n v="5"/>
    <s v="Operaciones"/>
    <x v="19"/>
  </r>
  <r>
    <s v="JIngaF@agricolachira.com.pe"/>
    <x v="0"/>
    <n v="5"/>
    <s v="Administración y Finanzas"/>
    <x v="18"/>
  </r>
  <r>
    <s v="EMartinezG@agricolachira.com.pe"/>
    <x v="0"/>
    <n v="4"/>
    <s v="Gestión Humana y Sostenibilidad"/>
    <x v="21"/>
  </r>
  <r>
    <s v="JBayonaG@agricolachira.com.pe"/>
    <x v="0"/>
    <s v="X"/>
    <s v="Administración y Finanzas"/>
    <x v="9"/>
  </r>
  <r>
    <s v="AColomaL@agricolachira.com.pe"/>
    <x v="0"/>
    <n v="4"/>
    <s v="Gestión Humana y Sostenibilidad"/>
    <x v="21"/>
  </r>
  <r>
    <s v="RTorresS@agricolachira.com.pe"/>
    <x v="0"/>
    <n v="4"/>
    <s v="Agrícola"/>
    <x v="11"/>
  </r>
  <r>
    <s v="CSosaL@agricolachira.com.pe"/>
    <x v="0"/>
    <s v="X"/>
    <s v="Administración y Finanzas"/>
    <x v="22"/>
  </r>
  <r>
    <s v="ABurneoL@agricolachira.com.pe"/>
    <x v="0"/>
    <s v="X"/>
    <s v="Administración y Finanzas"/>
    <x v="22"/>
  </r>
  <r>
    <s v="JNegronC@agricolachira.com.pe"/>
    <x v="0"/>
    <n v="4"/>
    <s v="Agrícola"/>
    <x v="11"/>
  </r>
  <r>
    <s v="JHidalgoS@agricolachira.com.pe"/>
    <x v="0"/>
    <n v="4"/>
    <s v="Administración y Finanzas"/>
    <x v="18"/>
  </r>
  <r>
    <s v="IFloresF@bioenergiadelchira.pe"/>
    <x v="0"/>
    <n v="5"/>
    <s v="Industrial y de Mantenimiento"/>
    <x v="23"/>
  </r>
  <r>
    <s v="jquevedoa@agricolachira.com.pe"/>
    <x v="0"/>
    <n v="4"/>
    <s v="Administración y Finanzas"/>
    <x v="24"/>
  </r>
  <r>
    <s v="USanchezF@agricolachira.com.pe"/>
    <x v="0"/>
    <n v="4"/>
    <s v="Administración y Finanzas"/>
    <x v="22"/>
  </r>
  <r>
    <s v="EMijahuancaG@agricolachira.com.pe"/>
    <x v="0"/>
    <n v="5"/>
    <s v="Operaciones"/>
    <x v="25"/>
  </r>
  <r>
    <s v="AGuldenG@agricolachira.com.pe"/>
    <x v="0"/>
    <s v="X"/>
    <s v="Agrícola"/>
    <x v="26"/>
  </r>
  <r>
    <s v="JRojasBarr@agricolachira.com.pe"/>
    <x v="0"/>
    <s v="X"/>
    <s v="Agrícola"/>
    <x v="27"/>
  </r>
  <r>
    <s v="AVilelaJ@agricolachira.com.pe"/>
    <x v="0"/>
    <n v="5"/>
    <s v="Administración y Finanzas"/>
    <x v="2"/>
  </r>
  <r>
    <s v="JLaraMa@agricolachira.com.pe"/>
    <x v="0"/>
    <s v="X"/>
    <s v="Administración y Finanzas"/>
    <x v="9"/>
  </r>
  <r>
    <s v="AGutierrezR@agricolachira.com.pe"/>
    <x v="0"/>
    <n v="5"/>
    <s v="Operaciones"/>
    <x v="19"/>
  </r>
  <r>
    <s v="JAquijeD@agricolachira.com.pe"/>
    <x v="0"/>
    <n v="3"/>
    <s v="Agrícola"/>
    <x v="27"/>
  </r>
  <r>
    <s v="ALachiraP@agricolachira.com.pe"/>
    <x v="0"/>
    <n v="4"/>
    <s v="Operaciones"/>
    <x v="7"/>
  </r>
  <r>
    <s v="jjimenezc@agricolachira.com.pe"/>
    <x v="0"/>
    <n v="5"/>
    <s v="Gestión Humana y Sostenibilidad"/>
    <x v="20"/>
  </r>
  <r>
    <s v="BGonzalesM@agricolachira.com.pe"/>
    <x v="0"/>
    <n v="5"/>
    <s v="Operaciones"/>
    <x v="15"/>
  </r>
  <r>
    <s v="VAntezanaM@agricolachira.com.pe"/>
    <x v="0"/>
    <n v="5"/>
    <s v="Administración y Finanzas"/>
    <x v="24"/>
  </r>
  <r>
    <s v="HBorjaT@agricolachira.com.pe"/>
    <x v="0"/>
    <s v="X"/>
    <s v="Industrial y de Mantenimiento"/>
    <x v="3"/>
  </r>
  <r>
    <s v="GPenaP@agricolachira.com.pe"/>
    <x v="0"/>
    <n v="5"/>
    <s v="Agrícola"/>
    <x v="26"/>
  </r>
  <r>
    <s v="ovasquezp@agricolachira.com.pe"/>
    <x v="0"/>
    <s v="X"/>
    <s v="Agrícola"/>
    <x v="28"/>
  </r>
  <r>
    <s v="NHansenG@agricolachira.com.pe"/>
    <x v="0"/>
    <s v="X"/>
    <s v="Agrícola"/>
    <x v="11"/>
  </r>
  <r>
    <s v="LVillarF@agricolachira.com.pe"/>
    <x v="0"/>
    <n v="4"/>
    <s v="Industrial y de Mantenimiento"/>
    <x v="29"/>
  </r>
  <r>
    <s v="DGameroS@agricolachira.com.pe"/>
    <x v="0"/>
    <s v="X"/>
    <s v="Industrial y de Mantenimiento"/>
    <x v="14"/>
  </r>
  <r>
    <s v="JEstelaF@agricolachira.com.pe"/>
    <x v="0"/>
    <n v="4"/>
    <s v="Operaciones"/>
    <x v="6"/>
  </r>
  <r>
    <s v="DFloreanoP@agricolachira.com.pe"/>
    <x v="0"/>
    <s v="X"/>
    <s v="Administración y Finanzas"/>
    <x v="9"/>
  </r>
  <r>
    <s v="PMarroquinR@agricolachira.com.pe"/>
    <x v="0"/>
    <n v="4"/>
    <s v="Agrícola"/>
    <x v="30"/>
  </r>
  <r>
    <s v="jbacilioh@agricolachira.com.pe"/>
    <x v="0"/>
    <n v="4"/>
    <s v="Agrícola"/>
    <x v="31"/>
  </r>
  <r>
    <s v="OMontenegroC@agricolachira.com.pe"/>
    <x v="0"/>
    <n v="5"/>
    <s v="Operaciones"/>
    <x v="19"/>
  </r>
  <r>
    <s v="SSanchezV@agricolachira.com.pe"/>
    <x v="0"/>
    <n v="5"/>
    <s v="Administración y Finanzas"/>
    <x v="22"/>
  </r>
  <r>
    <s v="EAmesM@agricolachira.com.pe"/>
    <x v="0"/>
    <n v="4"/>
    <s v="Gestión Humana y Sostenibilidad"/>
    <x v="32"/>
  </r>
  <r>
    <s v="JMendozaG@agricolachira.com.pe"/>
    <x v="0"/>
    <n v="5"/>
    <s v="Gestión Humana y Sostenibilidad"/>
    <x v="13"/>
  </r>
  <r>
    <s v="LRodriguezC@agricolachira.com.pe"/>
    <x v="0"/>
    <n v="5"/>
    <s v="Gestión Humana y Sostenibilidad"/>
    <x v="33"/>
  </r>
  <r>
    <s v="JPichilinguP@agricolachira.com.pe"/>
    <x v="0"/>
    <n v="5"/>
    <s v="Operaciones"/>
    <x v="19"/>
  </r>
  <r>
    <s v="LTimanaT@agricolachira.com.pe"/>
    <x v="0"/>
    <n v="4"/>
    <s v="Administración y Finanzas"/>
    <x v="9"/>
  </r>
  <r>
    <s v="RLupucheQ@agricolachira.com.pe"/>
    <x v="0"/>
    <n v="5"/>
    <s v="Agrícola"/>
    <x v="31"/>
  </r>
  <r>
    <s v="MVillegasJ@agricolachira.com.pe"/>
    <x v="0"/>
    <n v="5"/>
    <s v="Administración y Finanzas"/>
    <x v="24"/>
  </r>
  <r>
    <s v="RMoncadaP@agricolachira.com.pe"/>
    <x v="0"/>
    <n v="5"/>
    <s v="Administración y Finanzas"/>
    <x v="22"/>
  </r>
  <r>
    <s v="JCalderonChu@agricolachira.com.pe"/>
    <x v="0"/>
    <n v="4"/>
    <s v="Industrial y de Mantenimiento"/>
    <x v="14"/>
  </r>
  <r>
    <s v="AVasquezM@agricolachira.com.pe"/>
    <x v="0"/>
    <s v="X"/>
    <s v="Industrial y de Mantenimiento"/>
    <x v="29"/>
  </r>
  <r>
    <s v="RGarciaFe@agricolachira.com.pe"/>
    <x v="0"/>
    <n v="5"/>
    <s v="Administración y Finanzas"/>
    <x v="10"/>
  </r>
  <r>
    <s v="VAbadP@agricolachira.com.pe"/>
    <x v="0"/>
    <n v="5"/>
    <s v="Administración y Finanzas"/>
    <x v="10"/>
  </r>
  <r>
    <s v="AAdanaqueE@agricolachira.com.pe"/>
    <x v="0"/>
    <n v="5"/>
    <s v="Gestión Humana y Sostenibilidad"/>
    <x v="21"/>
  </r>
  <r>
    <s v="PSuncionZ@agricolachira.com.pe"/>
    <x v="0"/>
    <n v="5"/>
    <s v="Gestión Humana y Sostenibilidad"/>
    <x v="21"/>
  </r>
  <r>
    <s v="CLupucheV@agricolachira.com.pe"/>
    <x v="0"/>
    <n v="5"/>
    <s v="Agrícola"/>
    <x v="26"/>
  </r>
  <r>
    <s v="MDiazTa@agricolachira.com.pe"/>
    <x v="0"/>
    <n v="5"/>
    <s v="Administración y Finanzas"/>
    <x v="2"/>
  </r>
  <r>
    <s v="LOcanaP@agricolachira.com.pe"/>
    <x v="0"/>
    <n v="4"/>
    <s v="Administración y Finanzas"/>
    <x v="22"/>
  </r>
  <r>
    <s v="creyesy@agricolachira.com.pe"/>
    <x v="0"/>
    <s v="X"/>
    <s v="Industrial y de Mantenimiento"/>
    <x v="34"/>
  </r>
  <r>
    <s v="CVivancoM@agricolachira.com.pe"/>
    <x v="0"/>
    <n v="4"/>
    <s v="Administración y Finanzas"/>
    <x v="35"/>
  </r>
  <r>
    <s v="CRamosG@agricolachira.com.pe"/>
    <x v="1"/>
    <n v="4"/>
    <s v="Gestión Humana y Sostenibilidad"/>
    <x v="0"/>
  </r>
  <r>
    <s v="HMocarroC@agricolachira.com.pe"/>
    <x v="1"/>
    <n v="5"/>
    <s v="Administración y Finanzas"/>
    <x v="1"/>
  </r>
  <r>
    <s v="LOlayaLe@agricolachira.com.pe"/>
    <x v="1"/>
    <n v="3"/>
    <s v="Administración y Finanzas"/>
    <x v="2"/>
  </r>
  <r>
    <s v="CCarrilloR@agricolachira.com.pe"/>
    <x v="1"/>
    <n v="5"/>
    <s v="Industrial y de Mantenimiento"/>
    <x v="3"/>
  </r>
  <r>
    <s v="KOtinianoP@agricolachira.com.pe"/>
    <x v="1"/>
    <n v="4"/>
    <s v="Administración y Finanzas"/>
    <x v="4"/>
  </r>
  <r>
    <s v="VLopezS@agricolachira.com.pe"/>
    <x v="1"/>
    <n v="4"/>
    <s v="Operaciones"/>
    <x v="5"/>
  </r>
  <r>
    <s v="JCobenasS@agricolachira.com.pe"/>
    <x v="1"/>
    <n v="4"/>
    <s v="Operaciones"/>
    <x v="6"/>
  </r>
  <r>
    <s v="DCheroN@agricolachira.com.pe"/>
    <x v="1"/>
    <n v="5"/>
    <s v="Operaciones"/>
    <x v="7"/>
  </r>
  <r>
    <s v="ABlancoE@agricolachira.com.pe"/>
    <x v="1"/>
    <n v="5"/>
    <s v="Operaciones"/>
    <x v="8"/>
  </r>
  <r>
    <s v="YGarridoS@agricolachira.com.pe"/>
    <x v="1"/>
    <n v="4"/>
    <s v="Operaciones"/>
    <x v="7"/>
  </r>
  <r>
    <s v="VRequelmeS@agricolachira.com.pe"/>
    <x v="1"/>
    <n v="5"/>
    <s v="Administración y Finanzas"/>
    <x v="2"/>
  </r>
  <r>
    <s v="JCheroPa@agricolachira.com.pe"/>
    <x v="1"/>
    <s v="X"/>
    <s v="Administración y Finanzas"/>
    <x v="9"/>
  </r>
  <r>
    <s v="MMartinezP@agricolachira.com.pe"/>
    <x v="1"/>
    <n v="5"/>
    <s v="Administración y Finanzas"/>
    <x v="10"/>
  </r>
  <r>
    <s v="JMioA@agricolachira.com.pe"/>
    <x v="1"/>
    <n v="4"/>
    <s v="Agrícola"/>
    <x v="11"/>
  </r>
  <r>
    <s v="ptrigoso@agricolachira.com.pe"/>
    <x v="1"/>
    <n v="4"/>
    <s v="Operaciones"/>
    <x v="12"/>
  </r>
  <r>
    <s v="DZuritaF@agricolachira.com.pe"/>
    <x v="1"/>
    <s v="X"/>
    <s v="Administración y Finanzas"/>
    <x v="4"/>
  </r>
  <r>
    <s v="JArevaloga@agricolachira.com.pe"/>
    <x v="1"/>
    <n v="4"/>
    <s v="Gestión Humana y Sostenibilidad"/>
    <x v="13"/>
  </r>
  <r>
    <s v="AFloresD@agricolachira.com.pe"/>
    <x v="1"/>
    <n v="4"/>
    <s v="Industrial y de Mantenimiento"/>
    <x v="14"/>
  </r>
  <r>
    <s v="MVegaY@agricolachira.com.pe"/>
    <x v="1"/>
    <n v="3"/>
    <s v="Operaciones"/>
    <x v="6"/>
  </r>
  <r>
    <s v="LGarciaC@agricolachira.com.pe"/>
    <x v="1"/>
    <s v="X"/>
    <s v="Operaciones"/>
    <x v="5"/>
  </r>
  <r>
    <s v="SMerinoV@agricolachira.com.pe"/>
    <x v="1"/>
    <n v="5"/>
    <s v="Administración y Finanzas"/>
    <x v="2"/>
  </r>
  <r>
    <s v="JMogollonC@agricolachira.com.pe"/>
    <x v="1"/>
    <s v="X"/>
    <s v="Operaciones"/>
    <x v="15"/>
  </r>
  <r>
    <s v="WChavezS@agricolachira.com.pe"/>
    <x v="1"/>
    <s v="X"/>
    <s v="Agrícola"/>
    <x v="16"/>
  </r>
  <r>
    <s v="EArevaloJ@agricolachira.com.pe"/>
    <x v="1"/>
    <n v="5"/>
    <s v="Administración y Finanzas"/>
    <x v="17"/>
  </r>
  <r>
    <s v="JGomezAp@agricolachira.com.pe"/>
    <x v="1"/>
    <n v="5"/>
    <s v="Administración y Finanzas"/>
    <x v="18"/>
  </r>
  <r>
    <s v="JChaparroB@agricolachira.com.pe"/>
    <x v="1"/>
    <n v="5"/>
    <s v="Administración y Finanzas"/>
    <x v="9"/>
  </r>
  <r>
    <s v="WCarrascoA@agricolachira.com.pe"/>
    <x v="1"/>
    <n v="4"/>
    <s v="Administración y Finanzas"/>
    <x v="18"/>
  </r>
  <r>
    <s v="KZavaletaM@agricolachira.com.pe"/>
    <x v="1"/>
    <n v="5"/>
    <s v="Administración y Finanzas"/>
    <x v="10"/>
  </r>
  <r>
    <s v="YMoscolC@agricolachira.com.pe"/>
    <x v="1"/>
    <n v="5"/>
    <s v="Operaciones"/>
    <x v="19"/>
  </r>
  <r>
    <s v="lsipiona@agricolachira.com.pe"/>
    <x v="1"/>
    <n v="4"/>
    <s v="Gestión Humana y Sostenibilidad"/>
    <x v="20"/>
  </r>
  <r>
    <s v="AAguilarMo@agricolachira.com.pe"/>
    <x v="1"/>
    <n v="4"/>
    <s v="Administración y Finanzas"/>
    <x v="9"/>
  </r>
  <r>
    <s v="LChanduviT@agricolachira.com.pe"/>
    <x v="1"/>
    <n v="5"/>
    <s v="Administración y Finanzas"/>
    <x v="10"/>
  </r>
  <r>
    <s v="NPizarroC@agricolachira.com.pe"/>
    <x v="1"/>
    <n v="5"/>
    <s v="Operaciones"/>
    <x v="8"/>
  </r>
  <r>
    <s v="jvasquezc@agricolachira.com.pe"/>
    <x v="1"/>
    <n v="4"/>
    <s v="Administración y Finanzas"/>
    <x v="18"/>
  </r>
  <r>
    <s v="HCruzA@agricolachira.com.pe"/>
    <x v="1"/>
    <n v="4"/>
    <s v="Operaciones"/>
    <x v="7"/>
  </r>
  <r>
    <s v="cfreym@agricolachira.com.pe"/>
    <x v="1"/>
    <n v="4"/>
    <s v="Operaciones"/>
    <x v="19"/>
  </r>
  <r>
    <s v="JIngaF@agricolachira.com.pe"/>
    <x v="1"/>
    <n v="5"/>
    <s v="Administración y Finanzas"/>
    <x v="18"/>
  </r>
  <r>
    <s v="EMartinezG@agricolachira.com.pe"/>
    <x v="1"/>
    <n v="4"/>
    <s v="Gestión Humana y Sostenibilidad"/>
    <x v="21"/>
  </r>
  <r>
    <s v="JBayonaG@agricolachira.com.pe"/>
    <x v="1"/>
    <s v="X"/>
    <s v="Administración y Finanzas"/>
    <x v="9"/>
  </r>
  <r>
    <s v="AColomaL@agricolachira.com.pe"/>
    <x v="1"/>
    <n v="4"/>
    <s v="Gestión Humana y Sostenibilidad"/>
    <x v="21"/>
  </r>
  <r>
    <s v="RTorresS@agricolachira.com.pe"/>
    <x v="1"/>
    <n v="4"/>
    <s v="Agrícola"/>
    <x v="11"/>
  </r>
  <r>
    <s v="CSosaL@agricolachira.com.pe"/>
    <x v="1"/>
    <s v="X"/>
    <s v="Administración y Finanzas"/>
    <x v="22"/>
  </r>
  <r>
    <s v="ABurneoL@agricolachira.com.pe"/>
    <x v="1"/>
    <s v="X"/>
    <s v="Administración y Finanzas"/>
    <x v="22"/>
  </r>
  <r>
    <s v="JNegronC@agricolachira.com.pe"/>
    <x v="1"/>
    <n v="4"/>
    <s v="Agrícola"/>
    <x v="11"/>
  </r>
  <r>
    <s v="JHidalgoS@agricolachira.com.pe"/>
    <x v="1"/>
    <n v="5"/>
    <s v="Administración y Finanzas"/>
    <x v="18"/>
  </r>
  <r>
    <s v="IFloresF@bioenergiadelchira.pe"/>
    <x v="1"/>
    <n v="4"/>
    <s v="Industrial y de Mantenimiento"/>
    <x v="23"/>
  </r>
  <r>
    <s v="jquevedoa@agricolachira.com.pe"/>
    <x v="1"/>
    <n v="4"/>
    <s v="Administración y Finanzas"/>
    <x v="24"/>
  </r>
  <r>
    <s v="USanchezF@agricolachira.com.pe"/>
    <x v="1"/>
    <n v="4"/>
    <s v="Administración y Finanzas"/>
    <x v="22"/>
  </r>
  <r>
    <s v="EMijahuancaG@agricolachira.com.pe"/>
    <x v="1"/>
    <n v="5"/>
    <s v="Operaciones"/>
    <x v="25"/>
  </r>
  <r>
    <s v="AGuldenG@agricolachira.com.pe"/>
    <x v="1"/>
    <n v="5"/>
    <s v="Agrícola"/>
    <x v="26"/>
  </r>
  <r>
    <s v="JRojasBarr@agricolachira.com.pe"/>
    <x v="1"/>
    <n v="4"/>
    <s v="Agrícola"/>
    <x v="27"/>
  </r>
  <r>
    <s v="AVilelaJ@agricolachira.com.pe"/>
    <x v="1"/>
    <n v="5"/>
    <s v="Administración y Finanzas"/>
    <x v="2"/>
  </r>
  <r>
    <s v="JLaraMa@agricolachira.com.pe"/>
    <x v="1"/>
    <s v="X"/>
    <s v="Administración y Finanzas"/>
    <x v="9"/>
  </r>
  <r>
    <s v="AGutierrezR@agricolachira.com.pe"/>
    <x v="1"/>
    <n v="5"/>
    <s v="Operaciones"/>
    <x v="19"/>
  </r>
  <r>
    <s v="JAquijeD@agricolachira.com.pe"/>
    <x v="1"/>
    <n v="4"/>
    <s v="Agrícola"/>
    <x v="27"/>
  </r>
  <r>
    <s v="ALachiraP@agricolachira.com.pe"/>
    <x v="1"/>
    <n v="4"/>
    <s v="Operaciones"/>
    <x v="7"/>
  </r>
  <r>
    <s v="jjimenezc@agricolachira.com.pe"/>
    <x v="1"/>
    <n v="5"/>
    <s v="Gestión Humana y Sostenibilidad"/>
    <x v="20"/>
  </r>
  <r>
    <s v="BGonzalesM@agricolachira.com.pe"/>
    <x v="1"/>
    <n v="4"/>
    <s v="Operaciones"/>
    <x v="15"/>
  </r>
  <r>
    <s v="VAntezanaM@agricolachira.com.pe"/>
    <x v="1"/>
    <s v="X"/>
    <s v="Administración y Finanzas"/>
    <x v="24"/>
  </r>
  <r>
    <s v="HBorjaT@agricolachira.com.pe"/>
    <x v="1"/>
    <n v="4"/>
    <s v="Industrial y de Mantenimiento"/>
    <x v="3"/>
  </r>
  <r>
    <s v="GPenaP@agricolachira.com.pe"/>
    <x v="1"/>
    <n v="5"/>
    <s v="Agrícola"/>
    <x v="26"/>
  </r>
  <r>
    <s v="ovasquezp@agricolachira.com.pe"/>
    <x v="1"/>
    <n v="5"/>
    <s v="Agrícola"/>
    <x v="28"/>
  </r>
  <r>
    <s v="NHansenG@agricolachira.com.pe"/>
    <x v="1"/>
    <n v="4"/>
    <s v="Agrícola"/>
    <x v="11"/>
  </r>
  <r>
    <s v="LVillarF@agricolachira.com.pe"/>
    <x v="1"/>
    <n v="4"/>
    <s v="Industrial y de Mantenimiento"/>
    <x v="29"/>
  </r>
  <r>
    <s v="DGameroS@agricolachira.com.pe"/>
    <x v="1"/>
    <n v="4"/>
    <s v="Industrial y de Mantenimiento"/>
    <x v="14"/>
  </r>
  <r>
    <s v="JEstelaF@agricolachira.com.pe"/>
    <x v="1"/>
    <n v="4"/>
    <s v="Operaciones"/>
    <x v="6"/>
  </r>
  <r>
    <s v="DFloreanoP@agricolachira.com.pe"/>
    <x v="1"/>
    <s v="X"/>
    <s v="Administración y Finanzas"/>
    <x v="9"/>
  </r>
  <r>
    <s v="PMarroquinR@agricolachira.com.pe"/>
    <x v="1"/>
    <s v="X"/>
    <s v="Agrícola"/>
    <x v="30"/>
  </r>
  <r>
    <s v="jbacilioh@agricolachira.com.pe"/>
    <x v="1"/>
    <n v="5"/>
    <s v="Agrícola"/>
    <x v="31"/>
  </r>
  <r>
    <s v="OMontenegroC@agricolachira.com.pe"/>
    <x v="1"/>
    <n v="5"/>
    <s v="Operaciones"/>
    <x v="19"/>
  </r>
  <r>
    <s v="SSanchezV@agricolachira.com.pe"/>
    <x v="1"/>
    <n v="4"/>
    <s v="Administración y Finanzas"/>
    <x v="22"/>
  </r>
  <r>
    <s v="EAmesM@agricolachira.com.pe"/>
    <x v="1"/>
    <n v="4"/>
    <s v="Gestión Humana y Sostenibilidad"/>
    <x v="32"/>
  </r>
  <r>
    <s v="JMendozaG@agricolachira.com.pe"/>
    <x v="1"/>
    <n v="5"/>
    <s v="Gestión Humana y Sostenibilidad"/>
    <x v="13"/>
  </r>
  <r>
    <s v="LRodriguezC@agricolachira.com.pe"/>
    <x v="1"/>
    <s v="X"/>
    <s v="Gestión Humana y Sostenibilidad"/>
    <x v="33"/>
  </r>
  <r>
    <s v="JPichilinguP@agricolachira.com.pe"/>
    <x v="1"/>
    <n v="4"/>
    <s v="Operaciones"/>
    <x v="19"/>
  </r>
  <r>
    <s v="LTimanaT@agricolachira.com.pe"/>
    <x v="1"/>
    <s v="X"/>
    <s v="Administración y Finanzas"/>
    <x v="9"/>
  </r>
  <r>
    <s v="RLupucheQ@agricolachira.com.pe"/>
    <x v="1"/>
    <s v="X"/>
    <s v="Agrícola"/>
    <x v="31"/>
  </r>
  <r>
    <s v="MVillegasJ@agricolachira.com.pe"/>
    <x v="1"/>
    <n v="5"/>
    <s v="Administración y Finanzas"/>
    <x v="24"/>
  </r>
  <r>
    <s v="RMoncadaP@agricolachira.com.pe"/>
    <x v="1"/>
    <n v="5"/>
    <s v="Administración y Finanzas"/>
    <x v="22"/>
  </r>
  <r>
    <s v="JCalderonChu@agricolachira.com.pe"/>
    <x v="1"/>
    <s v="X"/>
    <s v="Industrial y de Mantenimiento"/>
    <x v="14"/>
  </r>
  <r>
    <s v="AVasquezM@agricolachira.com.pe"/>
    <x v="1"/>
    <s v="X"/>
    <s v="Industrial y de Mantenimiento"/>
    <x v="29"/>
  </r>
  <r>
    <s v="RGarciaFe@agricolachira.com.pe"/>
    <x v="1"/>
    <n v="5"/>
    <s v="Administración y Finanzas"/>
    <x v="10"/>
  </r>
  <r>
    <s v="VAbadP@agricolachira.com.pe"/>
    <x v="1"/>
    <n v="5"/>
    <s v="Administración y Finanzas"/>
    <x v="10"/>
  </r>
  <r>
    <s v="AAdanaqueE@agricolachira.com.pe"/>
    <x v="1"/>
    <n v="5"/>
    <s v="Gestión Humana y Sostenibilidad"/>
    <x v="21"/>
  </r>
  <r>
    <s v="PSuncionZ@agricolachira.com.pe"/>
    <x v="1"/>
    <n v="5"/>
    <s v="Gestión Humana y Sostenibilidad"/>
    <x v="21"/>
  </r>
  <r>
    <s v="CLupucheV@agricolachira.com.pe"/>
    <x v="1"/>
    <n v="5"/>
    <s v="Agrícola"/>
    <x v="26"/>
  </r>
  <r>
    <s v="MDiazTa@agricolachira.com.pe"/>
    <x v="1"/>
    <n v="5"/>
    <s v="Administración y Finanzas"/>
    <x v="2"/>
  </r>
  <r>
    <s v="LOcanaP@agricolachira.com.pe"/>
    <x v="1"/>
    <n v="4"/>
    <s v="Administración y Finanzas"/>
    <x v="22"/>
  </r>
  <r>
    <s v="creyesy@agricolachira.com.pe"/>
    <x v="1"/>
    <n v="4"/>
    <s v="Industrial y de Mantenimiento"/>
    <x v="34"/>
  </r>
  <r>
    <s v="CVivancoM@agricolachira.com.pe"/>
    <x v="1"/>
    <n v="3"/>
    <s v="Administración y Finanzas"/>
    <x v="35"/>
  </r>
  <r>
    <s v="CRamosG@agricolachira.com.pe"/>
    <x v="2"/>
    <n v="4"/>
    <s v="Gestión Humana y Sostenibilidad"/>
    <x v="0"/>
  </r>
  <r>
    <s v="HMocarroC@agricolachira.com.pe"/>
    <x v="2"/>
    <n v="5"/>
    <s v="Administración y Finanzas"/>
    <x v="1"/>
  </r>
  <r>
    <s v="LOlayaLe@agricolachira.com.pe"/>
    <x v="2"/>
    <n v="3"/>
    <s v="Administración y Finanzas"/>
    <x v="2"/>
  </r>
  <r>
    <s v="CCarrilloR@agricolachira.com.pe"/>
    <x v="2"/>
    <n v="4"/>
    <s v="Industrial y de Mantenimiento"/>
    <x v="3"/>
  </r>
  <r>
    <s v="KOtinianoP@agricolachira.com.pe"/>
    <x v="2"/>
    <n v="4"/>
    <s v="Administración y Finanzas"/>
    <x v="4"/>
  </r>
  <r>
    <s v="VLopezS@agricolachira.com.pe"/>
    <x v="2"/>
    <n v="4"/>
    <s v="Operaciones"/>
    <x v="5"/>
  </r>
  <r>
    <s v="JCobenasS@agricolachira.com.pe"/>
    <x v="2"/>
    <n v="4"/>
    <s v="Operaciones"/>
    <x v="6"/>
  </r>
  <r>
    <s v="DCheroN@agricolachira.com.pe"/>
    <x v="2"/>
    <n v="5"/>
    <s v="Operaciones"/>
    <x v="7"/>
  </r>
  <r>
    <s v="ABlancoE@agricolachira.com.pe"/>
    <x v="2"/>
    <n v="5"/>
    <s v="Operaciones"/>
    <x v="8"/>
  </r>
  <r>
    <s v="YGarridoS@agricolachira.com.pe"/>
    <x v="2"/>
    <n v="5"/>
    <s v="Operaciones"/>
    <x v="7"/>
  </r>
  <r>
    <s v="VRequelmeS@agricolachira.com.pe"/>
    <x v="2"/>
    <n v="5"/>
    <s v="Administración y Finanzas"/>
    <x v="2"/>
  </r>
  <r>
    <s v="JCheroPa@agricolachira.com.pe"/>
    <x v="2"/>
    <s v="X"/>
    <s v="Administración y Finanzas"/>
    <x v="9"/>
  </r>
  <r>
    <s v="MMartinezP@agricolachira.com.pe"/>
    <x v="2"/>
    <n v="5"/>
    <s v="Administración y Finanzas"/>
    <x v="10"/>
  </r>
  <r>
    <s v="JMioA@agricolachira.com.pe"/>
    <x v="2"/>
    <n v="4"/>
    <s v="Agrícola"/>
    <x v="11"/>
  </r>
  <r>
    <s v="ptrigoso@agricolachira.com.pe"/>
    <x v="2"/>
    <n v="4"/>
    <s v="Operaciones"/>
    <x v="12"/>
  </r>
  <r>
    <s v="DZuritaF@agricolachira.com.pe"/>
    <x v="2"/>
    <s v="X"/>
    <s v="Administración y Finanzas"/>
    <x v="4"/>
  </r>
  <r>
    <s v="JArevaloga@agricolachira.com.pe"/>
    <x v="2"/>
    <s v="X"/>
    <s v="Gestión Humana y Sostenibilidad"/>
    <x v="13"/>
  </r>
  <r>
    <s v="AFloresD@agricolachira.com.pe"/>
    <x v="2"/>
    <s v="X"/>
    <s v="Industrial y de Mantenimiento"/>
    <x v="14"/>
  </r>
  <r>
    <s v="MVegaY@agricolachira.com.pe"/>
    <x v="2"/>
    <n v="4"/>
    <s v="Operaciones"/>
    <x v="6"/>
  </r>
  <r>
    <s v="LGarciaC@agricolachira.com.pe"/>
    <x v="2"/>
    <s v="X"/>
    <s v="Operaciones"/>
    <x v="5"/>
  </r>
  <r>
    <s v="SMerinoV@agricolachira.com.pe"/>
    <x v="2"/>
    <n v="5"/>
    <s v="Administración y Finanzas"/>
    <x v="2"/>
  </r>
  <r>
    <s v="JMogollonC@agricolachira.com.pe"/>
    <x v="2"/>
    <n v="4"/>
    <s v="Operaciones"/>
    <x v="15"/>
  </r>
  <r>
    <s v="WChavezS@agricolachira.com.pe"/>
    <x v="2"/>
    <n v="4"/>
    <s v="Agrícola"/>
    <x v="16"/>
  </r>
  <r>
    <s v="EArevaloJ@agricolachira.com.pe"/>
    <x v="2"/>
    <n v="5"/>
    <s v="Administración y Finanzas"/>
    <x v="17"/>
  </r>
  <r>
    <s v="JGomezAp@agricolachira.com.pe"/>
    <x v="2"/>
    <n v="5"/>
    <s v="Administración y Finanzas"/>
    <x v="18"/>
  </r>
  <r>
    <s v="JChaparroB@agricolachira.com.pe"/>
    <x v="2"/>
    <n v="5"/>
    <s v="Administración y Finanzas"/>
    <x v="9"/>
  </r>
  <r>
    <s v="WCarrascoA@agricolachira.com.pe"/>
    <x v="2"/>
    <n v="3"/>
    <s v="Administración y Finanzas"/>
    <x v="18"/>
  </r>
  <r>
    <s v="KZavaletaM@agricolachira.com.pe"/>
    <x v="2"/>
    <n v="5"/>
    <s v="Administración y Finanzas"/>
    <x v="10"/>
  </r>
  <r>
    <s v="YMoscolC@agricolachira.com.pe"/>
    <x v="2"/>
    <n v="5"/>
    <s v="Operaciones"/>
    <x v="19"/>
  </r>
  <r>
    <s v="lsipiona@agricolachira.com.pe"/>
    <x v="2"/>
    <n v="5"/>
    <s v="Gestión Humana y Sostenibilidad"/>
    <x v="20"/>
  </r>
  <r>
    <s v="AAguilarMo@agricolachira.com.pe"/>
    <x v="2"/>
    <s v="X"/>
    <s v="Administración y Finanzas"/>
    <x v="9"/>
  </r>
  <r>
    <s v="LChanduviT@agricolachira.com.pe"/>
    <x v="2"/>
    <n v="5"/>
    <s v="Administración y Finanzas"/>
    <x v="10"/>
  </r>
  <r>
    <s v="NPizarroC@agricolachira.com.pe"/>
    <x v="2"/>
    <n v="5"/>
    <s v="Operaciones"/>
    <x v="8"/>
  </r>
  <r>
    <s v="jvasquezc@agricolachira.com.pe"/>
    <x v="2"/>
    <n v="4"/>
    <s v="Administración y Finanzas"/>
    <x v="18"/>
  </r>
  <r>
    <s v="HCruzA@agricolachira.com.pe"/>
    <x v="2"/>
    <n v="5"/>
    <s v="Operaciones"/>
    <x v="7"/>
  </r>
  <r>
    <s v="cfreym@agricolachira.com.pe"/>
    <x v="2"/>
    <n v="5"/>
    <s v="Operaciones"/>
    <x v="19"/>
  </r>
  <r>
    <s v="JIngaF@agricolachira.com.pe"/>
    <x v="2"/>
    <n v="5"/>
    <s v="Administración y Finanzas"/>
    <x v="18"/>
  </r>
  <r>
    <s v="EMartinezG@agricolachira.com.pe"/>
    <x v="2"/>
    <n v="4"/>
    <s v="Gestión Humana y Sostenibilidad"/>
    <x v="21"/>
  </r>
  <r>
    <s v="JBayonaG@agricolachira.com.pe"/>
    <x v="2"/>
    <n v="4"/>
    <s v="Administración y Finanzas"/>
    <x v="9"/>
  </r>
  <r>
    <s v="AColomaL@agricolachira.com.pe"/>
    <x v="2"/>
    <n v="4"/>
    <s v="Gestión Humana y Sostenibilidad"/>
    <x v="21"/>
  </r>
  <r>
    <s v="RTorresS@agricolachira.com.pe"/>
    <x v="2"/>
    <n v="4"/>
    <s v="Agrícola"/>
    <x v="11"/>
  </r>
  <r>
    <s v="CSosaL@agricolachira.com.pe"/>
    <x v="2"/>
    <n v="5"/>
    <s v="Administración y Finanzas"/>
    <x v="22"/>
  </r>
  <r>
    <s v="ABurneoL@agricolachira.com.pe"/>
    <x v="2"/>
    <s v="X"/>
    <s v="Administración y Finanzas"/>
    <x v="22"/>
  </r>
  <r>
    <s v="JNegronC@agricolachira.com.pe"/>
    <x v="2"/>
    <n v="4"/>
    <s v="Agrícola"/>
    <x v="11"/>
  </r>
  <r>
    <s v="JHidalgoS@agricolachira.com.pe"/>
    <x v="2"/>
    <n v="5"/>
    <s v="Administración y Finanzas"/>
    <x v="18"/>
  </r>
  <r>
    <s v="IFloresF@bioenergiadelchira.pe"/>
    <x v="2"/>
    <n v="4"/>
    <s v="Industrial y de Mantenimiento"/>
    <x v="23"/>
  </r>
  <r>
    <s v="jquevedoa@agricolachira.com.pe"/>
    <x v="2"/>
    <s v="X"/>
    <s v="Administración y Finanzas"/>
    <x v="24"/>
  </r>
  <r>
    <s v="USanchezF@agricolachira.com.pe"/>
    <x v="2"/>
    <n v="4"/>
    <s v="Administración y Finanzas"/>
    <x v="22"/>
  </r>
  <r>
    <s v="EMijahuancaG@agricolachira.com.pe"/>
    <x v="2"/>
    <s v="X"/>
    <s v="Operaciones"/>
    <x v="25"/>
  </r>
  <r>
    <s v="AGuldenG@agricolachira.com.pe"/>
    <x v="2"/>
    <n v="5"/>
    <s v="Agrícola"/>
    <x v="26"/>
  </r>
  <r>
    <s v="JRojasBarr@agricolachira.com.pe"/>
    <x v="2"/>
    <s v="X"/>
    <s v="Agrícola"/>
    <x v="27"/>
  </r>
  <r>
    <s v="AVilelaJ@agricolachira.com.pe"/>
    <x v="2"/>
    <n v="5"/>
    <s v="Administración y Finanzas"/>
    <x v="2"/>
  </r>
  <r>
    <s v="JLaraMa@agricolachira.com.pe"/>
    <x v="2"/>
    <n v="4"/>
    <s v="Administración y Finanzas"/>
    <x v="9"/>
  </r>
  <r>
    <s v="AGutierrezR@agricolachira.com.pe"/>
    <x v="2"/>
    <n v="5"/>
    <s v="Operaciones"/>
    <x v="19"/>
  </r>
  <r>
    <s v="JAquijeD@agricolachira.com.pe"/>
    <x v="2"/>
    <s v="X"/>
    <s v="Agrícola"/>
    <x v="27"/>
  </r>
  <r>
    <s v="ALachiraP@agricolachira.com.pe"/>
    <x v="2"/>
    <n v="4"/>
    <s v="Operaciones"/>
    <x v="7"/>
  </r>
  <r>
    <s v="jjimenezc@agricolachira.com.pe"/>
    <x v="2"/>
    <n v="5"/>
    <s v="Gestión Humana y Sostenibilidad"/>
    <x v="20"/>
  </r>
  <r>
    <s v="BGonzalesM@agricolachira.com.pe"/>
    <x v="2"/>
    <s v="X"/>
    <s v="Operaciones"/>
    <x v="15"/>
  </r>
  <r>
    <s v="VAntezanaM@agricolachira.com.pe"/>
    <x v="2"/>
    <s v="X"/>
    <s v="Administración y Finanzas"/>
    <x v="24"/>
  </r>
  <r>
    <s v="HBorjaT@agricolachira.com.pe"/>
    <x v="2"/>
    <s v="X"/>
    <s v="Industrial y de Mantenimiento"/>
    <x v="3"/>
  </r>
  <r>
    <s v="GPenaP@agricolachira.com.pe"/>
    <x v="2"/>
    <n v="5"/>
    <s v="Agrícola"/>
    <x v="26"/>
  </r>
  <r>
    <s v="ovasquezp@agricolachira.com.pe"/>
    <x v="2"/>
    <n v="4"/>
    <s v="Agrícola"/>
    <x v="28"/>
  </r>
  <r>
    <s v="NHansenG@agricolachira.com.pe"/>
    <x v="2"/>
    <s v="X"/>
    <s v="Agrícola"/>
    <x v="11"/>
  </r>
  <r>
    <s v="LVillarF@agricolachira.com.pe"/>
    <x v="2"/>
    <n v="4"/>
    <s v="Industrial y de Mantenimiento"/>
    <x v="29"/>
  </r>
  <r>
    <s v="DGameroS@agricolachira.com.pe"/>
    <x v="2"/>
    <n v="4"/>
    <s v="Industrial y de Mantenimiento"/>
    <x v="14"/>
  </r>
  <r>
    <s v="JEstelaF@agricolachira.com.pe"/>
    <x v="2"/>
    <n v="4"/>
    <s v="Operaciones"/>
    <x v="6"/>
  </r>
  <r>
    <s v="DFloreanoP@agricolachira.com.pe"/>
    <x v="2"/>
    <s v="X"/>
    <s v="Administración y Finanzas"/>
    <x v="9"/>
  </r>
  <r>
    <s v="PMarroquinR@agricolachira.com.pe"/>
    <x v="2"/>
    <n v="4"/>
    <s v="Agrícola"/>
    <x v="30"/>
  </r>
  <r>
    <s v="jbacilioh@agricolachira.com.pe"/>
    <x v="2"/>
    <n v="4"/>
    <s v="Agrícola"/>
    <x v="31"/>
  </r>
  <r>
    <s v="OMontenegroC@agricolachira.com.pe"/>
    <x v="2"/>
    <n v="5"/>
    <s v="Operaciones"/>
    <x v="19"/>
  </r>
  <r>
    <s v="SSanchezV@agricolachira.com.pe"/>
    <x v="2"/>
    <n v="5"/>
    <s v="Administración y Finanzas"/>
    <x v="22"/>
  </r>
  <r>
    <s v="EAmesM@agricolachira.com.pe"/>
    <x v="2"/>
    <s v="X"/>
    <s v="Gestión Humana y Sostenibilidad"/>
    <x v="32"/>
  </r>
  <r>
    <s v="JMendozaG@agricolachira.com.pe"/>
    <x v="2"/>
    <n v="5"/>
    <s v="Gestión Humana y Sostenibilidad"/>
    <x v="13"/>
  </r>
  <r>
    <s v="LRodriguezC@agricolachira.com.pe"/>
    <x v="2"/>
    <s v="X"/>
    <s v="Gestión Humana y Sostenibilidad"/>
    <x v="33"/>
  </r>
  <r>
    <s v="JPichilinguP@agricolachira.com.pe"/>
    <x v="2"/>
    <n v="4"/>
    <s v="Operaciones"/>
    <x v="19"/>
  </r>
  <r>
    <s v="LTimanaT@agricolachira.com.pe"/>
    <x v="2"/>
    <n v="5"/>
    <s v="Administración y Finanzas"/>
    <x v="9"/>
  </r>
  <r>
    <s v="RLupucheQ@agricolachira.com.pe"/>
    <x v="2"/>
    <s v="X"/>
    <s v="Agrícola"/>
    <x v="31"/>
  </r>
  <r>
    <s v="MVillegasJ@agricolachira.com.pe"/>
    <x v="2"/>
    <n v="5"/>
    <s v="Administración y Finanzas"/>
    <x v="24"/>
  </r>
  <r>
    <s v="RMoncadaP@agricolachira.com.pe"/>
    <x v="2"/>
    <n v="5"/>
    <s v="Administración y Finanzas"/>
    <x v="22"/>
  </r>
  <r>
    <s v="JCalderonChu@agricolachira.com.pe"/>
    <x v="2"/>
    <s v="X"/>
    <s v="Industrial y de Mantenimiento"/>
    <x v="14"/>
  </r>
  <r>
    <s v="AVasquezM@agricolachira.com.pe"/>
    <x v="2"/>
    <s v="X"/>
    <s v="Industrial y de Mantenimiento"/>
    <x v="29"/>
  </r>
  <r>
    <s v="RGarciaFe@agricolachira.com.pe"/>
    <x v="2"/>
    <n v="5"/>
    <s v="Administración y Finanzas"/>
    <x v="10"/>
  </r>
  <r>
    <s v="VAbadP@agricolachira.com.pe"/>
    <x v="2"/>
    <n v="5"/>
    <s v="Administración y Finanzas"/>
    <x v="10"/>
  </r>
  <r>
    <s v="AAdanaqueE@agricolachira.com.pe"/>
    <x v="2"/>
    <n v="5"/>
    <s v="Gestión Humana y Sostenibilidad"/>
    <x v="21"/>
  </r>
  <r>
    <s v="PSuncionZ@agricolachira.com.pe"/>
    <x v="2"/>
    <n v="5"/>
    <s v="Gestión Humana y Sostenibilidad"/>
    <x v="21"/>
  </r>
  <r>
    <s v="CLupucheV@agricolachira.com.pe"/>
    <x v="2"/>
    <n v="4"/>
    <s v="Agrícola"/>
    <x v="26"/>
  </r>
  <r>
    <s v="MDiazTa@agricolachira.com.pe"/>
    <x v="2"/>
    <n v="5"/>
    <s v="Administración y Finanzas"/>
    <x v="2"/>
  </r>
  <r>
    <s v="LOcanaP@agricolachira.com.pe"/>
    <x v="2"/>
    <n v="5"/>
    <s v="Administración y Finanzas"/>
    <x v="22"/>
  </r>
  <r>
    <s v="creyesy@agricolachira.com.pe"/>
    <x v="2"/>
    <n v="4"/>
    <s v="Industrial y de Mantenimiento"/>
    <x v="34"/>
  </r>
  <r>
    <s v="CVivancoM@agricolachira.com.pe"/>
    <x v="2"/>
    <n v="4"/>
    <s v="Administración y Finanzas"/>
    <x v="35"/>
  </r>
  <r>
    <s v="CRamosG@agricolachira.com.pe"/>
    <x v="3"/>
    <n v="4"/>
    <s v="Gestión Humana y Sostenibilidad"/>
    <x v="0"/>
  </r>
  <r>
    <s v="HMocarroC@agricolachira.com.pe"/>
    <x v="3"/>
    <n v="5"/>
    <s v="Administración y Finanzas"/>
    <x v="1"/>
  </r>
  <r>
    <s v="LOlayaLe@agricolachira.com.pe"/>
    <x v="3"/>
    <n v="3"/>
    <s v="Administración y Finanzas"/>
    <x v="2"/>
  </r>
  <r>
    <s v="CCarrilloR@agricolachira.com.pe"/>
    <x v="3"/>
    <n v="4"/>
    <s v="Industrial y de Mantenimiento"/>
    <x v="3"/>
  </r>
  <r>
    <s v="KOtinianoP@agricolachira.com.pe"/>
    <x v="3"/>
    <n v="4"/>
    <s v="Administración y Finanzas"/>
    <x v="4"/>
  </r>
  <r>
    <s v="VLopezS@agricolachira.com.pe"/>
    <x v="3"/>
    <n v="4"/>
    <s v="Operaciones"/>
    <x v="5"/>
  </r>
  <r>
    <s v="JCobenasS@agricolachira.com.pe"/>
    <x v="3"/>
    <n v="4"/>
    <s v="Operaciones"/>
    <x v="6"/>
  </r>
  <r>
    <s v="DCheroN@agricolachira.com.pe"/>
    <x v="3"/>
    <n v="5"/>
    <s v="Operaciones"/>
    <x v="7"/>
  </r>
  <r>
    <s v="ABlancoE@agricolachira.com.pe"/>
    <x v="3"/>
    <n v="5"/>
    <s v="Operaciones"/>
    <x v="8"/>
  </r>
  <r>
    <s v="YGarridoS@agricolachira.com.pe"/>
    <x v="3"/>
    <n v="3"/>
    <s v="Operaciones"/>
    <x v="7"/>
  </r>
  <r>
    <s v="VRequelmeS@agricolachira.com.pe"/>
    <x v="3"/>
    <s v="X"/>
    <s v="Administración y Finanzas"/>
    <x v="2"/>
  </r>
  <r>
    <s v="JCheroPa@agricolachira.com.pe"/>
    <x v="3"/>
    <n v="4"/>
    <s v="Administración y Finanzas"/>
    <x v="9"/>
  </r>
  <r>
    <s v="MMartinezP@agricolachira.com.pe"/>
    <x v="3"/>
    <n v="5"/>
    <s v="Administración y Finanzas"/>
    <x v="10"/>
  </r>
  <r>
    <s v="JMioA@agricolachira.com.pe"/>
    <x v="3"/>
    <n v="4"/>
    <s v="Agrícola"/>
    <x v="11"/>
  </r>
  <r>
    <s v="ptrigoso@agricolachira.com.pe"/>
    <x v="3"/>
    <n v="4"/>
    <s v="Operaciones"/>
    <x v="12"/>
  </r>
  <r>
    <s v="DZuritaF@agricolachira.com.pe"/>
    <x v="3"/>
    <s v="X"/>
    <s v="Administración y Finanzas"/>
    <x v="4"/>
  </r>
  <r>
    <s v="JArevaloga@agricolachira.com.pe"/>
    <x v="3"/>
    <n v="5"/>
    <s v="Gestión Humana y Sostenibilidad"/>
    <x v="13"/>
  </r>
  <r>
    <s v="AFloresD@agricolachira.com.pe"/>
    <x v="3"/>
    <n v="4"/>
    <s v="Industrial y de Mantenimiento"/>
    <x v="14"/>
  </r>
  <r>
    <s v="MVegaY@agricolachira.com.pe"/>
    <x v="3"/>
    <n v="4"/>
    <s v="Operaciones"/>
    <x v="6"/>
  </r>
  <r>
    <s v="LGarciaC@agricolachira.com.pe"/>
    <x v="3"/>
    <n v="3"/>
    <s v="Operaciones"/>
    <x v="5"/>
  </r>
  <r>
    <s v="SMerinoV@agricolachira.com.pe"/>
    <x v="3"/>
    <n v="5"/>
    <s v="Administración y Finanzas"/>
    <x v="2"/>
  </r>
  <r>
    <s v="JMogollonC@agricolachira.com.pe"/>
    <x v="3"/>
    <n v="4"/>
    <s v="Operaciones"/>
    <x v="15"/>
  </r>
  <r>
    <s v="WChavezS@agricolachira.com.pe"/>
    <x v="3"/>
    <s v="X"/>
    <s v="Agrícola"/>
    <x v="16"/>
  </r>
  <r>
    <s v="EArevaloJ@agricolachira.com.pe"/>
    <x v="3"/>
    <s v="X"/>
    <s v="Administración y Finanzas"/>
    <x v="17"/>
  </r>
  <r>
    <s v="JGomezAp@agricolachira.com.pe"/>
    <x v="3"/>
    <n v="5"/>
    <s v="Administración y Finanzas"/>
    <x v="18"/>
  </r>
  <r>
    <s v="JChaparroB@agricolachira.com.pe"/>
    <x v="3"/>
    <n v="5"/>
    <s v="Administración y Finanzas"/>
    <x v="9"/>
  </r>
  <r>
    <s v="WCarrascoA@agricolachira.com.pe"/>
    <x v="3"/>
    <n v="5"/>
    <s v="Administración y Finanzas"/>
    <x v="18"/>
  </r>
  <r>
    <s v="KZavaletaM@agricolachira.com.pe"/>
    <x v="3"/>
    <n v="5"/>
    <s v="Administración y Finanzas"/>
    <x v="10"/>
  </r>
  <r>
    <s v="YMoscolC@agricolachira.com.pe"/>
    <x v="3"/>
    <s v="X"/>
    <s v="Operaciones"/>
    <x v="19"/>
  </r>
  <r>
    <s v="lsipiona@agricolachira.com.pe"/>
    <x v="3"/>
    <n v="5"/>
    <s v="Gestión Humana y Sostenibilidad"/>
    <x v="20"/>
  </r>
  <r>
    <s v="AAguilarMo@agricolachira.com.pe"/>
    <x v="3"/>
    <s v="X"/>
    <s v="Administración y Finanzas"/>
    <x v="9"/>
  </r>
  <r>
    <s v="LChanduviT@agricolachira.com.pe"/>
    <x v="3"/>
    <n v="5"/>
    <s v="Administración y Finanzas"/>
    <x v="10"/>
  </r>
  <r>
    <s v="NPizarroC@agricolachira.com.pe"/>
    <x v="3"/>
    <n v="5"/>
    <s v="Operaciones"/>
    <x v="8"/>
  </r>
  <r>
    <s v="jvasquezc@agricolachira.com.pe"/>
    <x v="3"/>
    <n v="4"/>
    <s v="Administración y Finanzas"/>
    <x v="18"/>
  </r>
  <r>
    <s v="HCruzA@agricolachira.com.pe"/>
    <x v="3"/>
    <n v="4"/>
    <s v="Operaciones"/>
    <x v="7"/>
  </r>
  <r>
    <s v="cfreym@agricolachira.com.pe"/>
    <x v="3"/>
    <n v="4"/>
    <s v="Operaciones"/>
    <x v="19"/>
  </r>
  <r>
    <s v="JIngaF@agricolachira.com.pe"/>
    <x v="3"/>
    <n v="5"/>
    <s v="Administración y Finanzas"/>
    <x v="18"/>
  </r>
  <r>
    <s v="EMartinezG@agricolachira.com.pe"/>
    <x v="3"/>
    <n v="4"/>
    <s v="Gestión Humana y Sostenibilidad"/>
    <x v="21"/>
  </r>
  <r>
    <s v="JBayonaG@agricolachira.com.pe"/>
    <x v="3"/>
    <s v="X"/>
    <s v="Administración y Finanzas"/>
    <x v="9"/>
  </r>
  <r>
    <s v="AColomaL@agricolachira.com.pe"/>
    <x v="3"/>
    <n v="4"/>
    <s v="Gestión Humana y Sostenibilidad"/>
    <x v="21"/>
  </r>
  <r>
    <s v="RTorresS@agricolachira.com.pe"/>
    <x v="3"/>
    <n v="4"/>
    <s v="Agrícola"/>
    <x v="11"/>
  </r>
  <r>
    <s v="CSosaL@agricolachira.com.pe"/>
    <x v="3"/>
    <n v="4"/>
    <s v="Administración y Finanzas"/>
    <x v="22"/>
  </r>
  <r>
    <s v="ABurneoL@agricolachira.com.pe"/>
    <x v="3"/>
    <n v="4"/>
    <s v="Administración y Finanzas"/>
    <x v="22"/>
  </r>
  <r>
    <s v="JNegronC@agricolachira.com.pe"/>
    <x v="3"/>
    <n v="4"/>
    <s v="Agrícola"/>
    <x v="11"/>
  </r>
  <r>
    <s v="JHidalgoS@agricolachira.com.pe"/>
    <x v="3"/>
    <n v="4"/>
    <s v="Administración y Finanzas"/>
    <x v="18"/>
  </r>
  <r>
    <s v="IFloresF@bioenergiadelchira.pe"/>
    <x v="3"/>
    <n v="4"/>
    <s v="Industrial y de Mantenimiento"/>
    <x v="23"/>
  </r>
  <r>
    <s v="jquevedoa@agricolachira.com.pe"/>
    <x v="3"/>
    <n v="4"/>
    <s v="Administración y Finanzas"/>
    <x v="24"/>
  </r>
  <r>
    <s v="USanchezF@agricolachira.com.pe"/>
    <x v="3"/>
    <n v="4"/>
    <s v="Administración y Finanzas"/>
    <x v="22"/>
  </r>
  <r>
    <s v="EMijahuancaG@agricolachira.com.pe"/>
    <x v="3"/>
    <n v="5"/>
    <s v="Operaciones"/>
    <x v="25"/>
  </r>
  <r>
    <s v="AGuldenG@agricolachira.com.pe"/>
    <x v="3"/>
    <n v="5"/>
    <s v="Agrícola"/>
    <x v="26"/>
  </r>
  <r>
    <s v="JRojasBarr@agricolachira.com.pe"/>
    <x v="3"/>
    <n v="4"/>
    <s v="Agrícola"/>
    <x v="27"/>
  </r>
  <r>
    <s v="AVilelaJ@agricolachira.com.pe"/>
    <x v="3"/>
    <n v="5"/>
    <s v="Administración y Finanzas"/>
    <x v="2"/>
  </r>
  <r>
    <s v="JLaraMa@agricolachira.com.pe"/>
    <x v="3"/>
    <n v="4"/>
    <s v="Administración y Finanzas"/>
    <x v="9"/>
  </r>
  <r>
    <s v="AGutierrezR@agricolachira.com.pe"/>
    <x v="3"/>
    <n v="5"/>
    <s v="Operaciones"/>
    <x v="19"/>
  </r>
  <r>
    <s v="JAquijeD@agricolachira.com.pe"/>
    <x v="3"/>
    <n v="4"/>
    <s v="Agrícola"/>
    <x v="27"/>
  </r>
  <r>
    <s v="ALachiraP@agricolachira.com.pe"/>
    <x v="3"/>
    <n v="4"/>
    <s v="Operaciones"/>
    <x v="7"/>
  </r>
  <r>
    <s v="jjimenezc@agricolachira.com.pe"/>
    <x v="3"/>
    <n v="5"/>
    <s v="Gestión Humana y Sostenibilidad"/>
    <x v="20"/>
  </r>
  <r>
    <s v="BGonzalesM@agricolachira.com.pe"/>
    <x v="3"/>
    <n v="4"/>
    <s v="Operaciones"/>
    <x v="15"/>
  </r>
  <r>
    <s v="VAntezanaM@agricolachira.com.pe"/>
    <x v="3"/>
    <n v="5"/>
    <s v="Administración y Finanzas"/>
    <x v="24"/>
  </r>
  <r>
    <s v="HBorjaT@agricolachira.com.pe"/>
    <x v="3"/>
    <s v="X"/>
    <s v="Industrial y de Mantenimiento"/>
    <x v="3"/>
  </r>
  <r>
    <s v="GPenaP@agricolachira.com.pe"/>
    <x v="3"/>
    <n v="5"/>
    <s v="Agrícola"/>
    <x v="26"/>
  </r>
  <r>
    <s v="ovasquezp@agricolachira.com.pe"/>
    <x v="3"/>
    <n v="4"/>
    <s v="Agrícola"/>
    <x v="28"/>
  </r>
  <r>
    <s v="NHansenG@agricolachira.com.pe"/>
    <x v="3"/>
    <n v="4"/>
    <s v="Agrícola"/>
    <x v="11"/>
  </r>
  <r>
    <s v="LVillarF@agricolachira.com.pe"/>
    <x v="3"/>
    <n v="4"/>
    <s v="Industrial y de Mantenimiento"/>
    <x v="29"/>
  </r>
  <r>
    <s v="DGameroS@agricolachira.com.pe"/>
    <x v="3"/>
    <s v="X"/>
    <s v="Industrial y de Mantenimiento"/>
    <x v="14"/>
  </r>
  <r>
    <s v="JEstelaF@agricolachira.com.pe"/>
    <x v="3"/>
    <n v="4"/>
    <s v="Operaciones"/>
    <x v="6"/>
  </r>
  <r>
    <s v="DFloreanoP@agricolachira.com.pe"/>
    <x v="3"/>
    <s v="X"/>
    <s v="Administración y Finanzas"/>
    <x v="9"/>
  </r>
  <r>
    <s v="PMarroquinR@agricolachira.com.pe"/>
    <x v="3"/>
    <n v="4"/>
    <s v="Agrícola"/>
    <x v="30"/>
  </r>
  <r>
    <s v="jbacilioh@agricolachira.com.pe"/>
    <x v="3"/>
    <n v="4"/>
    <s v="Agrícola"/>
    <x v="31"/>
  </r>
  <r>
    <s v="OMontenegroC@agricolachira.com.pe"/>
    <x v="3"/>
    <n v="5"/>
    <s v="Operaciones"/>
    <x v="19"/>
  </r>
  <r>
    <s v="SSanchezV@agricolachira.com.pe"/>
    <x v="3"/>
    <n v="4"/>
    <s v="Administración y Finanzas"/>
    <x v="22"/>
  </r>
  <r>
    <s v="EAmesM@agricolachira.com.pe"/>
    <x v="3"/>
    <s v="X"/>
    <s v="Gestión Humana y Sostenibilidad"/>
    <x v="32"/>
  </r>
  <r>
    <s v="JMendozaG@agricolachira.com.pe"/>
    <x v="3"/>
    <n v="5"/>
    <s v="Gestión Humana y Sostenibilidad"/>
    <x v="13"/>
  </r>
  <r>
    <s v="LRodriguezC@agricolachira.com.pe"/>
    <x v="3"/>
    <s v="X"/>
    <s v="Gestión Humana y Sostenibilidad"/>
    <x v="33"/>
  </r>
  <r>
    <s v="JPichilinguP@agricolachira.com.pe"/>
    <x v="3"/>
    <s v="X"/>
    <s v="Operaciones"/>
    <x v="19"/>
  </r>
  <r>
    <s v="LTimanaT@agricolachira.com.pe"/>
    <x v="3"/>
    <n v="4"/>
    <s v="Administración y Finanzas"/>
    <x v="9"/>
  </r>
  <r>
    <s v="RLupucheQ@agricolachira.com.pe"/>
    <x v="3"/>
    <s v="X"/>
    <s v="Agrícola"/>
    <x v="31"/>
  </r>
  <r>
    <s v="MVillegasJ@agricolachira.com.pe"/>
    <x v="3"/>
    <n v="5"/>
    <s v="Administración y Finanzas"/>
    <x v="24"/>
  </r>
  <r>
    <s v="RMoncadaP@agricolachira.com.pe"/>
    <x v="3"/>
    <n v="5"/>
    <s v="Administración y Finanzas"/>
    <x v="22"/>
  </r>
  <r>
    <s v="JCalderonChu@agricolachira.com.pe"/>
    <x v="3"/>
    <s v="X"/>
    <s v="Industrial y de Mantenimiento"/>
    <x v="14"/>
  </r>
  <r>
    <s v="AVasquezM@agricolachira.com.pe"/>
    <x v="3"/>
    <n v="5"/>
    <s v="Industrial y de Mantenimiento"/>
    <x v="29"/>
  </r>
  <r>
    <s v="RGarciaFe@agricolachira.com.pe"/>
    <x v="3"/>
    <n v="5"/>
    <s v="Administración y Finanzas"/>
    <x v="10"/>
  </r>
  <r>
    <s v="VAbadP@agricolachira.com.pe"/>
    <x v="3"/>
    <n v="5"/>
    <s v="Administración y Finanzas"/>
    <x v="10"/>
  </r>
  <r>
    <s v="AAdanaqueE@agricolachira.com.pe"/>
    <x v="3"/>
    <n v="5"/>
    <s v="Gestión Humana y Sostenibilidad"/>
    <x v="21"/>
  </r>
  <r>
    <s v="PSuncionZ@agricolachira.com.pe"/>
    <x v="3"/>
    <n v="5"/>
    <s v="Gestión Humana y Sostenibilidad"/>
    <x v="21"/>
  </r>
  <r>
    <s v="CLupucheV@agricolachira.com.pe"/>
    <x v="3"/>
    <s v="X"/>
    <s v="Agrícola"/>
    <x v="26"/>
  </r>
  <r>
    <s v="MDiazTa@agricolachira.com.pe"/>
    <x v="3"/>
    <n v="5"/>
    <s v="Administración y Finanzas"/>
    <x v="2"/>
  </r>
  <r>
    <s v="LOcanaP@agricolachira.com.pe"/>
    <x v="3"/>
    <n v="3"/>
    <s v="Administración y Finanzas"/>
    <x v="22"/>
  </r>
  <r>
    <s v="creyesy@agricolachira.com.pe"/>
    <x v="3"/>
    <n v="4"/>
    <s v="Industrial y de Mantenimiento"/>
    <x v="34"/>
  </r>
  <r>
    <s v="CVivancoM@agricolachira.com.pe"/>
    <x v="3"/>
    <n v="2"/>
    <s v="Administración y Finanzas"/>
    <x v="35"/>
  </r>
  <r>
    <s v="CRamosG@agricolachira.com.pe"/>
    <x v="4"/>
    <n v="4"/>
    <s v="Gestión Humana y Sostenibilidad"/>
    <x v="0"/>
  </r>
  <r>
    <s v="HMocarroC@agricolachira.com.pe"/>
    <x v="4"/>
    <n v="5"/>
    <s v="Administración y Finanzas"/>
    <x v="1"/>
  </r>
  <r>
    <s v="LOlayaLe@agricolachira.com.pe"/>
    <x v="4"/>
    <n v="3"/>
    <s v="Administración y Finanzas"/>
    <x v="2"/>
  </r>
  <r>
    <s v="CCarrilloR@agricolachira.com.pe"/>
    <x v="4"/>
    <n v="4"/>
    <s v="Industrial y de Mantenimiento"/>
    <x v="3"/>
  </r>
  <r>
    <s v="KOtinianoP@agricolachira.com.pe"/>
    <x v="4"/>
    <n v="4"/>
    <s v="Administración y Finanzas"/>
    <x v="4"/>
  </r>
  <r>
    <s v="VLopezS@agricolachira.com.pe"/>
    <x v="4"/>
    <n v="4"/>
    <s v="Operaciones"/>
    <x v="5"/>
  </r>
  <r>
    <s v="JCobenasS@agricolachira.com.pe"/>
    <x v="4"/>
    <n v="4"/>
    <s v="Operaciones"/>
    <x v="6"/>
  </r>
  <r>
    <s v="DCheroN@agricolachira.com.pe"/>
    <x v="4"/>
    <n v="5"/>
    <s v="Operaciones"/>
    <x v="7"/>
  </r>
  <r>
    <s v="ABlancoE@agricolachira.com.pe"/>
    <x v="4"/>
    <n v="4"/>
    <s v="Operaciones"/>
    <x v="8"/>
  </r>
  <r>
    <s v="YGarridoS@agricolachira.com.pe"/>
    <x v="4"/>
    <n v="4"/>
    <s v="Operaciones"/>
    <x v="7"/>
  </r>
  <r>
    <s v="VRequelmeS@agricolachira.com.pe"/>
    <x v="4"/>
    <n v="3"/>
    <s v="Administración y Finanzas"/>
    <x v="2"/>
  </r>
  <r>
    <s v="JCheroPa@agricolachira.com.pe"/>
    <x v="4"/>
    <n v="4"/>
    <s v="Administración y Finanzas"/>
    <x v="9"/>
  </r>
  <r>
    <s v="MMartinezP@agricolachira.com.pe"/>
    <x v="4"/>
    <n v="5"/>
    <s v="Administración y Finanzas"/>
    <x v="10"/>
  </r>
  <r>
    <s v="JMioA@agricolachira.com.pe"/>
    <x v="4"/>
    <n v="3"/>
    <s v="Agrícola"/>
    <x v="11"/>
  </r>
  <r>
    <s v="ptrigoso@agricolachira.com.pe"/>
    <x v="4"/>
    <n v="3"/>
    <s v="Operaciones"/>
    <x v="12"/>
  </r>
  <r>
    <s v="DZuritaF@agricolachira.com.pe"/>
    <x v="4"/>
    <s v="X"/>
    <s v="Administración y Finanzas"/>
    <x v="4"/>
  </r>
  <r>
    <s v="JArevaloga@agricolachira.com.pe"/>
    <x v="4"/>
    <n v="5"/>
    <s v="Gestión Humana y Sostenibilidad"/>
    <x v="13"/>
  </r>
  <r>
    <s v="AFloresD@agricolachira.com.pe"/>
    <x v="4"/>
    <n v="4"/>
    <s v="Industrial y de Mantenimiento"/>
    <x v="14"/>
  </r>
  <r>
    <s v="MVegaY@agricolachira.com.pe"/>
    <x v="4"/>
    <n v="4"/>
    <s v="Operaciones"/>
    <x v="6"/>
  </r>
  <r>
    <s v="LGarciaC@agricolachira.com.pe"/>
    <x v="4"/>
    <n v="4"/>
    <s v="Operaciones"/>
    <x v="5"/>
  </r>
  <r>
    <s v="SMerinoV@agricolachira.com.pe"/>
    <x v="4"/>
    <n v="5"/>
    <s v="Administración y Finanzas"/>
    <x v="2"/>
  </r>
  <r>
    <s v="JMogollonC@agricolachira.com.pe"/>
    <x v="4"/>
    <s v="X"/>
    <s v="Operaciones"/>
    <x v="15"/>
  </r>
  <r>
    <s v="WChavezS@agricolachira.com.pe"/>
    <x v="4"/>
    <n v="4"/>
    <s v="Agrícola"/>
    <x v="16"/>
  </r>
  <r>
    <s v="EArevaloJ@agricolachira.com.pe"/>
    <x v="4"/>
    <n v="5"/>
    <s v="Administración y Finanzas"/>
    <x v="17"/>
  </r>
  <r>
    <s v="JGomezAp@agricolachira.com.pe"/>
    <x v="4"/>
    <n v="5"/>
    <s v="Administración y Finanzas"/>
    <x v="18"/>
  </r>
  <r>
    <s v="JChaparroB@agricolachira.com.pe"/>
    <x v="4"/>
    <n v="5"/>
    <s v="Administración y Finanzas"/>
    <x v="9"/>
  </r>
  <r>
    <s v="WCarrascoA@agricolachira.com.pe"/>
    <x v="4"/>
    <n v="3"/>
    <s v="Administración y Finanzas"/>
    <x v="18"/>
  </r>
  <r>
    <s v="KZavaletaM@agricolachira.com.pe"/>
    <x v="4"/>
    <n v="5"/>
    <s v="Administración y Finanzas"/>
    <x v="10"/>
  </r>
  <r>
    <s v="YMoscolC@agricolachira.com.pe"/>
    <x v="4"/>
    <n v="5"/>
    <s v="Operaciones"/>
    <x v="19"/>
  </r>
  <r>
    <s v="lsipiona@agricolachira.com.pe"/>
    <x v="4"/>
    <n v="5"/>
    <s v="Gestión Humana y Sostenibilidad"/>
    <x v="20"/>
  </r>
  <r>
    <s v="AAguilarMo@agricolachira.com.pe"/>
    <x v="4"/>
    <n v="5"/>
    <s v="Administración y Finanzas"/>
    <x v="9"/>
  </r>
  <r>
    <s v="LChanduviT@agricolachira.com.pe"/>
    <x v="4"/>
    <n v="5"/>
    <s v="Administración y Finanzas"/>
    <x v="10"/>
  </r>
  <r>
    <s v="NPizarroC@agricolachira.com.pe"/>
    <x v="4"/>
    <n v="5"/>
    <s v="Operaciones"/>
    <x v="8"/>
  </r>
  <r>
    <s v="jvasquezc@agricolachira.com.pe"/>
    <x v="4"/>
    <n v="3"/>
    <s v="Administración y Finanzas"/>
    <x v="18"/>
  </r>
  <r>
    <s v="HCruzA@agricolachira.com.pe"/>
    <x v="4"/>
    <n v="4"/>
    <s v="Operaciones"/>
    <x v="7"/>
  </r>
  <r>
    <s v="cfreym@agricolachira.com.pe"/>
    <x v="4"/>
    <n v="4"/>
    <s v="Operaciones"/>
    <x v="19"/>
  </r>
  <r>
    <s v="JIngaF@agricolachira.com.pe"/>
    <x v="4"/>
    <n v="5"/>
    <s v="Administración y Finanzas"/>
    <x v="18"/>
  </r>
  <r>
    <s v="EMartinezG@agricolachira.com.pe"/>
    <x v="4"/>
    <n v="4"/>
    <s v="Gestión Humana y Sostenibilidad"/>
    <x v="21"/>
  </r>
  <r>
    <s v="JBayonaG@agricolachira.com.pe"/>
    <x v="4"/>
    <s v="X"/>
    <s v="Administración y Finanzas"/>
    <x v="9"/>
  </r>
  <r>
    <s v="AColomaL@agricolachira.com.pe"/>
    <x v="4"/>
    <n v="4"/>
    <s v="Gestión Humana y Sostenibilidad"/>
    <x v="21"/>
  </r>
  <r>
    <s v="RTorresS@agricolachira.com.pe"/>
    <x v="4"/>
    <n v="4"/>
    <s v="Agrícola"/>
    <x v="11"/>
  </r>
  <r>
    <s v="CSosaL@agricolachira.com.pe"/>
    <x v="4"/>
    <n v="4"/>
    <s v="Administración y Finanzas"/>
    <x v="22"/>
  </r>
  <r>
    <s v="ABurneoL@agricolachira.com.pe"/>
    <x v="4"/>
    <n v="4"/>
    <s v="Administración y Finanzas"/>
    <x v="22"/>
  </r>
  <r>
    <s v="JNegronC@agricolachira.com.pe"/>
    <x v="4"/>
    <n v="4"/>
    <s v="Agrícola"/>
    <x v="11"/>
  </r>
  <r>
    <s v="JHidalgoS@agricolachira.com.pe"/>
    <x v="4"/>
    <n v="5"/>
    <s v="Administración y Finanzas"/>
    <x v="18"/>
  </r>
  <r>
    <s v="IFloresF@bioenergiadelchira.pe"/>
    <x v="4"/>
    <n v="4"/>
    <s v="Industrial y de Mantenimiento"/>
    <x v="23"/>
  </r>
  <r>
    <s v="jquevedoa@agricolachira.com.pe"/>
    <x v="4"/>
    <n v="4"/>
    <s v="Administración y Finanzas"/>
    <x v="24"/>
  </r>
  <r>
    <s v="USanchezF@agricolachira.com.pe"/>
    <x v="4"/>
    <s v="X"/>
    <s v="Administración y Finanzas"/>
    <x v="22"/>
  </r>
  <r>
    <s v="EMijahuancaG@agricolachira.com.pe"/>
    <x v="4"/>
    <n v="5"/>
    <s v="Operaciones"/>
    <x v="25"/>
  </r>
  <r>
    <s v="AGuldenG@agricolachira.com.pe"/>
    <x v="4"/>
    <n v="4"/>
    <s v="Agrícola"/>
    <x v="26"/>
  </r>
  <r>
    <s v="JRojasBarr@agricolachira.com.pe"/>
    <x v="4"/>
    <s v="X"/>
    <s v="Agrícola"/>
    <x v="27"/>
  </r>
  <r>
    <s v="AVilelaJ@agricolachira.com.pe"/>
    <x v="4"/>
    <n v="5"/>
    <s v="Administración y Finanzas"/>
    <x v="2"/>
  </r>
  <r>
    <s v="JLaraMa@agricolachira.com.pe"/>
    <x v="4"/>
    <n v="2"/>
    <s v="Administración y Finanzas"/>
    <x v="9"/>
  </r>
  <r>
    <s v="AGutierrezR@agricolachira.com.pe"/>
    <x v="4"/>
    <n v="5"/>
    <s v="Operaciones"/>
    <x v="19"/>
  </r>
  <r>
    <s v="JAquijeD@agricolachira.com.pe"/>
    <x v="4"/>
    <n v="4"/>
    <s v="Agrícola"/>
    <x v="27"/>
  </r>
  <r>
    <s v="ALachiraP@agricolachira.com.pe"/>
    <x v="4"/>
    <n v="4"/>
    <s v="Operaciones"/>
    <x v="7"/>
  </r>
  <r>
    <s v="jjimenezc@agricolachira.com.pe"/>
    <x v="4"/>
    <n v="5"/>
    <s v="Gestión Humana y Sostenibilidad"/>
    <x v="20"/>
  </r>
  <r>
    <s v="BGonzalesM@agricolachira.com.pe"/>
    <x v="4"/>
    <n v="5"/>
    <s v="Operaciones"/>
    <x v="15"/>
  </r>
  <r>
    <s v="VAntezanaM@agricolachira.com.pe"/>
    <x v="4"/>
    <n v="5"/>
    <s v="Administración y Finanzas"/>
    <x v="24"/>
  </r>
  <r>
    <s v="HBorjaT@agricolachira.com.pe"/>
    <x v="4"/>
    <n v="4"/>
    <s v="Industrial y de Mantenimiento"/>
    <x v="3"/>
  </r>
  <r>
    <s v="GPenaP@agricolachira.com.pe"/>
    <x v="4"/>
    <n v="5"/>
    <s v="Agrícola"/>
    <x v="26"/>
  </r>
  <r>
    <s v="ovasquezp@agricolachira.com.pe"/>
    <x v="4"/>
    <n v="5"/>
    <s v="Agrícola"/>
    <x v="28"/>
  </r>
  <r>
    <s v="NHansenG@agricolachira.com.pe"/>
    <x v="4"/>
    <s v="X"/>
    <s v="Agrícola"/>
    <x v="11"/>
  </r>
  <r>
    <s v="LVillarF@agricolachira.com.pe"/>
    <x v="4"/>
    <n v="4"/>
    <s v="Industrial y de Mantenimiento"/>
    <x v="29"/>
  </r>
  <r>
    <s v="DGameroS@agricolachira.com.pe"/>
    <x v="4"/>
    <n v="4"/>
    <s v="Industrial y de Mantenimiento"/>
    <x v="14"/>
  </r>
  <r>
    <s v="JEstelaF@agricolachira.com.pe"/>
    <x v="4"/>
    <n v="4"/>
    <s v="Operaciones"/>
    <x v="6"/>
  </r>
  <r>
    <s v="DFloreanoP@agricolachira.com.pe"/>
    <x v="4"/>
    <n v="5"/>
    <s v="Administración y Finanzas"/>
    <x v="9"/>
  </r>
  <r>
    <s v="PMarroquinR@agricolachira.com.pe"/>
    <x v="4"/>
    <n v="4"/>
    <s v="Agrícola"/>
    <x v="30"/>
  </r>
  <r>
    <s v="jbacilioh@agricolachira.com.pe"/>
    <x v="4"/>
    <s v="X"/>
    <s v="Agrícola"/>
    <x v="31"/>
  </r>
  <r>
    <s v="OMontenegroC@agricolachira.com.pe"/>
    <x v="4"/>
    <n v="5"/>
    <s v="Operaciones"/>
    <x v="19"/>
  </r>
  <r>
    <s v="SSanchezV@agricolachira.com.pe"/>
    <x v="4"/>
    <n v="4"/>
    <s v="Administración y Finanzas"/>
    <x v="22"/>
  </r>
  <r>
    <s v="EAmesM@agricolachira.com.pe"/>
    <x v="4"/>
    <n v="5"/>
    <s v="Gestión Humana y Sostenibilidad"/>
    <x v="32"/>
  </r>
  <r>
    <s v="JMendozaG@agricolachira.com.pe"/>
    <x v="4"/>
    <n v="5"/>
    <s v="Gestión Humana y Sostenibilidad"/>
    <x v="13"/>
  </r>
  <r>
    <s v="LRodriguezC@agricolachira.com.pe"/>
    <x v="4"/>
    <n v="5"/>
    <s v="Gestión Humana y Sostenibilidad"/>
    <x v="33"/>
  </r>
  <r>
    <s v="JPichilinguP@agricolachira.com.pe"/>
    <x v="4"/>
    <n v="2"/>
    <s v="Operaciones"/>
    <x v="19"/>
  </r>
  <r>
    <s v="LTimanaT@agricolachira.com.pe"/>
    <x v="4"/>
    <n v="5"/>
    <s v="Administración y Finanzas"/>
    <x v="9"/>
  </r>
  <r>
    <s v="RLupucheQ@agricolachira.com.pe"/>
    <x v="4"/>
    <n v="5"/>
    <s v="Agrícola"/>
    <x v="31"/>
  </r>
  <r>
    <s v="MVillegasJ@agricolachira.com.pe"/>
    <x v="4"/>
    <n v="4"/>
    <s v="Administración y Finanzas"/>
    <x v="24"/>
  </r>
  <r>
    <s v="RMoncadaP@agricolachira.com.pe"/>
    <x v="4"/>
    <n v="5"/>
    <s v="Administración y Finanzas"/>
    <x v="22"/>
  </r>
  <r>
    <s v="JCalderonChu@agricolachira.com.pe"/>
    <x v="4"/>
    <n v="3"/>
    <s v="Industrial y de Mantenimiento"/>
    <x v="14"/>
  </r>
  <r>
    <s v="AVasquezM@agricolachira.com.pe"/>
    <x v="4"/>
    <s v="X"/>
    <s v="Industrial y de Mantenimiento"/>
    <x v="29"/>
  </r>
  <r>
    <s v="RGarciaFe@agricolachira.com.pe"/>
    <x v="4"/>
    <n v="5"/>
    <s v="Administración y Finanzas"/>
    <x v="10"/>
  </r>
  <r>
    <s v="VAbadP@agricolachira.com.pe"/>
    <x v="4"/>
    <n v="5"/>
    <s v="Administración y Finanzas"/>
    <x v="10"/>
  </r>
  <r>
    <s v="AAdanaqueE@agricolachira.com.pe"/>
    <x v="4"/>
    <n v="5"/>
    <s v="Gestión Humana y Sostenibilidad"/>
    <x v="21"/>
  </r>
  <r>
    <s v="PSuncionZ@agricolachira.com.pe"/>
    <x v="4"/>
    <n v="5"/>
    <s v="Gestión Humana y Sostenibilidad"/>
    <x v="21"/>
  </r>
  <r>
    <s v="CLupucheV@agricolachira.com.pe"/>
    <x v="4"/>
    <n v="5"/>
    <s v="Agrícola"/>
    <x v="26"/>
  </r>
  <r>
    <s v="MDiazTa@agricolachira.com.pe"/>
    <x v="4"/>
    <n v="5"/>
    <s v="Administración y Finanzas"/>
    <x v="2"/>
  </r>
  <r>
    <s v="LOcanaP@agricolachira.com.pe"/>
    <x v="4"/>
    <n v="4"/>
    <s v="Administración y Finanzas"/>
    <x v="22"/>
  </r>
  <r>
    <s v="creyesy@agricolachira.com.pe"/>
    <x v="4"/>
    <n v="4"/>
    <s v="Industrial y de Mantenimiento"/>
    <x v="34"/>
  </r>
  <r>
    <s v="CVivancoM@agricolachira.com.pe"/>
    <x v="4"/>
    <n v="4"/>
    <s v="Administración y Finanzas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7DB63C-A1DE-4C82-9389-05F046F97B9C}" name="TablaDinámica10" cacheId="3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0:I38" firstHeaderRow="1" firstDataRow="1" firstDataCol="1" rowPageCount="1" colPageCount="1"/>
  <pivotFields count="6">
    <pivotField showAll="0"/>
    <pivotField axis="axisRow" showAll="0">
      <items count="6">
        <item x="4"/>
        <item x="3"/>
        <item x="1"/>
        <item x="2"/>
        <item x="0"/>
        <item t="default"/>
      </items>
    </pivotField>
    <pivotField axis="axisRow" dataField="1" showAll="0">
      <items count="6">
        <item x="4"/>
        <item x="2"/>
        <item x="0"/>
        <item x="1"/>
        <item x="3"/>
        <item t="default"/>
      </items>
    </pivotField>
    <pivotField showAll="0">
      <items count="6">
        <item x="1"/>
        <item x="4"/>
        <item x="0"/>
        <item x="2"/>
        <item x="3"/>
        <item t="default"/>
      </items>
    </pivotField>
    <pivotField axis="axisPage" multipleItemSelectionAllowed="1" showAll="0">
      <items count="37">
        <item x="24"/>
        <item x="7"/>
        <item x="32"/>
        <item x="17"/>
        <item x="6"/>
        <item x="19"/>
        <item x="8"/>
        <item x="21"/>
        <item x="9"/>
        <item x="33"/>
        <item h="1" x="10"/>
        <item x="22"/>
        <item x="5"/>
        <item x="3"/>
        <item x="2"/>
        <item x="26"/>
        <item x="27"/>
        <item x="16"/>
        <item x="35"/>
        <item x="12"/>
        <item x="0"/>
        <item x="31"/>
        <item x="4"/>
        <item x="25"/>
        <item x="11"/>
        <item x="34"/>
        <item x="29"/>
        <item x="28"/>
        <item x="23"/>
        <item x="14"/>
        <item x="1"/>
        <item x="13"/>
        <item x="30"/>
        <item x="18"/>
        <item x="20"/>
        <item x="15"/>
        <item t="default"/>
      </items>
    </pivotField>
    <pivotField showAll="0">
      <items count="6">
        <item x="1"/>
        <item x="4"/>
        <item x="0"/>
        <item x="2"/>
        <item x="3"/>
        <item t="default"/>
      </items>
    </pivotField>
  </pivotFields>
  <rowFields count="2">
    <field x="1"/>
    <field x="2"/>
  </rowFields>
  <rowItems count="28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r="1">
      <x v="3"/>
    </i>
    <i r="1">
      <x v="4"/>
    </i>
    <i t="grand">
      <x/>
    </i>
  </rowItems>
  <colItems count="1">
    <i/>
  </colItems>
  <pageFields count="1">
    <pageField fld="4" hier="-1"/>
  </pageField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D3B123-C91A-4C7B-BA2E-902B2BA2CA1E}" name="PivotTablaAutoevaluacion" cacheId="365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 chartFormat="4">
  <location ref="L36:M42" firstHeaderRow="1" firstDataRow="1" firstDataCol="1" rowPageCount="1" colPageCount="1"/>
  <pivotFields count="5">
    <pivotField showAll="0"/>
    <pivotField axis="axisRow" showAll="0">
      <items count="6">
        <item x="4"/>
        <item x="3"/>
        <item x="1"/>
        <item x="2"/>
        <item x="0"/>
        <item t="default"/>
      </items>
    </pivotField>
    <pivotField dataField="1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37">
        <item x="24"/>
        <item x="7"/>
        <item x="32"/>
        <item x="17"/>
        <item x="6"/>
        <item x="19"/>
        <item x="8"/>
        <item x="21"/>
        <item x="9"/>
        <item x="33"/>
        <item x="10"/>
        <item x="22"/>
        <item x="5"/>
        <item x="3"/>
        <item x="2"/>
        <item x="26"/>
        <item x="27"/>
        <item x="16"/>
        <item x="35"/>
        <item x="12"/>
        <item x="0"/>
        <item x="31"/>
        <item x="4"/>
        <item x="25"/>
        <item x="11"/>
        <item x="34"/>
        <item x="29"/>
        <item x="28"/>
        <item x="23"/>
        <item x="14"/>
        <item x="1"/>
        <item x="13"/>
        <item x="30"/>
        <item x="18"/>
        <item x="20"/>
        <item x="15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4" item="10" hier="-1"/>
  </pageFields>
  <dataFields count="1">
    <dataField name="Promedio de Nro" fld="2" subtotal="average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>
    <filterColumn colId="1">
      <filters>
        <filter val="OMontenegroC@agricolachira.com.pe"/>
      </filters>
    </filterColumn>
  </autoFilter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93CD48-6509-442B-8231-7E3E5D96629D}" name="TBL_ResulEncuestas" displayName="TBL_ResulEncuestas" ref="A3:K93" totalsRowShown="0">
  <autoFilter ref="A3:K93" xr:uid="{9D93CD48-6509-442B-8231-7E3E5D96629D}"/>
  <tableColumns count="11">
    <tableColumn id="1" xr3:uid="{610B9ECE-BEC9-473C-9347-7BDDC6C1B69A}" name="ID"/>
    <tableColumn id="2" xr3:uid="{821C3600-A04D-4872-B68E-A80BCAB6A482}" name="Hora de inicio" dataDxfId="20"/>
    <tableColumn id="3" xr3:uid="{98298ED5-CC10-4B4A-B4A7-8FD07F995843}" name="Hora de finalización" dataDxfId="19"/>
    <tableColumn id="4" xr3:uid="{4D4FCB5A-E764-4269-82B5-4A2A8EA9DA9B}" name="Correo electrónico"/>
    <tableColumn id="5" xr3:uid="{16354AC7-6FC9-403C-B74C-04E78F82F19A}" name="Nombre"/>
    <tableColumn id="6" xr3:uid="{A48B4CF8-922F-44D4-8AAB-68DA31F1DA9D}" name="1"/>
    <tableColumn id="7" xr3:uid="{DB7BB88F-CB23-4D2C-A4B3-1EED6BBD0FE9}" name="2"/>
    <tableColumn id="8" xr3:uid="{6ECE984D-FC55-4B3A-911A-CEB821003408}" name="3"/>
    <tableColumn id="9" xr3:uid="{6365D485-D94D-420E-B839-07E74B4EEA00}" name="4"/>
    <tableColumn id="10" xr3:uid="{992CEC31-78AD-4FA1-8231-9C3F50E1D6DE}" name="5"/>
    <tableColumn id="11" xr3:uid="{5B2F6E21-CF16-4F67-ACD0-BC232C509BA3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62FC2-7AE7-4DD3-BE8F-AECC93154C9D}" name="Resumen2" displayName="Resumen2" ref="A1:F451" totalsRowShown="0">
  <autoFilter ref="A1:F451" xr:uid="{64462FC2-7AE7-4DD3-BE8F-AECC93154C9D}"/>
  <tableColumns count="6">
    <tableColumn id="1" xr3:uid="{98C76A8B-3532-44EC-A4B9-E617B3FECFE9}" name="Correo electrónico" dataDxfId="1"/>
    <tableColumn id="2" xr3:uid="{2B851CB1-BACB-45DE-892C-C3F179C5D515}" name="Servicios"/>
    <tableColumn id="3" xr3:uid="{F1FB8F93-70A8-401D-A961-B766FA666703}" name="Nro" dataDxfId="0"/>
    <tableColumn id="4" xr3:uid="{A0F7F425-EF9B-4CC9-98AA-06B1B7CFC9C3}" name="Gerencia">
      <calculatedColumnFormula>VLOOKUP(A2,DataUsuario!B:D,2,FALSE)</calculatedColumnFormula>
    </tableColumn>
    <tableColumn id="5" xr3:uid="{9027DA8F-F82E-4012-9C41-2D3BDD22878D}" name="Area">
      <calculatedColumnFormula>VLOOKUP(A2,DataUsuario!B:D,3,FALSE)</calculatedColumnFormula>
    </tableColumn>
    <tableColumn id="6" xr3:uid="{89A94FCF-B6F7-49F3-8F7A-463229212631}" name="Columna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38269B-0C6E-4DE0-8AC5-B18CF4B75D1B}" name="PivoteServicios" displayName="PivoteServicios" ref="A15:B20" totalsRowShown="0">
  <autoFilter ref="A15:B20" xr:uid="{6038269B-0C6E-4DE0-8AC5-B18CF4B75D1B}"/>
  <sortState xmlns:xlrd2="http://schemas.microsoft.com/office/spreadsheetml/2017/richdata2" ref="A16:B20">
    <sortCondition descending="1" ref="B15:B20"/>
  </sortState>
  <tableColumns count="2">
    <tableColumn id="1" xr3:uid="{F00708C1-288F-42FF-A16A-5CCF90B21C25}" name="Servicios"/>
    <tableColumn id="2" xr3:uid="{59DB4162-48A3-4CE7-8D1E-733F4BE7C9CB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4326472-82EC-45A7-9010-C70BF864F364}" name="PivoteGerencias" displayName="PivoteGerencias" ref="L15:M20" totalsRowShown="0">
  <autoFilter ref="L15:M20" xr:uid="{C4326472-82EC-45A7-9010-C70BF864F364}"/>
  <sortState xmlns:xlrd2="http://schemas.microsoft.com/office/spreadsheetml/2017/richdata2" ref="L16:M20">
    <sortCondition descending="1" ref="M15:M20"/>
  </sortState>
  <tableColumns count="2">
    <tableColumn id="1" xr3:uid="{120E195A-FAD7-4917-9E6D-236162CE2DE6}" name="Gerencias"/>
    <tableColumn id="2" xr3:uid="{3088D0A9-7388-4409-BB28-C33F3F5314F0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OMontenegroC@agricolachira.com.pe" TargetMode="Externa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mailto:OMontenegroC@agricolachira.com.pe" TargetMode="Externa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workbookViewId="0">
      <selection activeCell="B202" sqref="B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hidden="1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hidden="1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hidden="1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hidden="1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hidden="1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hidden="1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hidden="1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hidden="1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hidden="1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hidden="1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hidden="1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hidden="1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hidden="1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hidden="1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hidden="1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hidden="1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hidden="1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hidden="1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hidden="1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hidden="1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hidden="1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hidden="1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hidden="1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hidden="1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hidden="1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hidden="1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hidden="1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hidden="1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hidden="1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hidden="1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hidden="1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hidden="1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hidden="1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hidden="1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hidden="1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hidden="1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hidden="1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hidden="1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hidden="1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hidden="1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hidden="1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hidden="1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hidden="1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hidden="1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hidden="1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hidden="1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hidden="1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hidden="1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hidden="1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hidden="1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hidden="1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hidden="1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hidden="1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hidden="1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hidden="1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hidden="1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hidden="1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hidden="1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hidden="1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hidden="1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hidden="1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hidden="1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hidden="1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hidden="1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hidden="1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hidden="1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hidden="1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hidden="1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hidden="1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hidden="1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hidden="1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hidden="1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hidden="1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hidden="1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hidden="1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hidden="1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hidden="1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hidden="1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hidden="1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hidden="1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hidden="1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hidden="1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hidden="1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hidden="1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hidden="1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hidden="1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hidden="1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hidden="1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hidden="1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hidden="1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hidden="1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hidden="1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hidden="1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hidden="1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hidden="1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hidden="1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hidden="1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hidden="1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hidden="1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hidden="1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hidden="1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hidden="1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hidden="1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hidden="1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hidden="1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hidden="1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hidden="1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hidden="1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hidden="1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hidden="1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hidden="1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hidden="1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hidden="1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hidden="1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hidden="1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hidden="1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hidden="1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hidden="1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hidden="1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hidden="1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hidden="1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hidden="1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hidden="1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hidden="1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hidden="1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hidden="1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hidden="1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hidden="1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hidden="1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hidden="1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hidden="1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hidden="1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hidden="1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hidden="1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hidden="1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hidden="1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hidden="1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hidden="1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hidden="1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hidden="1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hidden="1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hidden="1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hidden="1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145" t="s">
        <v>618</v>
      </c>
      <c r="C145" s="4" t="s">
        <v>70</v>
      </c>
      <c r="D145" s="4" t="s">
        <v>86</v>
      </c>
    </row>
    <row r="146" spans="1:4" hidden="1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hidden="1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hidden="1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hidden="1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hidden="1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hidden="1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hidden="1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hidden="1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hidden="1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hidden="1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hidden="1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hidden="1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hidden="1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hidden="1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hidden="1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hidden="1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hidden="1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hidden="1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hidden="1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hidden="1" x14ac:dyDescent="0.3">
      <c r="A165" s="4" t="s">
        <v>243</v>
      </c>
      <c r="B165" s="4" t="s">
        <v>571</v>
      </c>
      <c r="C165" s="4" t="s">
        <v>62</v>
      </c>
      <c r="D165" s="4" t="s">
        <v>190</v>
      </c>
    </row>
    <row r="166" spans="1:4" hidden="1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hidden="1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hidden="1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hidden="1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hidden="1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hidden="1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hidden="1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hidden="1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hidden="1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hidden="1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hidden="1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hidden="1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hidden="1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hidden="1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hidden="1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hidden="1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hidden="1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hidden="1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hidden="1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hidden="1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hidden="1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hidden="1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hidden="1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hidden="1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hidden="1" x14ac:dyDescent="0.3">
      <c r="A190" s="2" t="s">
        <v>520</v>
      </c>
      <c r="B190" s="4" t="s">
        <v>572</v>
      </c>
      <c r="C190" s="4" t="s">
        <v>70</v>
      </c>
      <c r="D190" s="4" t="s">
        <v>71</v>
      </c>
    </row>
    <row r="191" spans="1:4" hidden="1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hidden="1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hidden="1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hidden="1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hidden="1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hidden="1" x14ac:dyDescent="0.3">
      <c r="A196" s="4" t="s">
        <v>527</v>
      </c>
      <c r="B196" s="3" t="s">
        <v>543</v>
      </c>
      <c r="C196" s="3" t="s">
        <v>62</v>
      </c>
      <c r="D196" s="3" t="s">
        <v>573</v>
      </c>
    </row>
    <row r="197" spans="1:4" hidden="1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hidden="1" x14ac:dyDescent="0.3">
      <c r="A198" t="s">
        <v>574</v>
      </c>
      <c r="B198" t="s">
        <v>575</v>
      </c>
      <c r="C198" t="s">
        <v>74</v>
      </c>
      <c r="D198" t="s">
        <v>75</v>
      </c>
    </row>
    <row r="199" spans="1:4" hidden="1" x14ac:dyDescent="0.3">
      <c r="A199" t="s">
        <v>576</v>
      </c>
      <c r="B199" t="s">
        <v>577</v>
      </c>
      <c r="C199" t="s">
        <v>66</v>
      </c>
      <c r="D199" t="s">
        <v>67</v>
      </c>
    </row>
    <row r="200" spans="1:4" hidden="1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hidden="1" x14ac:dyDescent="0.3">
      <c r="A201" t="s">
        <v>578</v>
      </c>
      <c r="B201" s="145" t="s">
        <v>579</v>
      </c>
      <c r="C201" t="s">
        <v>62</v>
      </c>
      <c r="D201" t="s">
        <v>190</v>
      </c>
    </row>
  </sheetData>
  <hyperlinks>
    <hyperlink ref="B201" r:id="rId1" xr:uid="{4639259E-7F68-4588-B695-4C7A249AEA4C}"/>
    <hyperlink ref="B145" r:id="rId2" xr:uid="{DC3C858F-299C-4197-92FC-8F92F6785DD7}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25" sqref="B25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4" sqref="A4:F4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9"/>
      <c r="L1" s="179"/>
      <c r="M1" s="179"/>
      <c r="N1" s="179"/>
      <c r="O1" s="179"/>
      <c r="P1" s="179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79"/>
      <c r="L2" s="179"/>
      <c r="M2" s="179"/>
      <c r="N2" s="179"/>
      <c r="O2" s="179"/>
      <c r="P2" s="179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>
        <v>4.3869999999999996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78" t="s">
        <v>509</v>
      </c>
      <c r="N6" s="178"/>
      <c r="O6" s="178"/>
      <c r="P6" s="178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505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77" t="s">
        <v>456</v>
      </c>
    </row>
    <row r="19" spans="1:16" x14ac:dyDescent="0.3">
      <c r="B19" s="177"/>
    </row>
    <row r="26" spans="1:16" x14ac:dyDescent="0.3">
      <c r="K26" t="s">
        <v>506</v>
      </c>
      <c r="M26" s="178" t="s">
        <v>509</v>
      </c>
      <c r="N26" s="178"/>
      <c r="O26" s="178"/>
      <c r="P26" s="178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5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>
        <v>4.508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>
        <v>4.3819999999999997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>
        <v>4.4690000000000003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>
        <v>4.29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>
        <v>4.2859999999999996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505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505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505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505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505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505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505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505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505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505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505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505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505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505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505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505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505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505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505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505</v>
      </c>
    </row>
    <row r="89" spans="1:6" x14ac:dyDescent="0.3">
      <c r="A89" s="124" t="s">
        <v>45</v>
      </c>
      <c r="B89" s="124" t="s">
        <v>55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A8" sqref="A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93"/>
  <sheetViews>
    <sheetView workbookViewId="0">
      <pane ySplit="1" topLeftCell="A4" activePane="bottomLeft" state="frozenSplit"/>
      <selection pane="bottomLeft" activeCell="M9" sqref="M9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1" width="9.21875" customWidth="1"/>
  </cols>
  <sheetData>
    <row r="1" spans="1:12" ht="15.6" x14ac:dyDescent="0.3">
      <c r="A1" s="180" t="s">
        <v>628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</row>
    <row r="3" spans="1:12" x14ac:dyDescent="0.3">
      <c r="A3" t="s">
        <v>582</v>
      </c>
      <c r="B3" t="s">
        <v>583</v>
      </c>
      <c r="C3" t="s">
        <v>584</v>
      </c>
      <c r="D3" t="s">
        <v>585</v>
      </c>
      <c r="E3" t="s">
        <v>57</v>
      </c>
      <c r="F3" s="108" t="s">
        <v>586</v>
      </c>
      <c r="G3" s="108" t="s">
        <v>587</v>
      </c>
      <c r="H3" s="108" t="s">
        <v>588</v>
      </c>
      <c r="I3" s="108" t="s">
        <v>589</v>
      </c>
      <c r="J3" s="108" t="s">
        <v>590</v>
      </c>
      <c r="K3" t="s">
        <v>591</v>
      </c>
    </row>
    <row r="4" spans="1:12" x14ac:dyDescent="0.3">
      <c r="A4">
        <v>438</v>
      </c>
      <c r="B4" s="155">
        <v>45637.370844907397</v>
      </c>
      <c r="C4" s="155">
        <v>45637.370949074102</v>
      </c>
      <c r="D4" t="s">
        <v>138</v>
      </c>
      <c r="E4" t="s">
        <v>137</v>
      </c>
      <c r="F4" t="s">
        <v>467</v>
      </c>
      <c r="G4" t="s">
        <v>467</v>
      </c>
      <c r="H4" t="s">
        <v>467</v>
      </c>
      <c r="I4" t="s">
        <v>467</v>
      </c>
      <c r="J4" t="s">
        <v>467</v>
      </c>
    </row>
    <row r="5" spans="1:12" x14ac:dyDescent="0.3">
      <c r="A5">
        <v>439</v>
      </c>
      <c r="B5" s="155">
        <v>45637.370752314797</v>
      </c>
      <c r="C5" s="155">
        <v>45637.371331018498</v>
      </c>
      <c r="D5" t="s">
        <v>207</v>
      </c>
      <c r="E5" t="s">
        <v>206</v>
      </c>
      <c r="F5" t="s">
        <v>468</v>
      </c>
      <c r="G5" t="s">
        <v>468</v>
      </c>
      <c r="H5" t="s">
        <v>468</v>
      </c>
      <c r="I5" t="s">
        <v>468</v>
      </c>
      <c r="J5" t="s">
        <v>468</v>
      </c>
      <c r="K5" t="s">
        <v>468</v>
      </c>
    </row>
    <row r="6" spans="1:12" x14ac:dyDescent="0.3">
      <c r="A6">
        <v>440</v>
      </c>
      <c r="B6" s="155">
        <v>45637.375162037002</v>
      </c>
      <c r="C6" s="155">
        <v>45637.375243055598</v>
      </c>
      <c r="D6" t="s">
        <v>322</v>
      </c>
      <c r="E6" t="s">
        <v>321</v>
      </c>
      <c r="F6" t="s">
        <v>469</v>
      </c>
      <c r="G6" t="s">
        <v>469</v>
      </c>
      <c r="H6" t="s">
        <v>469</v>
      </c>
      <c r="I6" t="s">
        <v>469</v>
      </c>
      <c r="J6" t="s">
        <v>469</v>
      </c>
    </row>
    <row r="7" spans="1:12" x14ac:dyDescent="0.3">
      <c r="A7">
        <v>441</v>
      </c>
      <c r="B7" s="155">
        <v>45637.374479166698</v>
      </c>
      <c r="C7" s="155">
        <v>45637.375335648103</v>
      </c>
      <c r="D7" t="s">
        <v>133</v>
      </c>
      <c r="E7" t="s">
        <v>132</v>
      </c>
      <c r="F7" t="s">
        <v>592</v>
      </c>
      <c r="G7" t="s">
        <v>468</v>
      </c>
      <c r="H7" t="s">
        <v>467</v>
      </c>
      <c r="I7" t="s">
        <v>467</v>
      </c>
      <c r="J7" t="s">
        <v>467</v>
      </c>
    </row>
    <row r="8" spans="1:12" x14ac:dyDescent="0.3">
      <c r="A8">
        <v>442</v>
      </c>
      <c r="B8" s="155">
        <v>45637.373888888898</v>
      </c>
      <c r="C8" s="155">
        <v>45637.3758564815</v>
      </c>
      <c r="D8" t="s">
        <v>299</v>
      </c>
      <c r="E8" t="s">
        <v>298</v>
      </c>
      <c r="F8" t="s">
        <v>469</v>
      </c>
      <c r="G8" t="s">
        <v>467</v>
      </c>
      <c r="H8" t="s">
        <v>467</v>
      </c>
      <c r="I8" t="s">
        <v>467</v>
      </c>
      <c r="J8" t="s">
        <v>467</v>
      </c>
    </row>
    <row r="9" spans="1:12" x14ac:dyDescent="0.3">
      <c r="A9">
        <v>443</v>
      </c>
      <c r="B9" s="155">
        <v>45637.378043981502</v>
      </c>
      <c r="C9" s="155">
        <v>45637.378460648099</v>
      </c>
      <c r="D9" t="s">
        <v>421</v>
      </c>
      <c r="E9" t="s">
        <v>420</v>
      </c>
      <c r="F9" t="s">
        <v>467</v>
      </c>
      <c r="G9" t="s">
        <v>467</v>
      </c>
      <c r="H9" t="s">
        <v>467</v>
      </c>
      <c r="I9" t="s">
        <v>467</v>
      </c>
      <c r="J9" t="s">
        <v>467</v>
      </c>
    </row>
    <row r="10" spans="1:12" x14ac:dyDescent="0.3">
      <c r="A10">
        <v>444</v>
      </c>
      <c r="B10" s="155">
        <v>45637.382881944402</v>
      </c>
      <c r="C10" s="155">
        <v>45637.383298611101</v>
      </c>
      <c r="D10" t="s">
        <v>258</v>
      </c>
      <c r="E10" t="s">
        <v>257</v>
      </c>
      <c r="F10" t="s">
        <v>467</v>
      </c>
      <c r="G10" t="s">
        <v>467</v>
      </c>
      <c r="H10" t="s">
        <v>467</v>
      </c>
      <c r="I10" t="s">
        <v>467</v>
      </c>
      <c r="J10" t="s">
        <v>467</v>
      </c>
    </row>
    <row r="11" spans="1:12" x14ac:dyDescent="0.3">
      <c r="A11">
        <v>445</v>
      </c>
      <c r="B11" s="155">
        <v>45637.386643518497</v>
      </c>
      <c r="C11" s="155">
        <v>45637.387141203697</v>
      </c>
      <c r="D11" t="s">
        <v>152</v>
      </c>
      <c r="E11" t="s">
        <v>151</v>
      </c>
      <c r="F11" t="s">
        <v>468</v>
      </c>
      <c r="G11" t="s">
        <v>468</v>
      </c>
      <c r="H11" t="s">
        <v>468</v>
      </c>
      <c r="I11" t="s">
        <v>468</v>
      </c>
      <c r="J11" t="s">
        <v>468</v>
      </c>
    </row>
    <row r="12" spans="1:12" x14ac:dyDescent="0.3">
      <c r="A12">
        <v>446</v>
      </c>
      <c r="B12" s="155">
        <v>45637.387939814798</v>
      </c>
      <c r="C12" s="155">
        <v>45637.388888888898</v>
      </c>
      <c r="D12" t="s">
        <v>77</v>
      </c>
      <c r="E12" t="s">
        <v>76</v>
      </c>
      <c r="F12" t="s">
        <v>468</v>
      </c>
      <c r="G12" t="s">
        <v>468</v>
      </c>
      <c r="H12" t="s">
        <v>468</v>
      </c>
      <c r="I12" t="s">
        <v>468</v>
      </c>
      <c r="J12" t="s">
        <v>467</v>
      </c>
    </row>
    <row r="13" spans="1:12" x14ac:dyDescent="0.3">
      <c r="A13">
        <v>447</v>
      </c>
      <c r="B13" s="155">
        <v>45637.3886458333</v>
      </c>
      <c r="C13" s="155">
        <v>45637.393194444398</v>
      </c>
      <c r="D13" t="s">
        <v>435</v>
      </c>
      <c r="E13" t="s">
        <v>434</v>
      </c>
      <c r="F13" t="s">
        <v>468</v>
      </c>
      <c r="G13" t="s">
        <v>467</v>
      </c>
      <c r="H13" t="s">
        <v>468</v>
      </c>
      <c r="I13" t="s">
        <v>469</v>
      </c>
      <c r="J13" t="s">
        <v>467</v>
      </c>
    </row>
    <row r="14" spans="1:12" x14ac:dyDescent="0.3">
      <c r="A14">
        <v>448</v>
      </c>
      <c r="B14" s="155">
        <v>45637.392893518503</v>
      </c>
      <c r="C14" s="155">
        <v>45637.394201388903</v>
      </c>
      <c r="D14" t="s">
        <v>405</v>
      </c>
      <c r="E14" t="s">
        <v>404</v>
      </c>
      <c r="F14" t="s">
        <v>592</v>
      </c>
      <c r="G14" t="s">
        <v>468</v>
      </c>
      <c r="H14" t="s">
        <v>468</v>
      </c>
      <c r="I14" t="s">
        <v>592</v>
      </c>
      <c r="J14" t="s">
        <v>469</v>
      </c>
    </row>
    <row r="15" spans="1:12" x14ac:dyDescent="0.3">
      <c r="A15">
        <v>449</v>
      </c>
      <c r="B15" s="155">
        <v>45637.388113425899</v>
      </c>
      <c r="C15" s="155">
        <v>45637.398518518501</v>
      </c>
      <c r="D15" t="s">
        <v>593</v>
      </c>
      <c r="E15" t="s">
        <v>295</v>
      </c>
      <c r="F15" t="s">
        <v>592</v>
      </c>
      <c r="G15" t="s">
        <v>592</v>
      </c>
      <c r="H15" t="s">
        <v>592</v>
      </c>
      <c r="I15" t="s">
        <v>467</v>
      </c>
      <c r="J15" t="s">
        <v>467</v>
      </c>
    </row>
    <row r="16" spans="1:12" x14ac:dyDescent="0.3">
      <c r="A16">
        <v>450</v>
      </c>
      <c r="B16" s="155">
        <v>45637.400081018503</v>
      </c>
      <c r="C16" s="155">
        <v>45637.400358796302</v>
      </c>
      <c r="D16" t="s">
        <v>341</v>
      </c>
      <c r="E16" t="s">
        <v>340</v>
      </c>
      <c r="F16" t="s">
        <v>468</v>
      </c>
      <c r="G16" t="s">
        <v>468</v>
      </c>
      <c r="H16" t="s">
        <v>468</v>
      </c>
      <c r="I16" t="s">
        <v>468</v>
      </c>
      <c r="J16" t="s">
        <v>468</v>
      </c>
    </row>
    <row r="17" spans="1:11" x14ac:dyDescent="0.3">
      <c r="A17">
        <v>451</v>
      </c>
      <c r="B17" s="155">
        <v>45637.410439814797</v>
      </c>
      <c r="C17" s="155">
        <v>45637.410740740699</v>
      </c>
      <c r="D17" t="s">
        <v>289</v>
      </c>
      <c r="E17" t="s">
        <v>288</v>
      </c>
      <c r="F17" t="s">
        <v>467</v>
      </c>
      <c r="G17" t="s">
        <v>467</v>
      </c>
      <c r="H17" t="s">
        <v>467</v>
      </c>
      <c r="I17" t="s">
        <v>467</v>
      </c>
      <c r="J17" t="s">
        <v>469</v>
      </c>
    </row>
    <row r="18" spans="1:11" x14ac:dyDescent="0.3">
      <c r="A18">
        <v>452</v>
      </c>
      <c r="B18" s="155">
        <v>45637.450416666703</v>
      </c>
      <c r="C18" s="155">
        <v>45637.452893518501</v>
      </c>
      <c r="D18" t="s">
        <v>359</v>
      </c>
      <c r="E18" t="s">
        <v>594</v>
      </c>
      <c r="F18" t="s">
        <v>592</v>
      </c>
      <c r="G18" t="s">
        <v>467</v>
      </c>
      <c r="H18" t="s">
        <v>467</v>
      </c>
      <c r="I18" t="s">
        <v>467</v>
      </c>
      <c r="J18" t="s">
        <v>469</v>
      </c>
      <c r="K18" t="s">
        <v>595</v>
      </c>
    </row>
    <row r="19" spans="1:11" x14ac:dyDescent="0.3">
      <c r="A19">
        <v>453</v>
      </c>
      <c r="B19" s="155">
        <v>45637.476724537002</v>
      </c>
      <c r="C19" s="155">
        <v>45637.477129629602</v>
      </c>
      <c r="D19" t="s">
        <v>145</v>
      </c>
      <c r="E19" t="s">
        <v>144</v>
      </c>
      <c r="F19" t="s">
        <v>467</v>
      </c>
      <c r="G19" t="s">
        <v>592</v>
      </c>
      <c r="H19" t="s">
        <v>592</v>
      </c>
      <c r="I19" t="s">
        <v>592</v>
      </c>
      <c r="J19" t="s">
        <v>592</v>
      </c>
    </row>
    <row r="20" spans="1:11" x14ac:dyDescent="0.3">
      <c r="A20">
        <v>454</v>
      </c>
      <c r="B20" s="155">
        <v>45637.478368055599</v>
      </c>
      <c r="C20" s="155">
        <v>45637.478900463</v>
      </c>
      <c r="D20" t="s">
        <v>596</v>
      </c>
      <c r="E20" t="s">
        <v>239</v>
      </c>
      <c r="F20" t="s">
        <v>468</v>
      </c>
      <c r="G20" t="s">
        <v>467</v>
      </c>
      <c r="H20" t="s">
        <v>592</v>
      </c>
      <c r="I20" t="s">
        <v>468</v>
      </c>
      <c r="J20" t="s">
        <v>468</v>
      </c>
    </row>
    <row r="21" spans="1:11" x14ac:dyDescent="0.3">
      <c r="A21">
        <v>455</v>
      </c>
      <c r="B21" s="155">
        <v>45637.478298611102</v>
      </c>
      <c r="C21" s="155">
        <v>45637.480995370403</v>
      </c>
      <c r="D21" t="s">
        <v>82</v>
      </c>
      <c r="E21" t="s">
        <v>81</v>
      </c>
      <c r="F21" t="s">
        <v>467</v>
      </c>
      <c r="G21" t="s">
        <v>467</v>
      </c>
      <c r="H21" t="s">
        <v>592</v>
      </c>
      <c r="I21" t="s">
        <v>467</v>
      </c>
      <c r="J21" t="s">
        <v>467</v>
      </c>
    </row>
    <row r="22" spans="1:11" x14ac:dyDescent="0.3">
      <c r="A22">
        <v>456</v>
      </c>
      <c r="B22" s="155">
        <v>45637.526608796303</v>
      </c>
      <c r="C22" s="155">
        <v>45637.527430555601</v>
      </c>
      <c r="D22" t="s">
        <v>326</v>
      </c>
      <c r="E22" t="s">
        <v>325</v>
      </c>
      <c r="F22" t="s">
        <v>467</v>
      </c>
      <c r="G22" t="s">
        <v>469</v>
      </c>
      <c r="H22" t="s">
        <v>467</v>
      </c>
      <c r="I22" t="s">
        <v>467</v>
      </c>
      <c r="J22" t="s">
        <v>467</v>
      </c>
    </row>
    <row r="23" spans="1:11" x14ac:dyDescent="0.3">
      <c r="A23">
        <v>457</v>
      </c>
      <c r="B23" s="155">
        <v>45637.528414351902</v>
      </c>
      <c r="C23" s="155">
        <v>45637.528715277796</v>
      </c>
      <c r="D23" t="s">
        <v>318</v>
      </c>
      <c r="E23" t="s">
        <v>317</v>
      </c>
      <c r="F23" t="s">
        <v>592</v>
      </c>
      <c r="G23" t="s">
        <v>592</v>
      </c>
      <c r="H23" t="s">
        <v>592</v>
      </c>
      <c r="I23" t="s">
        <v>469</v>
      </c>
      <c r="J23" t="s">
        <v>467</v>
      </c>
    </row>
    <row r="24" spans="1:11" x14ac:dyDescent="0.3">
      <c r="A24">
        <v>458</v>
      </c>
      <c r="B24" s="155">
        <v>45637.535578703697</v>
      </c>
      <c r="C24" s="155">
        <v>45637.535972222198</v>
      </c>
      <c r="D24" t="s">
        <v>391</v>
      </c>
      <c r="E24" t="s">
        <v>390</v>
      </c>
      <c r="F24" t="s">
        <v>468</v>
      </c>
      <c r="G24" t="s">
        <v>468</v>
      </c>
      <c r="H24" t="s">
        <v>468</v>
      </c>
      <c r="I24" t="s">
        <v>468</v>
      </c>
      <c r="J24" t="s">
        <v>468</v>
      </c>
    </row>
    <row r="25" spans="1:11" x14ac:dyDescent="0.3">
      <c r="A25">
        <v>459</v>
      </c>
      <c r="B25" s="155">
        <v>45637.540520833303</v>
      </c>
      <c r="C25" s="155">
        <v>45637.542268518497</v>
      </c>
      <c r="D25" t="s">
        <v>279</v>
      </c>
      <c r="E25" t="s">
        <v>278</v>
      </c>
      <c r="F25" t="s">
        <v>592</v>
      </c>
      <c r="G25" t="s">
        <v>592</v>
      </c>
      <c r="H25" t="s">
        <v>467</v>
      </c>
      <c r="I25" t="s">
        <v>467</v>
      </c>
      <c r="J25" t="s">
        <v>592</v>
      </c>
      <c r="K25" t="s">
        <v>597</v>
      </c>
    </row>
    <row r="26" spans="1:11" x14ac:dyDescent="0.3">
      <c r="A26">
        <v>460</v>
      </c>
      <c r="B26" s="155">
        <v>45637.580717592602</v>
      </c>
      <c r="C26" s="155">
        <v>45637.581527777802</v>
      </c>
      <c r="D26" t="s">
        <v>431</v>
      </c>
      <c r="E26" t="s">
        <v>430</v>
      </c>
      <c r="F26" t="s">
        <v>592</v>
      </c>
      <c r="G26" t="s">
        <v>592</v>
      </c>
      <c r="H26" t="s">
        <v>467</v>
      </c>
      <c r="I26" t="s">
        <v>592</v>
      </c>
      <c r="J26" t="s">
        <v>467</v>
      </c>
    </row>
    <row r="27" spans="1:11" x14ac:dyDescent="0.3">
      <c r="A27">
        <v>461</v>
      </c>
      <c r="B27" s="155">
        <v>45637.580694444398</v>
      </c>
      <c r="C27" s="155">
        <v>45637.581539351799</v>
      </c>
      <c r="D27" t="s">
        <v>176</v>
      </c>
      <c r="E27" t="s">
        <v>175</v>
      </c>
      <c r="F27" t="s">
        <v>468</v>
      </c>
      <c r="G27" t="s">
        <v>468</v>
      </c>
      <c r="H27" t="s">
        <v>468</v>
      </c>
      <c r="I27" t="s">
        <v>592</v>
      </c>
      <c r="J27" t="s">
        <v>468</v>
      </c>
    </row>
    <row r="28" spans="1:11" x14ac:dyDescent="0.3">
      <c r="A28">
        <v>462</v>
      </c>
      <c r="B28" s="155">
        <v>45637.592418981498</v>
      </c>
      <c r="C28" s="155">
        <v>45637.5930787037</v>
      </c>
      <c r="D28" t="s">
        <v>221</v>
      </c>
      <c r="E28" t="s">
        <v>598</v>
      </c>
      <c r="F28" t="s">
        <v>468</v>
      </c>
      <c r="G28" t="s">
        <v>468</v>
      </c>
      <c r="H28" t="s">
        <v>468</v>
      </c>
      <c r="I28" t="s">
        <v>468</v>
      </c>
      <c r="J28" t="s">
        <v>468</v>
      </c>
      <c r="K28" t="s">
        <v>599</v>
      </c>
    </row>
    <row r="29" spans="1:11" x14ac:dyDescent="0.3">
      <c r="A29">
        <v>463</v>
      </c>
      <c r="B29" s="155">
        <v>45637.595173611102</v>
      </c>
      <c r="C29" s="155">
        <v>45637.595740740697</v>
      </c>
      <c r="D29" t="s">
        <v>249</v>
      </c>
      <c r="E29" t="s">
        <v>248</v>
      </c>
      <c r="F29" t="s">
        <v>468</v>
      </c>
      <c r="G29" t="s">
        <v>468</v>
      </c>
      <c r="H29" t="s">
        <v>468</v>
      </c>
      <c r="I29" t="s">
        <v>468</v>
      </c>
      <c r="J29" t="s">
        <v>468</v>
      </c>
    </row>
    <row r="30" spans="1:11" x14ac:dyDescent="0.3">
      <c r="A30">
        <v>464</v>
      </c>
      <c r="B30" s="155">
        <v>45637.5933912037</v>
      </c>
      <c r="C30" s="155">
        <v>45637.597013888902</v>
      </c>
      <c r="D30" t="s">
        <v>600</v>
      </c>
      <c r="E30" t="s">
        <v>424</v>
      </c>
      <c r="F30" t="s">
        <v>467</v>
      </c>
      <c r="G30" t="s">
        <v>467</v>
      </c>
      <c r="H30" t="s">
        <v>469</v>
      </c>
      <c r="I30" t="s">
        <v>468</v>
      </c>
      <c r="J30" t="s">
        <v>469</v>
      </c>
    </row>
    <row r="31" spans="1:11" x14ac:dyDescent="0.3">
      <c r="A31">
        <v>465</v>
      </c>
      <c r="B31" s="155">
        <v>45637.601550925901</v>
      </c>
      <c r="C31" s="155">
        <v>45637.601840277799</v>
      </c>
      <c r="D31" t="s">
        <v>519</v>
      </c>
      <c r="E31" t="s">
        <v>601</v>
      </c>
      <c r="F31" t="s">
        <v>468</v>
      </c>
      <c r="G31" t="s">
        <v>468</v>
      </c>
      <c r="H31" t="s">
        <v>468</v>
      </c>
      <c r="I31" t="s">
        <v>468</v>
      </c>
      <c r="J31" t="s">
        <v>468</v>
      </c>
    </row>
    <row r="32" spans="1:11" x14ac:dyDescent="0.3">
      <c r="A32">
        <v>466</v>
      </c>
      <c r="B32" s="155">
        <v>45637.605694444399</v>
      </c>
      <c r="C32" s="155">
        <v>45637.606284722198</v>
      </c>
      <c r="D32" t="s">
        <v>439</v>
      </c>
      <c r="E32" t="s">
        <v>438</v>
      </c>
      <c r="F32" t="s">
        <v>468</v>
      </c>
      <c r="G32" t="s">
        <v>468</v>
      </c>
      <c r="H32" t="s">
        <v>468</v>
      </c>
      <c r="I32" t="s">
        <v>592</v>
      </c>
      <c r="J32" t="s">
        <v>468</v>
      </c>
    </row>
    <row r="33" spans="1:11" x14ac:dyDescent="0.3">
      <c r="A33">
        <v>467</v>
      </c>
      <c r="B33" s="155">
        <v>45637.613310185203</v>
      </c>
      <c r="C33" s="155">
        <v>45637.6151157407</v>
      </c>
      <c r="D33" t="s">
        <v>320</v>
      </c>
      <c r="E33" t="s">
        <v>319</v>
      </c>
      <c r="F33" t="s">
        <v>468</v>
      </c>
      <c r="G33" t="s">
        <v>467</v>
      </c>
      <c r="H33" t="s">
        <v>468</v>
      </c>
      <c r="I33" t="s">
        <v>468</v>
      </c>
      <c r="J33" t="s">
        <v>468</v>
      </c>
    </row>
    <row r="34" spans="1:11" x14ac:dyDescent="0.3">
      <c r="A34">
        <v>468</v>
      </c>
      <c r="B34" s="155">
        <v>45637.642164351797</v>
      </c>
      <c r="C34" s="155">
        <v>45637.642835648097</v>
      </c>
      <c r="D34" t="s">
        <v>80</v>
      </c>
      <c r="E34" t="s">
        <v>79</v>
      </c>
      <c r="F34" t="s">
        <v>592</v>
      </c>
      <c r="G34" t="s">
        <v>467</v>
      </c>
      <c r="H34" t="s">
        <v>592</v>
      </c>
      <c r="I34" t="s">
        <v>592</v>
      </c>
      <c r="J34" t="s">
        <v>468</v>
      </c>
    </row>
    <row r="35" spans="1:11" x14ac:dyDescent="0.3">
      <c r="A35">
        <v>469</v>
      </c>
      <c r="B35" s="155">
        <v>45637.643472222197</v>
      </c>
      <c r="C35" s="155">
        <v>45637.643877314797</v>
      </c>
      <c r="D35" t="s">
        <v>301</v>
      </c>
      <c r="E35" t="s">
        <v>300</v>
      </c>
      <c r="F35" t="s">
        <v>468</v>
      </c>
      <c r="G35" t="s">
        <v>468</v>
      </c>
      <c r="H35" t="s">
        <v>468</v>
      </c>
      <c r="I35" t="s">
        <v>468</v>
      </c>
      <c r="J35" t="s">
        <v>468</v>
      </c>
    </row>
    <row r="36" spans="1:11" x14ac:dyDescent="0.3">
      <c r="A36">
        <v>470</v>
      </c>
      <c r="B36" s="155">
        <v>45637.661111111098</v>
      </c>
      <c r="C36" s="155">
        <v>45637.664641203701</v>
      </c>
      <c r="D36" t="s">
        <v>343</v>
      </c>
      <c r="E36" t="s">
        <v>342</v>
      </c>
      <c r="F36" t="s">
        <v>468</v>
      </c>
      <c r="G36" t="s">
        <v>468</v>
      </c>
      <c r="H36" t="s">
        <v>468</v>
      </c>
      <c r="I36" t="s">
        <v>468</v>
      </c>
      <c r="J36" t="s">
        <v>468</v>
      </c>
    </row>
    <row r="37" spans="1:11" x14ac:dyDescent="0.3">
      <c r="A37">
        <v>471</v>
      </c>
      <c r="B37" s="155">
        <v>45637.666250000002</v>
      </c>
      <c r="C37" s="155">
        <v>45637.667465277802</v>
      </c>
      <c r="D37" t="s">
        <v>236</v>
      </c>
      <c r="E37" t="s">
        <v>235</v>
      </c>
      <c r="F37" t="s">
        <v>468</v>
      </c>
      <c r="G37" t="s">
        <v>467</v>
      </c>
      <c r="H37" t="s">
        <v>467</v>
      </c>
      <c r="I37" t="s">
        <v>467</v>
      </c>
      <c r="J37" t="s">
        <v>469</v>
      </c>
    </row>
    <row r="38" spans="1:11" x14ac:dyDescent="0.3">
      <c r="A38">
        <v>472</v>
      </c>
      <c r="B38" s="155">
        <v>45637.683923611097</v>
      </c>
      <c r="C38" s="155">
        <v>45637.684270833299</v>
      </c>
      <c r="D38" t="s">
        <v>205</v>
      </c>
      <c r="E38" t="s">
        <v>204</v>
      </c>
      <c r="F38" t="s">
        <v>592</v>
      </c>
      <c r="G38" t="s">
        <v>467</v>
      </c>
      <c r="H38" t="s">
        <v>468</v>
      </c>
      <c r="I38" t="s">
        <v>467</v>
      </c>
      <c r="J38" t="s">
        <v>467</v>
      </c>
    </row>
    <row r="39" spans="1:11" x14ac:dyDescent="0.3">
      <c r="A39">
        <v>473</v>
      </c>
      <c r="B39" s="155">
        <v>45637.725138888898</v>
      </c>
      <c r="C39" s="155">
        <v>45637.729895833298</v>
      </c>
      <c r="D39" t="s">
        <v>136</v>
      </c>
      <c r="E39" t="s">
        <v>135</v>
      </c>
      <c r="F39" t="s">
        <v>468</v>
      </c>
      <c r="G39" t="s">
        <v>467</v>
      </c>
      <c r="H39" t="s">
        <v>468</v>
      </c>
      <c r="I39" t="s">
        <v>467</v>
      </c>
      <c r="J39" t="s">
        <v>467</v>
      </c>
    </row>
    <row r="40" spans="1:11" x14ac:dyDescent="0.3">
      <c r="A40">
        <v>474</v>
      </c>
      <c r="B40" s="155">
        <v>45637.746342592603</v>
      </c>
      <c r="C40" s="155">
        <v>45637.747546296298</v>
      </c>
      <c r="D40" t="s">
        <v>602</v>
      </c>
      <c r="E40" t="s">
        <v>282</v>
      </c>
      <c r="F40" t="s">
        <v>468</v>
      </c>
      <c r="G40" t="s">
        <v>468</v>
      </c>
      <c r="H40" t="s">
        <v>468</v>
      </c>
      <c r="I40" t="s">
        <v>468</v>
      </c>
      <c r="J40" t="s">
        <v>468</v>
      </c>
      <c r="K40" t="s">
        <v>603</v>
      </c>
    </row>
    <row r="41" spans="1:11" x14ac:dyDescent="0.3">
      <c r="A41">
        <v>475</v>
      </c>
      <c r="B41" s="155">
        <v>45637.655972222201</v>
      </c>
      <c r="C41" s="155">
        <v>45637.769421296303</v>
      </c>
      <c r="D41" t="s">
        <v>181</v>
      </c>
      <c r="E41" t="s">
        <v>180</v>
      </c>
      <c r="F41" t="s">
        <v>467</v>
      </c>
      <c r="G41" t="s">
        <v>467</v>
      </c>
      <c r="H41" t="s">
        <v>467</v>
      </c>
      <c r="I41" t="s">
        <v>467</v>
      </c>
      <c r="J41" t="s">
        <v>467</v>
      </c>
    </row>
    <row r="42" spans="1:11" x14ac:dyDescent="0.3">
      <c r="A42">
        <v>476</v>
      </c>
      <c r="B42" s="155">
        <v>45638.0363194444</v>
      </c>
      <c r="C42" s="155">
        <v>45638.049884259301</v>
      </c>
      <c r="D42" t="s">
        <v>275</v>
      </c>
      <c r="E42" t="s">
        <v>274</v>
      </c>
      <c r="F42" t="s">
        <v>592</v>
      </c>
      <c r="G42" t="s">
        <v>592</v>
      </c>
      <c r="H42" t="s">
        <v>467</v>
      </c>
      <c r="I42" t="s">
        <v>592</v>
      </c>
      <c r="J42" t="s">
        <v>592</v>
      </c>
    </row>
    <row r="43" spans="1:11" x14ac:dyDescent="0.3">
      <c r="A43">
        <v>477</v>
      </c>
      <c r="B43" s="155">
        <v>45638.351793981499</v>
      </c>
      <c r="C43" s="155">
        <v>45638.352974537003</v>
      </c>
      <c r="D43" t="s">
        <v>61</v>
      </c>
      <c r="E43" t="s">
        <v>60</v>
      </c>
      <c r="F43" t="s">
        <v>467</v>
      </c>
      <c r="G43" t="s">
        <v>467</v>
      </c>
      <c r="H43" t="s">
        <v>467</v>
      </c>
      <c r="I43" t="s">
        <v>467</v>
      </c>
      <c r="J43" t="s">
        <v>467</v>
      </c>
    </row>
    <row r="44" spans="1:11" x14ac:dyDescent="0.3">
      <c r="A44">
        <v>478</v>
      </c>
      <c r="B44" s="155">
        <v>45638.361099537004</v>
      </c>
      <c r="C44" s="155">
        <v>45638.361377314803</v>
      </c>
      <c r="D44" t="s">
        <v>374</v>
      </c>
      <c r="E44" t="s">
        <v>604</v>
      </c>
      <c r="F44" t="s">
        <v>467</v>
      </c>
      <c r="G44" t="s">
        <v>467</v>
      </c>
      <c r="H44" t="s">
        <v>467</v>
      </c>
      <c r="I44" t="s">
        <v>467</v>
      </c>
      <c r="J44" t="s">
        <v>467</v>
      </c>
    </row>
    <row r="45" spans="1:11" x14ac:dyDescent="0.3">
      <c r="A45">
        <v>479</v>
      </c>
      <c r="B45" s="155">
        <v>45638.362881944398</v>
      </c>
      <c r="C45" s="155">
        <v>45638.364513888897</v>
      </c>
      <c r="D45" t="s">
        <v>605</v>
      </c>
      <c r="E45" t="s">
        <v>140</v>
      </c>
      <c r="F45" t="s">
        <v>592</v>
      </c>
      <c r="G45" t="s">
        <v>592</v>
      </c>
      <c r="H45" t="s">
        <v>468</v>
      </c>
      <c r="I45" t="s">
        <v>467</v>
      </c>
      <c r="J45" t="s">
        <v>467</v>
      </c>
    </row>
    <row r="46" spans="1:11" x14ac:dyDescent="0.3">
      <c r="A46">
        <v>480</v>
      </c>
      <c r="B46" s="155">
        <v>45638.358761574098</v>
      </c>
      <c r="C46" s="155">
        <v>45638.387800925899</v>
      </c>
      <c r="D46" t="s">
        <v>92</v>
      </c>
      <c r="E46" t="s">
        <v>91</v>
      </c>
      <c r="F46" t="s">
        <v>592</v>
      </c>
      <c r="G46" t="s">
        <v>592</v>
      </c>
      <c r="H46" t="s">
        <v>592</v>
      </c>
      <c r="I46" t="s">
        <v>467</v>
      </c>
      <c r="J46" t="s">
        <v>467</v>
      </c>
    </row>
    <row r="47" spans="1:11" x14ac:dyDescent="0.3">
      <c r="A47">
        <v>481</v>
      </c>
      <c r="B47" s="155">
        <v>45638.436574074098</v>
      </c>
      <c r="C47" s="155">
        <v>45638.437071759297</v>
      </c>
      <c r="D47" t="s">
        <v>217</v>
      </c>
      <c r="E47" t="s">
        <v>216</v>
      </c>
      <c r="F47" t="s">
        <v>467</v>
      </c>
      <c r="G47" t="s">
        <v>467</v>
      </c>
      <c r="H47" t="s">
        <v>467</v>
      </c>
      <c r="I47" t="s">
        <v>467</v>
      </c>
      <c r="J47" t="s">
        <v>467</v>
      </c>
    </row>
    <row r="48" spans="1:11" x14ac:dyDescent="0.3">
      <c r="A48">
        <v>482</v>
      </c>
      <c r="B48" s="155">
        <v>45638.442650463003</v>
      </c>
      <c r="C48" s="155">
        <v>45638.444745370398</v>
      </c>
      <c r="D48" t="s">
        <v>606</v>
      </c>
      <c r="E48" t="s">
        <v>293</v>
      </c>
      <c r="F48" t="s">
        <v>467</v>
      </c>
      <c r="G48" t="s">
        <v>468</v>
      </c>
      <c r="H48" t="s">
        <v>468</v>
      </c>
      <c r="I48" t="s">
        <v>467</v>
      </c>
      <c r="J48" t="s">
        <v>468</v>
      </c>
      <c r="K48" t="s">
        <v>607</v>
      </c>
    </row>
    <row r="49" spans="1:11" x14ac:dyDescent="0.3">
      <c r="A49">
        <v>483</v>
      </c>
      <c r="B49" s="155">
        <v>45638.465763888897</v>
      </c>
      <c r="C49" s="155">
        <v>45638.468043981498</v>
      </c>
      <c r="D49" t="s">
        <v>210</v>
      </c>
      <c r="E49" t="s">
        <v>561</v>
      </c>
      <c r="F49" t="s">
        <v>468</v>
      </c>
      <c r="G49" t="s">
        <v>467</v>
      </c>
      <c r="H49" t="s">
        <v>467</v>
      </c>
      <c r="I49" t="s">
        <v>467</v>
      </c>
      <c r="J49" t="s">
        <v>467</v>
      </c>
    </row>
    <row r="50" spans="1:11" x14ac:dyDescent="0.3">
      <c r="A50">
        <v>484</v>
      </c>
      <c r="B50" s="155">
        <v>45638.471006944397</v>
      </c>
      <c r="C50" s="155">
        <v>45638.472210648099</v>
      </c>
      <c r="D50" t="s">
        <v>254</v>
      </c>
      <c r="E50" t="s">
        <v>253</v>
      </c>
      <c r="F50" t="s">
        <v>467</v>
      </c>
      <c r="G50" t="s">
        <v>467</v>
      </c>
      <c r="H50" t="s">
        <v>592</v>
      </c>
      <c r="I50" t="s">
        <v>467</v>
      </c>
      <c r="J50" t="s">
        <v>467</v>
      </c>
      <c r="K50" t="s">
        <v>467</v>
      </c>
    </row>
    <row r="51" spans="1:11" x14ac:dyDescent="0.3">
      <c r="A51">
        <v>485</v>
      </c>
      <c r="B51" s="155">
        <v>45638.475023148101</v>
      </c>
      <c r="C51" s="155">
        <v>45638.475740740701</v>
      </c>
      <c r="D51" t="s">
        <v>403</v>
      </c>
      <c r="E51" t="s">
        <v>402</v>
      </c>
      <c r="F51" t="s">
        <v>467</v>
      </c>
      <c r="G51" t="s">
        <v>467</v>
      </c>
      <c r="H51" t="s">
        <v>467</v>
      </c>
      <c r="I51" t="s">
        <v>467</v>
      </c>
      <c r="J51" t="s">
        <v>592</v>
      </c>
    </row>
    <row r="52" spans="1:11" x14ac:dyDescent="0.3">
      <c r="A52">
        <v>486</v>
      </c>
      <c r="B52" s="155">
        <v>45638.475914351897</v>
      </c>
      <c r="C52" s="155">
        <v>45638.476689814801</v>
      </c>
      <c r="D52" t="s">
        <v>170</v>
      </c>
      <c r="E52" t="s">
        <v>169</v>
      </c>
      <c r="F52" t="s">
        <v>468</v>
      </c>
      <c r="G52" t="s">
        <v>468</v>
      </c>
      <c r="H52" t="s">
        <v>592</v>
      </c>
      <c r="I52" t="s">
        <v>468</v>
      </c>
      <c r="J52" t="s">
        <v>468</v>
      </c>
    </row>
    <row r="53" spans="1:11" x14ac:dyDescent="0.3">
      <c r="A53">
        <v>487</v>
      </c>
      <c r="B53" s="155">
        <v>45638.4760648148</v>
      </c>
      <c r="C53" s="155">
        <v>45638.476817129602</v>
      </c>
      <c r="D53" t="s">
        <v>88</v>
      </c>
      <c r="E53" t="s">
        <v>87</v>
      </c>
      <c r="F53" t="s">
        <v>592</v>
      </c>
      <c r="G53" t="s">
        <v>468</v>
      </c>
      <c r="H53" t="s">
        <v>468</v>
      </c>
      <c r="I53" t="s">
        <v>468</v>
      </c>
      <c r="J53" t="s">
        <v>467</v>
      </c>
    </row>
    <row r="54" spans="1:11" x14ac:dyDescent="0.3">
      <c r="A54">
        <v>488</v>
      </c>
      <c r="B54" s="155">
        <v>45638.477199074099</v>
      </c>
      <c r="C54" s="155">
        <v>45638.477673611102</v>
      </c>
      <c r="D54" t="s">
        <v>242</v>
      </c>
      <c r="E54" t="s">
        <v>241</v>
      </c>
      <c r="F54" t="s">
        <v>592</v>
      </c>
      <c r="G54" t="s">
        <v>467</v>
      </c>
      <c r="H54" t="s">
        <v>592</v>
      </c>
      <c r="I54" t="s">
        <v>467</v>
      </c>
      <c r="J54" t="s">
        <v>592</v>
      </c>
    </row>
    <row r="55" spans="1:11" x14ac:dyDescent="0.3">
      <c r="A55">
        <v>489</v>
      </c>
      <c r="B55" s="155">
        <v>45638.478981481501</v>
      </c>
      <c r="C55" s="155">
        <v>45638.479594907403</v>
      </c>
      <c r="D55" t="s">
        <v>65</v>
      </c>
      <c r="E55" t="s">
        <v>64</v>
      </c>
      <c r="F55" t="s">
        <v>468</v>
      </c>
      <c r="G55" t="s">
        <v>468</v>
      </c>
      <c r="H55" t="s">
        <v>468</v>
      </c>
      <c r="I55" t="s">
        <v>468</v>
      </c>
      <c r="J55" t="s">
        <v>468</v>
      </c>
      <c r="K55" t="s">
        <v>608</v>
      </c>
    </row>
    <row r="56" spans="1:11" x14ac:dyDescent="0.3">
      <c r="A56">
        <v>490</v>
      </c>
      <c r="B56" s="155">
        <v>45638.478831018503</v>
      </c>
      <c r="C56" s="155">
        <v>45638.479710648098</v>
      </c>
      <c r="D56" t="s">
        <v>609</v>
      </c>
      <c r="E56" t="s">
        <v>233</v>
      </c>
      <c r="F56" t="s">
        <v>592</v>
      </c>
      <c r="G56" t="s">
        <v>592</v>
      </c>
      <c r="H56" t="s">
        <v>467</v>
      </c>
      <c r="I56" t="s">
        <v>467</v>
      </c>
      <c r="J56" t="s">
        <v>470</v>
      </c>
      <c r="K56" t="s">
        <v>610</v>
      </c>
    </row>
    <row r="57" spans="1:11" x14ac:dyDescent="0.3">
      <c r="A57">
        <v>491</v>
      </c>
      <c r="B57" s="155">
        <v>45638.487835648099</v>
      </c>
      <c r="C57" s="155">
        <v>45638.488055555601</v>
      </c>
      <c r="D57" t="s">
        <v>85</v>
      </c>
      <c r="E57" t="s">
        <v>84</v>
      </c>
      <c r="F57" t="s">
        <v>468</v>
      </c>
      <c r="G57" t="s">
        <v>468</v>
      </c>
      <c r="H57" t="s">
        <v>468</v>
      </c>
      <c r="I57" t="s">
        <v>468</v>
      </c>
      <c r="J57" t="s">
        <v>468</v>
      </c>
    </row>
    <row r="58" spans="1:11" x14ac:dyDescent="0.3">
      <c r="A58">
        <v>492</v>
      </c>
      <c r="B58" s="155">
        <v>45638.488912036999</v>
      </c>
      <c r="C58" s="155">
        <v>45638.490775462997</v>
      </c>
      <c r="D58" t="s">
        <v>256</v>
      </c>
      <c r="E58" t="s">
        <v>255</v>
      </c>
      <c r="F58" t="s">
        <v>469</v>
      </c>
      <c r="G58" t="s">
        <v>467</v>
      </c>
      <c r="H58" t="s">
        <v>592</v>
      </c>
      <c r="I58" t="s">
        <v>467</v>
      </c>
      <c r="J58" t="s">
        <v>467</v>
      </c>
    </row>
    <row r="59" spans="1:11" x14ac:dyDescent="0.3">
      <c r="A59">
        <v>493</v>
      </c>
      <c r="B59" s="155">
        <v>45638.498171296298</v>
      </c>
      <c r="C59" s="155">
        <v>45638.498344907399</v>
      </c>
      <c r="D59" t="s">
        <v>611</v>
      </c>
      <c r="E59" t="s">
        <v>68</v>
      </c>
      <c r="F59" t="s">
        <v>467</v>
      </c>
      <c r="G59" t="s">
        <v>467</v>
      </c>
      <c r="H59" t="s">
        <v>467</v>
      </c>
      <c r="I59" t="s">
        <v>467</v>
      </c>
      <c r="J59" t="s">
        <v>467</v>
      </c>
      <c r="K59" s="108" t="s">
        <v>612</v>
      </c>
    </row>
    <row r="60" spans="1:11" x14ac:dyDescent="0.3">
      <c r="A60">
        <v>494</v>
      </c>
      <c r="B60" s="155">
        <v>45638.498807870397</v>
      </c>
      <c r="C60" s="155">
        <v>45638.499675925901</v>
      </c>
      <c r="D60" t="s">
        <v>267</v>
      </c>
      <c r="E60" t="s">
        <v>613</v>
      </c>
      <c r="F60" t="s">
        <v>468</v>
      </c>
      <c r="G60" t="s">
        <v>468</v>
      </c>
      <c r="H60" t="s">
        <v>468</v>
      </c>
      <c r="I60" t="s">
        <v>468</v>
      </c>
      <c r="J60" t="s">
        <v>468</v>
      </c>
    </row>
    <row r="61" spans="1:11" x14ac:dyDescent="0.3">
      <c r="A61">
        <v>495</v>
      </c>
      <c r="B61" s="155">
        <v>45638.513078703698</v>
      </c>
      <c r="C61" s="155">
        <v>45638.513888888898</v>
      </c>
      <c r="D61" t="s">
        <v>614</v>
      </c>
      <c r="E61" t="s">
        <v>106</v>
      </c>
      <c r="F61" t="s">
        <v>468</v>
      </c>
      <c r="G61" t="s">
        <v>467</v>
      </c>
      <c r="H61" t="s">
        <v>592</v>
      </c>
      <c r="I61" t="s">
        <v>467</v>
      </c>
      <c r="J61" t="s">
        <v>468</v>
      </c>
    </row>
    <row r="62" spans="1:11" x14ac:dyDescent="0.3">
      <c r="A62">
        <v>496</v>
      </c>
      <c r="B62" s="155">
        <v>45638.5140046296</v>
      </c>
      <c r="C62" s="155">
        <v>45638.514733796299</v>
      </c>
      <c r="D62" t="s">
        <v>415</v>
      </c>
      <c r="E62" t="s">
        <v>414</v>
      </c>
      <c r="F62" t="s">
        <v>468</v>
      </c>
      <c r="G62" t="s">
        <v>592</v>
      </c>
      <c r="H62" t="s">
        <v>592</v>
      </c>
      <c r="I62" t="s">
        <v>468</v>
      </c>
      <c r="J62" t="s">
        <v>468</v>
      </c>
      <c r="K62" s="108" t="s">
        <v>612</v>
      </c>
    </row>
    <row r="63" spans="1:11" x14ac:dyDescent="0.3">
      <c r="A63">
        <v>497</v>
      </c>
      <c r="B63" s="155">
        <v>45638.519270833298</v>
      </c>
      <c r="C63" s="155">
        <v>45638.520034722198</v>
      </c>
      <c r="D63" t="s">
        <v>200</v>
      </c>
      <c r="E63" t="s">
        <v>615</v>
      </c>
      <c r="F63" t="s">
        <v>592</v>
      </c>
      <c r="G63" t="s">
        <v>467</v>
      </c>
      <c r="H63" t="s">
        <v>592</v>
      </c>
      <c r="I63" t="s">
        <v>592</v>
      </c>
      <c r="J63" t="s">
        <v>467</v>
      </c>
    </row>
    <row r="64" spans="1:11" x14ac:dyDescent="0.3">
      <c r="A64">
        <v>499</v>
      </c>
      <c r="B64" s="155">
        <v>45638.576689814799</v>
      </c>
      <c r="C64" s="155">
        <v>45638.577187499999</v>
      </c>
      <c r="D64" t="s">
        <v>198</v>
      </c>
      <c r="E64" t="s">
        <v>197</v>
      </c>
      <c r="F64" t="s">
        <v>468</v>
      </c>
      <c r="G64" t="s">
        <v>468</v>
      </c>
      <c r="H64" t="s">
        <v>468</v>
      </c>
      <c r="I64" t="s">
        <v>468</v>
      </c>
      <c r="J64" t="s">
        <v>468</v>
      </c>
      <c r="K64" t="s">
        <v>616</v>
      </c>
    </row>
    <row r="65" spans="1:11" x14ac:dyDescent="0.3">
      <c r="A65">
        <v>500</v>
      </c>
      <c r="B65" s="155">
        <v>45638.579988425903</v>
      </c>
      <c r="C65" s="155">
        <v>45638.580694444398</v>
      </c>
      <c r="D65" t="s">
        <v>350</v>
      </c>
      <c r="E65" t="s">
        <v>617</v>
      </c>
      <c r="F65" t="s">
        <v>592</v>
      </c>
      <c r="G65" t="s">
        <v>468</v>
      </c>
      <c r="H65" t="s">
        <v>467</v>
      </c>
      <c r="I65" t="s">
        <v>467</v>
      </c>
      <c r="J65" t="s">
        <v>468</v>
      </c>
    </row>
    <row r="66" spans="1:11" x14ac:dyDescent="0.3">
      <c r="A66">
        <v>501</v>
      </c>
      <c r="B66" s="155">
        <v>45638.587453703702</v>
      </c>
      <c r="C66" s="155">
        <v>45638.587615740696</v>
      </c>
      <c r="D66" t="s">
        <v>345</v>
      </c>
      <c r="E66" t="s">
        <v>344</v>
      </c>
      <c r="F66" t="s">
        <v>592</v>
      </c>
      <c r="G66" t="s">
        <v>467</v>
      </c>
      <c r="H66" t="s">
        <v>592</v>
      </c>
      <c r="I66" t="s">
        <v>467</v>
      </c>
      <c r="J66" t="s">
        <v>592</v>
      </c>
    </row>
    <row r="67" spans="1:11" x14ac:dyDescent="0.3">
      <c r="A67">
        <v>502</v>
      </c>
      <c r="B67" s="155">
        <v>45638.596296296302</v>
      </c>
      <c r="C67" s="155">
        <v>45638.596793981502</v>
      </c>
      <c r="D67" t="s">
        <v>314</v>
      </c>
      <c r="E67" t="s">
        <v>313</v>
      </c>
      <c r="F67" t="s">
        <v>467</v>
      </c>
      <c r="G67" t="s">
        <v>467</v>
      </c>
      <c r="H67" t="s">
        <v>467</v>
      </c>
      <c r="I67" t="s">
        <v>467</v>
      </c>
      <c r="J67" t="s">
        <v>467</v>
      </c>
    </row>
    <row r="68" spans="1:11" x14ac:dyDescent="0.3">
      <c r="A68">
        <v>503</v>
      </c>
      <c r="B68" s="155">
        <v>45638.598749999997</v>
      </c>
      <c r="C68" s="155">
        <v>45638.599016203698</v>
      </c>
      <c r="D68" t="s">
        <v>150</v>
      </c>
      <c r="E68" t="s">
        <v>149</v>
      </c>
      <c r="F68" t="s">
        <v>592</v>
      </c>
      <c r="G68" t="s">
        <v>467</v>
      </c>
      <c r="H68" t="s">
        <v>467</v>
      </c>
      <c r="I68" t="s">
        <v>592</v>
      </c>
      <c r="J68" t="s">
        <v>467</v>
      </c>
    </row>
    <row r="69" spans="1:11" x14ac:dyDescent="0.3">
      <c r="A69">
        <v>504</v>
      </c>
      <c r="B69" s="155">
        <v>45638.612673611096</v>
      </c>
      <c r="C69" s="155">
        <v>45638.619756944398</v>
      </c>
      <c r="D69" t="s">
        <v>271</v>
      </c>
      <c r="E69" t="s">
        <v>270</v>
      </c>
      <c r="F69" t="s">
        <v>467</v>
      </c>
      <c r="G69" t="s">
        <v>467</v>
      </c>
      <c r="H69" t="s">
        <v>467</v>
      </c>
      <c r="I69" t="s">
        <v>467</v>
      </c>
      <c r="J69" t="s">
        <v>467</v>
      </c>
    </row>
    <row r="70" spans="1:11" x14ac:dyDescent="0.3">
      <c r="A70">
        <v>505</v>
      </c>
      <c r="B70" s="155">
        <v>45638.621689814798</v>
      </c>
      <c r="C70" s="155">
        <v>45638.622187499997</v>
      </c>
      <c r="D70" t="s">
        <v>156</v>
      </c>
      <c r="E70" t="s">
        <v>155</v>
      </c>
      <c r="F70" t="s">
        <v>592</v>
      </c>
      <c r="G70" t="s">
        <v>592</v>
      </c>
      <c r="H70" t="s">
        <v>592</v>
      </c>
      <c r="I70" t="s">
        <v>592</v>
      </c>
      <c r="J70" t="s">
        <v>468</v>
      </c>
    </row>
    <row r="71" spans="1:11" x14ac:dyDescent="0.3">
      <c r="A71">
        <v>506</v>
      </c>
      <c r="B71" s="155">
        <v>45638.647881944402</v>
      </c>
      <c r="C71" s="155">
        <v>45638.648379629602</v>
      </c>
      <c r="D71" t="s">
        <v>369</v>
      </c>
      <c r="E71" t="s">
        <v>368</v>
      </c>
      <c r="F71" t="s">
        <v>467</v>
      </c>
      <c r="G71" t="s">
        <v>592</v>
      </c>
      <c r="H71" t="s">
        <v>467</v>
      </c>
      <c r="I71" t="s">
        <v>467</v>
      </c>
      <c r="J71" t="s">
        <v>467</v>
      </c>
    </row>
    <row r="72" spans="1:11" x14ac:dyDescent="0.3">
      <c r="A72">
        <v>507</v>
      </c>
      <c r="B72" s="155">
        <v>45638.683506944399</v>
      </c>
      <c r="C72" s="155">
        <v>45638.683935185203</v>
      </c>
      <c r="D72" t="s">
        <v>224</v>
      </c>
      <c r="E72" t="s">
        <v>223</v>
      </c>
      <c r="F72" t="s">
        <v>467</v>
      </c>
      <c r="G72" t="s">
        <v>468</v>
      </c>
      <c r="H72" t="s">
        <v>467</v>
      </c>
      <c r="I72" t="s">
        <v>467</v>
      </c>
      <c r="J72" t="s">
        <v>592</v>
      </c>
    </row>
    <row r="73" spans="1:11" x14ac:dyDescent="0.3">
      <c r="A73">
        <v>508</v>
      </c>
      <c r="B73" s="155">
        <v>45638.713738425897</v>
      </c>
      <c r="C73" s="155">
        <v>45638.714108796303</v>
      </c>
      <c r="D73" t="s">
        <v>618</v>
      </c>
      <c r="E73" t="s">
        <v>348</v>
      </c>
      <c r="F73" t="s">
        <v>468</v>
      </c>
      <c r="G73" t="s">
        <v>468</v>
      </c>
      <c r="H73" t="s">
        <v>468</v>
      </c>
      <c r="I73" t="s">
        <v>468</v>
      </c>
      <c r="J73" t="s">
        <v>468</v>
      </c>
    </row>
    <row r="74" spans="1:11" x14ac:dyDescent="0.3">
      <c r="A74">
        <v>509</v>
      </c>
      <c r="B74" s="155">
        <v>45638.7178472222</v>
      </c>
      <c r="C74" s="155">
        <v>45638.719432870399</v>
      </c>
      <c r="D74" t="s">
        <v>397</v>
      </c>
      <c r="E74" t="s">
        <v>396</v>
      </c>
      <c r="F74" t="s">
        <v>468</v>
      </c>
      <c r="G74" t="s">
        <v>467</v>
      </c>
      <c r="H74" t="s">
        <v>468</v>
      </c>
      <c r="I74" t="s">
        <v>467</v>
      </c>
      <c r="J74" t="s">
        <v>467</v>
      </c>
    </row>
    <row r="75" spans="1:11" x14ac:dyDescent="0.3">
      <c r="A75">
        <v>510</v>
      </c>
      <c r="B75" s="155">
        <v>45638.7907291667</v>
      </c>
      <c r="C75" s="155">
        <v>45638.791203703702</v>
      </c>
      <c r="D75" t="s">
        <v>619</v>
      </c>
      <c r="E75" t="s">
        <v>522</v>
      </c>
      <c r="F75" t="s">
        <v>467</v>
      </c>
      <c r="G75" t="s">
        <v>467</v>
      </c>
      <c r="H75" t="s">
        <v>592</v>
      </c>
      <c r="I75" t="s">
        <v>592</v>
      </c>
      <c r="J75" t="s">
        <v>468</v>
      </c>
    </row>
    <row r="76" spans="1:11" x14ac:dyDescent="0.3">
      <c r="A76">
        <v>511</v>
      </c>
      <c r="B76" s="155">
        <v>45638.8919328704</v>
      </c>
      <c r="C76" s="155">
        <v>45638.894108796303</v>
      </c>
      <c r="D76" t="s">
        <v>215</v>
      </c>
      <c r="E76" t="s">
        <v>214</v>
      </c>
      <c r="F76" t="s">
        <v>468</v>
      </c>
      <c r="G76" t="s">
        <v>468</v>
      </c>
      <c r="H76" t="s">
        <v>468</v>
      </c>
      <c r="I76" t="s">
        <v>468</v>
      </c>
      <c r="J76" t="s">
        <v>468</v>
      </c>
      <c r="K76" t="s">
        <v>620</v>
      </c>
    </row>
    <row r="77" spans="1:11" x14ac:dyDescent="0.3">
      <c r="A77">
        <v>512</v>
      </c>
      <c r="B77" s="155">
        <v>45639.357222222199</v>
      </c>
      <c r="C77" s="155">
        <v>45639.358483796299</v>
      </c>
      <c r="D77" t="s">
        <v>307</v>
      </c>
      <c r="E77" t="s">
        <v>306</v>
      </c>
      <c r="F77" t="s">
        <v>468</v>
      </c>
      <c r="G77" t="s">
        <v>592</v>
      </c>
      <c r="H77" t="s">
        <v>592</v>
      </c>
      <c r="I77" t="s">
        <v>592</v>
      </c>
      <c r="J77" t="s">
        <v>468</v>
      </c>
    </row>
    <row r="78" spans="1:11" x14ac:dyDescent="0.3">
      <c r="A78">
        <v>513</v>
      </c>
      <c r="B78" s="155">
        <v>45639.361886574101</v>
      </c>
      <c r="C78" s="155">
        <v>45639.362314814804</v>
      </c>
      <c r="D78" t="s">
        <v>285</v>
      </c>
      <c r="E78" t="s">
        <v>284</v>
      </c>
      <c r="F78" t="s">
        <v>468</v>
      </c>
      <c r="G78" t="s">
        <v>467</v>
      </c>
      <c r="H78" t="s">
        <v>467</v>
      </c>
      <c r="I78" t="s">
        <v>592</v>
      </c>
      <c r="J78" t="s">
        <v>470</v>
      </c>
    </row>
    <row r="79" spans="1:11" x14ac:dyDescent="0.3">
      <c r="A79">
        <v>514</v>
      </c>
      <c r="B79" s="155">
        <v>45639.360578703701</v>
      </c>
      <c r="C79" s="155">
        <v>45639.362384259301</v>
      </c>
      <c r="D79" t="s">
        <v>316</v>
      </c>
      <c r="E79" t="s">
        <v>315</v>
      </c>
      <c r="F79" t="s">
        <v>467</v>
      </c>
      <c r="G79" t="s">
        <v>592</v>
      </c>
      <c r="H79" t="s">
        <v>468</v>
      </c>
      <c r="I79" t="s">
        <v>467</v>
      </c>
      <c r="J79" t="s">
        <v>468</v>
      </c>
      <c r="K79" t="s">
        <v>621</v>
      </c>
    </row>
    <row r="80" spans="1:11" x14ac:dyDescent="0.3">
      <c r="A80">
        <v>515</v>
      </c>
      <c r="B80" s="155">
        <v>45639.3917013889</v>
      </c>
      <c r="C80" s="155">
        <v>45639.392442129603</v>
      </c>
      <c r="D80" t="s">
        <v>372</v>
      </c>
      <c r="E80" t="s">
        <v>371</v>
      </c>
      <c r="F80" t="s">
        <v>468</v>
      </c>
      <c r="G80" t="s">
        <v>592</v>
      </c>
      <c r="H80" t="s">
        <v>592</v>
      </c>
      <c r="I80" t="s">
        <v>592</v>
      </c>
      <c r="J80" t="s">
        <v>468</v>
      </c>
    </row>
    <row r="81" spans="1:11" x14ac:dyDescent="0.3">
      <c r="A81">
        <v>516</v>
      </c>
      <c r="B81" s="155">
        <v>45639.395763888897</v>
      </c>
      <c r="C81" s="155">
        <v>45639.396620370397</v>
      </c>
      <c r="D81" t="s">
        <v>328</v>
      </c>
      <c r="E81" t="s">
        <v>327</v>
      </c>
      <c r="F81" t="s">
        <v>468</v>
      </c>
      <c r="G81" t="s">
        <v>468</v>
      </c>
      <c r="H81" t="s">
        <v>468</v>
      </c>
      <c r="I81" t="s">
        <v>468</v>
      </c>
      <c r="J81" t="s">
        <v>467</v>
      </c>
    </row>
    <row r="82" spans="1:11" x14ac:dyDescent="0.3">
      <c r="A82">
        <v>517</v>
      </c>
      <c r="B82" s="155">
        <v>45639.3989814815</v>
      </c>
      <c r="C82" s="155">
        <v>45639.399178240703</v>
      </c>
      <c r="D82" t="s">
        <v>376</v>
      </c>
      <c r="E82" t="s">
        <v>375</v>
      </c>
      <c r="F82" t="s">
        <v>468</v>
      </c>
      <c r="G82" t="s">
        <v>468</v>
      </c>
      <c r="H82" t="s">
        <v>468</v>
      </c>
      <c r="I82" t="s">
        <v>468</v>
      </c>
      <c r="J82" t="s">
        <v>468</v>
      </c>
    </row>
    <row r="83" spans="1:11" x14ac:dyDescent="0.3">
      <c r="A83">
        <v>518</v>
      </c>
      <c r="B83" s="155">
        <v>45639.433020833298</v>
      </c>
      <c r="C83" s="155">
        <v>45639.433645833298</v>
      </c>
      <c r="D83" t="s">
        <v>238</v>
      </c>
      <c r="E83" t="s">
        <v>237</v>
      </c>
      <c r="F83" t="s">
        <v>467</v>
      </c>
      <c r="G83" t="s">
        <v>592</v>
      </c>
      <c r="H83" t="s">
        <v>592</v>
      </c>
      <c r="I83" t="s">
        <v>592</v>
      </c>
      <c r="J83" t="s">
        <v>469</v>
      </c>
      <c r="K83" t="s">
        <v>622</v>
      </c>
    </row>
    <row r="84" spans="1:11" x14ac:dyDescent="0.3">
      <c r="A84">
        <v>519</v>
      </c>
      <c r="B84" s="155">
        <v>45639.4190856481</v>
      </c>
      <c r="C84" s="155">
        <v>45639.443854166697</v>
      </c>
      <c r="D84" t="s">
        <v>623</v>
      </c>
      <c r="E84" t="s">
        <v>72</v>
      </c>
      <c r="F84" t="s">
        <v>592</v>
      </c>
      <c r="G84" t="s">
        <v>592</v>
      </c>
      <c r="H84" t="s">
        <v>592</v>
      </c>
      <c r="I84" t="s">
        <v>468</v>
      </c>
      <c r="J84" t="s">
        <v>592</v>
      </c>
    </row>
    <row r="85" spans="1:11" x14ac:dyDescent="0.3">
      <c r="A85">
        <v>520</v>
      </c>
      <c r="B85" s="155">
        <v>45639.458969907399</v>
      </c>
      <c r="C85" s="155">
        <v>45639.459120370397</v>
      </c>
      <c r="D85" t="s">
        <v>387</v>
      </c>
      <c r="E85" t="s">
        <v>386</v>
      </c>
      <c r="F85" t="s">
        <v>468</v>
      </c>
      <c r="G85" t="s">
        <v>468</v>
      </c>
      <c r="H85" t="s">
        <v>468</v>
      </c>
      <c r="I85" t="s">
        <v>468</v>
      </c>
      <c r="J85" t="s">
        <v>468</v>
      </c>
    </row>
    <row r="86" spans="1:11" x14ac:dyDescent="0.3">
      <c r="A86">
        <v>521</v>
      </c>
      <c r="B86" s="155">
        <v>45639.459178240701</v>
      </c>
      <c r="C86" s="155">
        <v>45639.459560185198</v>
      </c>
      <c r="D86" t="s">
        <v>413</v>
      </c>
      <c r="E86" t="s">
        <v>412</v>
      </c>
      <c r="F86" t="s">
        <v>468</v>
      </c>
      <c r="G86" t="s">
        <v>468</v>
      </c>
      <c r="H86" t="s">
        <v>468</v>
      </c>
      <c r="I86" t="s">
        <v>468</v>
      </c>
      <c r="J86" t="s">
        <v>468</v>
      </c>
    </row>
    <row r="87" spans="1:11" x14ac:dyDescent="0.3">
      <c r="A87">
        <v>522</v>
      </c>
      <c r="B87" s="155">
        <v>45639.464398148099</v>
      </c>
      <c r="C87" s="155">
        <v>45639.465057870402</v>
      </c>
      <c r="D87" t="s">
        <v>97</v>
      </c>
      <c r="E87" t="s">
        <v>96</v>
      </c>
      <c r="F87" t="s">
        <v>468</v>
      </c>
      <c r="G87" t="s">
        <v>468</v>
      </c>
      <c r="H87" t="s">
        <v>468</v>
      </c>
      <c r="I87" t="s">
        <v>468</v>
      </c>
      <c r="J87" t="s">
        <v>468</v>
      </c>
      <c r="K87" t="s">
        <v>624</v>
      </c>
    </row>
    <row r="88" spans="1:11" x14ac:dyDescent="0.3">
      <c r="A88">
        <v>523</v>
      </c>
      <c r="B88" s="155">
        <v>45639.466342592597</v>
      </c>
      <c r="C88" s="155">
        <v>45639.468275462998</v>
      </c>
      <c r="D88" t="s">
        <v>352</v>
      </c>
      <c r="E88" t="s">
        <v>351</v>
      </c>
      <c r="F88" t="s">
        <v>468</v>
      </c>
      <c r="G88" t="s">
        <v>468</v>
      </c>
      <c r="H88" t="s">
        <v>468</v>
      </c>
      <c r="I88" t="s">
        <v>468</v>
      </c>
      <c r="J88" t="s">
        <v>468</v>
      </c>
    </row>
    <row r="89" spans="1:11" x14ac:dyDescent="0.3">
      <c r="A89">
        <v>524</v>
      </c>
      <c r="B89" s="155">
        <v>45639.517962963</v>
      </c>
      <c r="C89" s="155">
        <v>45639.518356481502</v>
      </c>
      <c r="D89" t="s">
        <v>128</v>
      </c>
      <c r="E89" t="s">
        <v>127</v>
      </c>
      <c r="F89" t="s">
        <v>468</v>
      </c>
      <c r="G89" t="s">
        <v>468</v>
      </c>
      <c r="H89" t="s">
        <v>467</v>
      </c>
      <c r="I89" t="s">
        <v>592</v>
      </c>
      <c r="J89" t="s">
        <v>468</v>
      </c>
    </row>
    <row r="90" spans="1:11" x14ac:dyDescent="0.3">
      <c r="A90">
        <v>525</v>
      </c>
      <c r="B90" s="155">
        <v>45639.686655092599</v>
      </c>
      <c r="C90" s="155">
        <v>45639.688425925902</v>
      </c>
      <c r="D90" t="s">
        <v>625</v>
      </c>
      <c r="E90" t="s">
        <v>323</v>
      </c>
      <c r="F90" t="s">
        <v>468</v>
      </c>
      <c r="G90" t="s">
        <v>468</v>
      </c>
      <c r="H90" t="s">
        <v>468</v>
      </c>
      <c r="I90" t="s">
        <v>468</v>
      </c>
      <c r="J90" t="s">
        <v>468</v>
      </c>
    </row>
    <row r="91" spans="1:11" x14ac:dyDescent="0.3">
      <c r="A91">
        <v>526</v>
      </c>
      <c r="B91" s="155">
        <v>45639.8129513889</v>
      </c>
      <c r="C91" s="155">
        <v>45639.813148148103</v>
      </c>
      <c r="D91" t="s">
        <v>303</v>
      </c>
      <c r="E91" t="s">
        <v>302</v>
      </c>
      <c r="F91" t="s">
        <v>467</v>
      </c>
      <c r="G91" t="s">
        <v>467</v>
      </c>
      <c r="H91" t="s">
        <v>468</v>
      </c>
      <c r="I91" t="s">
        <v>469</v>
      </c>
      <c r="J91" t="s">
        <v>467</v>
      </c>
    </row>
    <row r="92" spans="1:11" x14ac:dyDescent="0.3">
      <c r="A92">
        <v>527</v>
      </c>
      <c r="B92" s="155">
        <v>45642.414722222202</v>
      </c>
      <c r="C92" s="155">
        <v>45642.4151851852</v>
      </c>
      <c r="D92" t="s">
        <v>115</v>
      </c>
      <c r="E92" t="s">
        <v>114</v>
      </c>
      <c r="F92" t="s">
        <v>592</v>
      </c>
      <c r="G92" t="s">
        <v>467</v>
      </c>
      <c r="H92" t="s">
        <v>467</v>
      </c>
      <c r="I92" t="s">
        <v>467</v>
      </c>
      <c r="J92" t="s">
        <v>467</v>
      </c>
    </row>
    <row r="93" spans="1:11" x14ac:dyDescent="0.3">
      <c r="A93">
        <v>528</v>
      </c>
      <c r="B93" s="155">
        <v>45642.608078703699</v>
      </c>
      <c r="C93" s="155">
        <v>45642.608333333301</v>
      </c>
      <c r="D93" t="s">
        <v>123</v>
      </c>
      <c r="E93" t="s">
        <v>122</v>
      </c>
      <c r="F93" t="s">
        <v>467</v>
      </c>
      <c r="G93" t="s">
        <v>469</v>
      </c>
      <c r="H93" t="s">
        <v>467</v>
      </c>
      <c r="I93" t="s">
        <v>470</v>
      </c>
      <c r="J93" t="s">
        <v>467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9</xdr:row>
                    <xdr:rowOff>83820</xdr:rowOff>
                  </from>
                  <to>
                    <xdr:col>17</xdr:col>
                    <xdr:colOff>327660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33" zoomScale="86" workbookViewId="0">
      <selection activeCell="AB54" sqref="AB54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45" t="s">
        <v>479</v>
      </c>
      <c r="H5" s="45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516</v>
      </c>
      <c r="BG5" s="186"/>
      <c r="BH5" s="186"/>
      <c r="BI5" s="186"/>
      <c r="BJ5" s="186"/>
      <c r="BK5" s="187"/>
      <c r="BL5" s="186" t="s">
        <v>517</v>
      </c>
      <c r="BM5" s="186"/>
      <c r="BN5" s="186"/>
      <c r="BO5" s="186"/>
      <c r="BP5" s="186"/>
      <c r="BQ5" s="187"/>
      <c r="BR5" s="186" t="s">
        <v>518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46" t="s">
        <v>480</v>
      </c>
      <c r="F6" s="46" t="s">
        <v>490</v>
      </c>
      <c r="G6" s="46" t="s">
        <v>480</v>
      </c>
      <c r="H6" s="46" t="s">
        <v>490</v>
      </c>
      <c r="I6" s="18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L14">
        <v>3</v>
      </c>
      <c r="M14">
        <v>25</v>
      </c>
      <c r="N14">
        <v>35</v>
      </c>
      <c r="O14">
        <v>22</v>
      </c>
      <c r="P14" s="56"/>
      <c r="R14">
        <v>3</v>
      </c>
      <c r="S14">
        <v>36</v>
      </c>
      <c r="T14">
        <v>29</v>
      </c>
      <c r="U14" s="57">
        <v>17</v>
      </c>
      <c r="V14" s="56"/>
      <c r="X14">
        <v>2</v>
      </c>
      <c r="Y14">
        <v>30</v>
      </c>
      <c r="Z14">
        <v>32</v>
      </c>
      <c r="AA14" s="57">
        <v>21</v>
      </c>
      <c r="AB14" s="56"/>
      <c r="AC14">
        <v>1</v>
      </c>
      <c r="AD14">
        <v>4</v>
      </c>
      <c r="AE14">
        <v>38</v>
      </c>
      <c r="AF14">
        <v>26</v>
      </c>
      <c r="AG14" s="57">
        <v>16</v>
      </c>
      <c r="AH14" s="56"/>
      <c r="AI14">
        <v>2</v>
      </c>
      <c r="AJ14">
        <v>7</v>
      </c>
      <c r="AK14">
        <v>35</v>
      </c>
      <c r="AL14">
        <v>33</v>
      </c>
      <c r="AM14" s="57">
        <v>8</v>
      </c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82" t="s">
        <v>474</v>
      </c>
      <c r="C22" s="182" t="s">
        <v>5</v>
      </c>
      <c r="D22" s="182" t="s">
        <v>475</v>
      </c>
      <c r="E22" s="181" t="s">
        <v>476</v>
      </c>
      <c r="F22" s="181"/>
      <c r="G22" s="181"/>
      <c r="H22" s="181"/>
      <c r="I22" s="198" t="s">
        <v>477</v>
      </c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</row>
    <row r="23" spans="2:75" x14ac:dyDescent="0.3">
      <c r="B23" s="182"/>
      <c r="C23" s="182"/>
      <c r="D23" s="182"/>
      <c r="E23" s="181" t="s">
        <v>478</v>
      </c>
      <c r="F23" s="181"/>
      <c r="G23" s="45" t="s">
        <v>479</v>
      </c>
      <c r="H23" s="45"/>
      <c r="I23" s="184" t="s">
        <v>480</v>
      </c>
      <c r="J23" s="185" t="s">
        <v>481</v>
      </c>
      <c r="K23" s="186"/>
      <c r="L23" s="186"/>
      <c r="M23" s="186"/>
      <c r="N23" s="186"/>
      <c r="O23" s="186"/>
      <c r="P23" s="186" t="s">
        <v>482</v>
      </c>
      <c r="Q23" s="186"/>
      <c r="R23" s="186"/>
      <c r="S23" s="186"/>
      <c r="T23" s="186"/>
      <c r="U23" s="186"/>
      <c r="V23" s="186" t="s">
        <v>483</v>
      </c>
      <c r="W23" s="186"/>
      <c r="X23" s="186"/>
      <c r="Y23" s="186"/>
      <c r="Z23" s="186"/>
      <c r="AA23" s="186"/>
      <c r="AB23" s="186" t="s">
        <v>484</v>
      </c>
      <c r="AC23" s="186"/>
      <c r="AD23" s="186"/>
      <c r="AE23" s="186"/>
      <c r="AF23" s="186"/>
      <c r="AG23" s="186"/>
      <c r="AH23" s="186" t="s">
        <v>485</v>
      </c>
      <c r="AI23" s="186"/>
      <c r="AJ23" s="186"/>
      <c r="AK23" s="186"/>
      <c r="AL23" s="186"/>
      <c r="AM23" s="186"/>
      <c r="AN23" s="186" t="s">
        <v>486</v>
      </c>
      <c r="AO23" s="186"/>
      <c r="AP23" s="186"/>
      <c r="AQ23" s="186"/>
      <c r="AR23" s="186"/>
      <c r="AS23" s="186"/>
      <c r="AT23" s="186" t="s">
        <v>487</v>
      </c>
      <c r="AU23" s="186"/>
      <c r="AV23" s="186"/>
      <c r="AW23" s="186"/>
      <c r="AX23" s="186"/>
      <c r="AY23" s="186"/>
      <c r="AZ23" s="186" t="s">
        <v>488</v>
      </c>
      <c r="BA23" s="186"/>
      <c r="BB23" s="186"/>
      <c r="BC23" s="186"/>
      <c r="BD23" s="186"/>
      <c r="BE23" s="187"/>
      <c r="BF23" s="186" t="s">
        <v>516</v>
      </c>
      <c r="BG23" s="186"/>
      <c r="BH23" s="186"/>
      <c r="BI23" s="186"/>
      <c r="BJ23" s="186"/>
      <c r="BK23" s="187"/>
      <c r="BL23" s="186" t="s">
        <v>517</v>
      </c>
      <c r="BM23" s="186"/>
      <c r="BN23" s="186"/>
      <c r="BO23" s="186"/>
      <c r="BP23" s="186"/>
      <c r="BQ23" s="187"/>
      <c r="BR23" s="186" t="s">
        <v>518</v>
      </c>
      <c r="BS23" s="186"/>
      <c r="BT23" s="186"/>
      <c r="BU23" s="186"/>
      <c r="BV23" s="186"/>
      <c r="BW23" s="187"/>
    </row>
    <row r="24" spans="2:75" x14ac:dyDescent="0.3">
      <c r="B24" s="183"/>
      <c r="C24" s="183"/>
      <c r="D24" s="183"/>
      <c r="E24" s="46" t="s">
        <v>480</v>
      </c>
      <c r="F24" s="46" t="s">
        <v>490</v>
      </c>
      <c r="G24" s="46" t="s">
        <v>480</v>
      </c>
      <c r="H24" s="46" t="s">
        <v>490</v>
      </c>
      <c r="I24" s="184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0.14285714285714285</v>
      </c>
      <c r="M32" s="78">
        <f t="shared" si="3"/>
        <v>1.5873015873015872</v>
      </c>
      <c r="N32" s="78">
        <f t="shared" si="3"/>
        <v>2.7777777777777777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0.13235294117647059</v>
      </c>
      <c r="S32" s="78">
        <f t="shared" si="4"/>
        <v>2.1176470588235294</v>
      </c>
      <c r="T32" s="78">
        <f t="shared" si="4"/>
        <v>2.1323529411764706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9.375E-2</v>
      </c>
      <c r="Y32" s="78">
        <f t="shared" si="19"/>
        <v>1.875</v>
      </c>
      <c r="Z32" s="78">
        <f t="shared" si="19"/>
        <v>2.5</v>
      </c>
      <c r="AA32" s="78">
        <f t="shared" si="19"/>
        <v>0</v>
      </c>
      <c r="AB32" s="77">
        <f t="shared" si="20"/>
        <v>0</v>
      </c>
      <c r="AC32" s="78">
        <f t="shared" si="20"/>
        <v>2.8985507246376812E-2</v>
      </c>
      <c r="AD32" s="78">
        <f t="shared" si="20"/>
        <v>0.17391304347826086</v>
      </c>
      <c r="AE32" s="78">
        <f t="shared" si="20"/>
        <v>2.2028985507246377</v>
      </c>
      <c r="AF32" s="78">
        <f t="shared" si="20"/>
        <v>1.8840579710144927</v>
      </c>
      <c r="AG32" s="78">
        <f t="shared" si="20"/>
        <v>0</v>
      </c>
      <c r="AH32" s="77">
        <f t="shared" si="24"/>
        <v>0</v>
      </c>
      <c r="AI32" s="78">
        <f t="shared" si="24"/>
        <v>5.1948051948051951E-2</v>
      </c>
      <c r="AJ32" s="78">
        <f t="shared" si="24"/>
        <v>0.27272727272727271</v>
      </c>
      <c r="AK32" s="78">
        <f t="shared" si="24"/>
        <v>1.8181818181818181</v>
      </c>
      <c r="AL32" s="78">
        <f t="shared" si="24"/>
        <v>2.1428571428571428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8" t="s">
        <v>474</v>
      </c>
      <c r="F43" s="190" t="s">
        <v>5</v>
      </c>
      <c r="G43" s="191"/>
      <c r="H43" s="191"/>
      <c r="I43" s="192"/>
      <c r="J43" s="196" t="s">
        <v>502</v>
      </c>
      <c r="K43" s="197"/>
      <c r="L43" s="197"/>
      <c r="M43" s="197"/>
      <c r="N43" s="197"/>
      <c r="O43" s="197"/>
      <c r="P43" s="197"/>
      <c r="Q43" s="197"/>
      <c r="R43" s="197"/>
      <c r="S43" s="197"/>
      <c r="T43" s="197"/>
    </row>
    <row r="44" spans="2:75" x14ac:dyDescent="0.3">
      <c r="E44" s="189"/>
      <c r="F44" s="193"/>
      <c r="G44" s="194"/>
      <c r="H44" s="194"/>
      <c r="I44" s="195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4.5079365079365079</v>
      </c>
      <c r="K52" s="100">
        <f t="shared" si="52"/>
        <v>4.382352941176471</v>
      </c>
      <c r="L52" s="100">
        <f t="shared" si="53"/>
        <v>4.46875</v>
      </c>
      <c r="M52" s="100">
        <f t="shared" si="54"/>
        <v>4.2898550724637676</v>
      </c>
      <c r="N52" s="100">
        <f t="shared" si="55"/>
        <v>4.2857142857142856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4.3869217614582059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81" t="s">
        <v>489</v>
      </c>
      <c r="K57" s="181"/>
      <c r="L57" s="181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topLeftCell="K1" zoomScale="86" workbookViewId="0">
      <selection activeCell="R33" sqref="R33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82" t="s">
        <v>474</v>
      </c>
      <c r="C4" s="182" t="s">
        <v>5</v>
      </c>
      <c r="D4" s="182" t="s">
        <v>475</v>
      </c>
      <c r="E4" s="181" t="s">
        <v>476</v>
      </c>
      <c r="F4" s="181"/>
      <c r="G4" s="181"/>
      <c r="H4" s="181"/>
      <c r="I4" s="198" t="s">
        <v>477</v>
      </c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197"/>
      <c r="AG4" s="197"/>
      <c r="AH4" s="197"/>
      <c r="AI4" s="197"/>
      <c r="AJ4" s="197"/>
      <c r="AK4" s="197"/>
      <c r="AL4" s="197"/>
      <c r="AM4" s="197"/>
      <c r="AN4" s="197"/>
      <c r="AO4" s="197"/>
      <c r="AP4" s="197"/>
      <c r="AQ4" s="197"/>
      <c r="AR4" s="197"/>
      <c r="AS4" s="197"/>
      <c r="AT4" s="197"/>
      <c r="AU4" s="197"/>
      <c r="AV4" s="197"/>
      <c r="AW4" s="197"/>
      <c r="AX4" s="197"/>
      <c r="AY4" s="197"/>
      <c r="AZ4" s="197"/>
      <c r="BA4" s="197"/>
      <c r="BB4" s="197"/>
      <c r="BC4" s="197"/>
      <c r="BD4" s="197"/>
      <c r="BE4" s="197"/>
      <c r="BF4" s="197"/>
      <c r="BG4" s="197"/>
      <c r="BH4" s="197"/>
      <c r="BI4" s="197"/>
      <c r="BJ4" s="197"/>
      <c r="BK4" s="197"/>
      <c r="BL4" s="197"/>
      <c r="BM4" s="197"/>
      <c r="BN4" s="197"/>
      <c r="BO4" s="197"/>
      <c r="BP4" s="197"/>
      <c r="BQ4" s="197"/>
      <c r="BR4" s="197"/>
      <c r="BS4" s="197"/>
      <c r="BT4" s="197"/>
      <c r="BU4" s="197"/>
      <c r="BV4" s="197"/>
      <c r="BW4" s="197"/>
    </row>
    <row r="5" spans="2:83" x14ac:dyDescent="0.3">
      <c r="B5" s="182"/>
      <c r="C5" s="182"/>
      <c r="D5" s="182"/>
      <c r="E5" s="181" t="s">
        <v>478</v>
      </c>
      <c r="F5" s="181"/>
      <c r="G5" s="45" t="s">
        <v>479</v>
      </c>
      <c r="H5" s="45"/>
      <c r="I5" s="184" t="s">
        <v>480</v>
      </c>
      <c r="J5" s="185" t="s">
        <v>481</v>
      </c>
      <c r="K5" s="186"/>
      <c r="L5" s="186"/>
      <c r="M5" s="186"/>
      <c r="N5" s="186"/>
      <c r="O5" s="186"/>
      <c r="P5" s="186" t="s">
        <v>482</v>
      </c>
      <c r="Q5" s="186"/>
      <c r="R5" s="186"/>
      <c r="S5" s="186"/>
      <c r="T5" s="186"/>
      <c r="U5" s="186"/>
      <c r="V5" s="186" t="s">
        <v>483</v>
      </c>
      <c r="W5" s="186"/>
      <c r="X5" s="186"/>
      <c r="Y5" s="186"/>
      <c r="Z5" s="186"/>
      <c r="AA5" s="186"/>
      <c r="AB5" s="186" t="s">
        <v>484</v>
      </c>
      <c r="AC5" s="186"/>
      <c r="AD5" s="186"/>
      <c r="AE5" s="186"/>
      <c r="AF5" s="186"/>
      <c r="AG5" s="186"/>
      <c r="AH5" s="186" t="s">
        <v>485</v>
      </c>
      <c r="AI5" s="186"/>
      <c r="AJ5" s="186"/>
      <c r="AK5" s="186"/>
      <c r="AL5" s="186"/>
      <c r="AM5" s="186"/>
      <c r="AN5" s="186" t="s">
        <v>486</v>
      </c>
      <c r="AO5" s="186"/>
      <c r="AP5" s="186"/>
      <c r="AQ5" s="186"/>
      <c r="AR5" s="186"/>
      <c r="AS5" s="186"/>
      <c r="AT5" s="186" t="s">
        <v>487</v>
      </c>
      <c r="AU5" s="186"/>
      <c r="AV5" s="186"/>
      <c r="AW5" s="186"/>
      <c r="AX5" s="186"/>
      <c r="AY5" s="186"/>
      <c r="AZ5" s="186" t="s">
        <v>488</v>
      </c>
      <c r="BA5" s="186"/>
      <c r="BB5" s="186"/>
      <c r="BC5" s="186"/>
      <c r="BD5" s="186"/>
      <c r="BE5" s="187"/>
      <c r="BF5" s="186" t="s">
        <v>516</v>
      </c>
      <c r="BG5" s="186"/>
      <c r="BH5" s="186"/>
      <c r="BI5" s="186"/>
      <c r="BJ5" s="186"/>
      <c r="BK5" s="187"/>
      <c r="BL5" s="186" t="s">
        <v>517</v>
      </c>
      <c r="BM5" s="186"/>
      <c r="BN5" s="186"/>
      <c r="BO5" s="186"/>
      <c r="BP5" s="186"/>
      <c r="BQ5" s="187"/>
      <c r="BR5" s="186" t="s">
        <v>518</v>
      </c>
      <c r="BS5" s="186"/>
      <c r="BT5" s="186"/>
      <c r="BU5" s="186"/>
      <c r="BV5" s="186"/>
      <c r="BW5" s="187"/>
      <c r="CC5" s="181" t="s">
        <v>489</v>
      </c>
      <c r="CD5" s="181"/>
      <c r="CE5" s="181"/>
    </row>
    <row r="6" spans="2:83" x14ac:dyDescent="0.3">
      <c r="B6" s="183"/>
      <c r="C6" s="183"/>
      <c r="D6" s="183"/>
      <c r="E6" s="46" t="s">
        <v>480</v>
      </c>
      <c r="F6" s="46" t="s">
        <v>490</v>
      </c>
      <c r="G6" s="46" t="s">
        <v>480</v>
      </c>
      <c r="H6" s="46" t="s">
        <v>490</v>
      </c>
      <c r="I6" s="18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L7">
        <v>2</v>
      </c>
      <c r="M7">
        <v>8</v>
      </c>
      <c r="N7">
        <v>13</v>
      </c>
      <c r="O7">
        <v>8</v>
      </c>
      <c r="P7" s="56"/>
      <c r="R7">
        <v>2</v>
      </c>
      <c r="S7">
        <v>8</v>
      </c>
      <c r="T7">
        <v>12</v>
      </c>
      <c r="U7" s="57">
        <v>9</v>
      </c>
      <c r="V7" s="56"/>
      <c r="X7">
        <v>2</v>
      </c>
      <c r="Y7">
        <v>6</v>
      </c>
      <c r="Z7">
        <v>16</v>
      </c>
      <c r="AA7" s="57">
        <v>7</v>
      </c>
      <c r="AB7" s="56"/>
      <c r="AC7">
        <v>1</v>
      </c>
      <c r="AD7">
        <v>2</v>
      </c>
      <c r="AE7">
        <v>11</v>
      </c>
      <c r="AF7">
        <v>11</v>
      </c>
      <c r="AG7" s="57">
        <v>6</v>
      </c>
      <c r="AH7" s="56"/>
      <c r="AI7">
        <v>1</v>
      </c>
      <c r="AJ7">
        <v>4</v>
      </c>
      <c r="AK7">
        <v>9</v>
      </c>
      <c r="AL7">
        <v>14</v>
      </c>
      <c r="AM7" s="57">
        <v>3</v>
      </c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M8">
        <v>5</v>
      </c>
      <c r="N8">
        <v>11</v>
      </c>
      <c r="O8">
        <v>4</v>
      </c>
      <c r="P8" s="56"/>
      <c r="R8">
        <v>1</v>
      </c>
      <c r="S8">
        <v>10</v>
      </c>
      <c r="T8">
        <v>7</v>
      </c>
      <c r="U8" s="57">
        <v>2</v>
      </c>
      <c r="V8" s="56"/>
      <c r="Y8">
        <v>8</v>
      </c>
      <c r="Z8">
        <v>9</v>
      </c>
      <c r="AA8" s="57">
        <v>3</v>
      </c>
      <c r="AB8" s="56"/>
      <c r="AD8">
        <v>2</v>
      </c>
      <c r="AE8">
        <v>10</v>
      </c>
      <c r="AF8">
        <v>6</v>
      </c>
      <c r="AG8" s="57">
        <v>2</v>
      </c>
      <c r="AH8" s="56"/>
      <c r="AI8">
        <v>1</v>
      </c>
      <c r="AJ8">
        <v>1</v>
      </c>
      <c r="AK8">
        <v>10</v>
      </c>
      <c r="AL8">
        <v>7</v>
      </c>
      <c r="AM8" s="57">
        <v>1</v>
      </c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M9">
        <v>4</v>
      </c>
      <c r="N9">
        <v>7</v>
      </c>
      <c r="P9" s="56"/>
      <c r="S9">
        <v>6</v>
      </c>
      <c r="T9">
        <v>4</v>
      </c>
      <c r="U9" s="57">
        <v>1</v>
      </c>
      <c r="V9" s="56"/>
      <c r="Y9">
        <v>3</v>
      </c>
      <c r="Z9">
        <v>5</v>
      </c>
      <c r="AA9" s="57">
        <v>3</v>
      </c>
      <c r="AB9" s="56"/>
      <c r="AE9">
        <v>3</v>
      </c>
      <c r="AF9">
        <v>6</v>
      </c>
      <c r="AG9" s="57">
        <v>2</v>
      </c>
      <c r="AH9" s="56"/>
      <c r="AK9">
        <v>3</v>
      </c>
      <c r="AL9">
        <v>8</v>
      </c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M10">
        <v>3</v>
      </c>
      <c r="N10">
        <v>1</v>
      </c>
      <c r="O10">
        <v>5</v>
      </c>
      <c r="P10" s="56"/>
      <c r="S10">
        <v>6</v>
      </c>
      <c r="T10">
        <v>1</v>
      </c>
      <c r="U10" s="57">
        <v>2</v>
      </c>
      <c r="V10" s="56"/>
      <c r="Y10">
        <v>5</v>
      </c>
      <c r="AA10" s="57">
        <v>4</v>
      </c>
      <c r="AB10" s="56"/>
      <c r="AE10">
        <v>5</v>
      </c>
      <c r="AF10">
        <v>1</v>
      </c>
      <c r="AG10" s="57">
        <v>3</v>
      </c>
      <c r="AH10" s="56"/>
      <c r="AJ10">
        <v>1</v>
      </c>
      <c r="AK10">
        <v>7</v>
      </c>
      <c r="AM10" s="57">
        <v>1</v>
      </c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L11">
        <v>1</v>
      </c>
      <c r="M11">
        <v>5</v>
      </c>
      <c r="N11">
        <v>3</v>
      </c>
      <c r="O11">
        <v>5</v>
      </c>
      <c r="P11" s="56"/>
      <c r="S11">
        <v>6</v>
      </c>
      <c r="T11">
        <v>5</v>
      </c>
      <c r="U11" s="57">
        <v>3</v>
      </c>
      <c r="V11" s="56"/>
      <c r="Y11">
        <v>8</v>
      </c>
      <c r="Z11">
        <v>2</v>
      </c>
      <c r="AA11" s="57">
        <v>4</v>
      </c>
      <c r="AB11" s="56"/>
      <c r="AE11">
        <v>9</v>
      </c>
      <c r="AF11">
        <v>2</v>
      </c>
      <c r="AG11" s="57">
        <v>3</v>
      </c>
      <c r="AH11" s="56"/>
      <c r="AJ11">
        <v>1</v>
      </c>
      <c r="AK11">
        <v>6</v>
      </c>
      <c r="AL11">
        <v>4</v>
      </c>
      <c r="AM11" s="57">
        <v>3</v>
      </c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  <c r="O14" t="s">
        <v>581</v>
      </c>
    </row>
    <row r="16" spans="2:83" x14ac:dyDescent="0.3">
      <c r="B16" s="182" t="s">
        <v>474</v>
      </c>
      <c r="C16" s="182" t="s">
        <v>5</v>
      </c>
      <c r="D16" s="182" t="s">
        <v>475</v>
      </c>
      <c r="E16" s="181" t="s">
        <v>476</v>
      </c>
      <c r="F16" s="181"/>
      <c r="G16" s="181"/>
      <c r="H16" s="181"/>
      <c r="I16" s="198" t="s">
        <v>477</v>
      </c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</row>
    <row r="17" spans="2:75" x14ac:dyDescent="0.3">
      <c r="B17" s="182"/>
      <c r="C17" s="182"/>
      <c r="D17" s="182"/>
      <c r="E17" s="181" t="s">
        <v>478</v>
      </c>
      <c r="F17" s="181"/>
      <c r="G17" s="45" t="s">
        <v>479</v>
      </c>
      <c r="H17" s="45"/>
      <c r="I17" s="184" t="s">
        <v>480</v>
      </c>
      <c r="J17" s="185" t="s">
        <v>481</v>
      </c>
      <c r="K17" s="186"/>
      <c r="L17" s="186"/>
      <c r="M17" s="186"/>
      <c r="N17" s="186"/>
      <c r="O17" s="186"/>
      <c r="P17" s="186" t="s">
        <v>482</v>
      </c>
      <c r="Q17" s="186"/>
      <c r="R17" s="186"/>
      <c r="S17" s="186"/>
      <c r="T17" s="186"/>
      <c r="U17" s="186"/>
      <c r="V17" s="186" t="s">
        <v>483</v>
      </c>
      <c r="W17" s="186"/>
      <c r="X17" s="186"/>
      <c r="Y17" s="186"/>
      <c r="Z17" s="186"/>
      <c r="AA17" s="186"/>
      <c r="AB17" s="186" t="s">
        <v>484</v>
      </c>
      <c r="AC17" s="186"/>
      <c r="AD17" s="186"/>
      <c r="AE17" s="186"/>
      <c r="AF17" s="186"/>
      <c r="AG17" s="186"/>
      <c r="AH17" s="186" t="s">
        <v>485</v>
      </c>
      <c r="AI17" s="186"/>
      <c r="AJ17" s="186"/>
      <c r="AK17" s="186"/>
      <c r="AL17" s="186"/>
      <c r="AM17" s="186"/>
      <c r="AN17" s="186" t="s">
        <v>486</v>
      </c>
      <c r="AO17" s="186"/>
      <c r="AP17" s="186"/>
      <c r="AQ17" s="186"/>
      <c r="AR17" s="186"/>
      <c r="AS17" s="186"/>
      <c r="AT17" s="186" t="s">
        <v>487</v>
      </c>
      <c r="AU17" s="186"/>
      <c r="AV17" s="186"/>
      <c r="AW17" s="186"/>
      <c r="AX17" s="186"/>
      <c r="AY17" s="186"/>
      <c r="AZ17" s="186" t="s">
        <v>488</v>
      </c>
      <c r="BA17" s="186"/>
      <c r="BB17" s="186"/>
      <c r="BC17" s="186"/>
      <c r="BD17" s="186"/>
      <c r="BE17" s="187"/>
      <c r="BF17" s="186" t="s">
        <v>516</v>
      </c>
      <c r="BG17" s="186"/>
      <c r="BH17" s="186"/>
      <c r="BI17" s="186"/>
      <c r="BJ17" s="186"/>
      <c r="BK17" s="187"/>
      <c r="BL17" s="186" t="s">
        <v>517</v>
      </c>
      <c r="BM17" s="186"/>
      <c r="BN17" s="186"/>
      <c r="BO17" s="186"/>
      <c r="BP17" s="186"/>
      <c r="BQ17" s="187"/>
      <c r="BR17" s="186" t="s">
        <v>518</v>
      </c>
      <c r="BS17" s="186"/>
      <c r="BT17" s="186"/>
      <c r="BU17" s="186"/>
      <c r="BV17" s="186"/>
      <c r="BW17" s="187"/>
    </row>
    <row r="18" spans="2:75" x14ac:dyDescent="0.3">
      <c r="B18" s="183"/>
      <c r="C18" s="183"/>
      <c r="D18" s="183"/>
      <c r="E18" s="46" t="s">
        <v>480</v>
      </c>
      <c r="F18" s="46" t="s">
        <v>490</v>
      </c>
      <c r="G18" s="46" t="s">
        <v>480</v>
      </c>
      <c r="H18" s="46" t="s">
        <v>490</v>
      </c>
      <c r="I18" s="184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0.2608695652173913</v>
      </c>
      <c r="M19" s="78">
        <f>IF(AND(M7&lt;&gt;"",M7&gt;0),(VLOOKUP(M$6,$CC$6:$CE$12,3,0)*M7)/SUM($J7:$N7),0)</f>
        <v>1.3913043478260869</v>
      </c>
      <c r="N19" s="78">
        <f>IF(AND(N7&lt;&gt;"",N7&gt;0),(VLOOKUP(N$6,$CC$6:$CE$12,3,0)*N7)/SUM($J7:$N7),0)</f>
        <v>2.8260869565217392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0.27272727272727271</v>
      </c>
      <c r="S19" s="78">
        <f t="shared" si="2"/>
        <v>1.4545454545454546</v>
      </c>
      <c r="T19" s="78">
        <f t="shared" si="2"/>
        <v>2.7272727272727271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0.25</v>
      </c>
      <c r="Y19" s="78">
        <f t="shared" si="4"/>
        <v>1</v>
      </c>
      <c r="Z19" s="78">
        <f t="shared" si="4"/>
        <v>3.3333333333333335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0.08</v>
      </c>
      <c r="AD19" s="78">
        <f t="shared" si="5"/>
        <v>0.24</v>
      </c>
      <c r="AE19" s="78">
        <f t="shared" si="5"/>
        <v>1.76</v>
      </c>
      <c r="AF19" s="78">
        <f t="shared" si="5"/>
        <v>2.2000000000000002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7.1428571428571425E-2</v>
      </c>
      <c r="AJ19" s="78">
        <f t="shared" si="6"/>
        <v>0.42857142857142855</v>
      </c>
      <c r="AK19" s="78">
        <f t="shared" si="6"/>
        <v>1.2857142857142858</v>
      </c>
      <c r="AL19" s="78">
        <f t="shared" si="6"/>
        <v>2.5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1.25</v>
      </c>
      <c r="N20" s="78">
        <f t="shared" ref="N20" si="13">IF(AND(N8&lt;&gt;"",N8&gt;0),(VLOOKUP(N$6,$CC$6:$CE$12,3,0)*N8)/SUM($J8:$N8),0)</f>
        <v>3.4375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0.16666666666666666</v>
      </c>
      <c r="S20" s="78">
        <f t="shared" si="2"/>
        <v>2.2222222222222223</v>
      </c>
      <c r="T20" s="78">
        <f t="shared" si="2"/>
        <v>1.9444444444444444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1.8823529411764706</v>
      </c>
      <c r="Z20" s="78">
        <f t="shared" si="4"/>
        <v>2.6470588235294117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0.33333333333333331</v>
      </c>
      <c r="AE20" s="78">
        <f t="shared" si="5"/>
        <v>2.2222222222222223</v>
      </c>
      <c r="AF20" s="78">
        <f t="shared" si="5"/>
        <v>1.6666666666666667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0.10526315789473684</v>
      </c>
      <c r="AJ20" s="78">
        <f t="shared" si="6"/>
        <v>0.15789473684210525</v>
      </c>
      <c r="AK20" s="78">
        <f t="shared" si="6"/>
        <v>2.1052631578947367</v>
      </c>
      <c r="AL20" s="78">
        <f t="shared" si="6"/>
        <v>1.8421052631578947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1.4545454545454546</v>
      </c>
      <c r="N21" s="78">
        <f t="shared" si="23"/>
        <v>3.1818181818181817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2.4</v>
      </c>
      <c r="T21" s="78">
        <f t="shared" si="2"/>
        <v>2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1.5</v>
      </c>
      <c r="Z21" s="78">
        <f t="shared" si="4"/>
        <v>3.125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1.3333333333333333</v>
      </c>
      <c r="AF21" s="78">
        <f t="shared" si="5"/>
        <v>3.3333333333333335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1.0909090909090908</v>
      </c>
      <c r="AL21" s="78">
        <f t="shared" si="6"/>
        <v>3.6363636363636362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3</v>
      </c>
      <c r="N22" s="78">
        <f t="shared" si="27"/>
        <v>1.25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3.4285714285714284</v>
      </c>
      <c r="T22" s="78">
        <f t="shared" si="2"/>
        <v>0.7142857142857143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4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3.3333333333333335</v>
      </c>
      <c r="AF22" s="78">
        <f t="shared" si="5"/>
        <v>0.83333333333333337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0.375</v>
      </c>
      <c r="AK22" s="78">
        <f t="shared" si="6"/>
        <v>3.5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0.33333333333333331</v>
      </c>
      <c r="M23" s="78">
        <f t="shared" ref="M23:N23" si="30">IF(AND(M11&lt;&gt;"",M11&gt;0),(VLOOKUP(M$6,$CC$6:$CE$12,3,0)*M11)/SUM($J11:$N11),0)</f>
        <v>2.2222222222222223</v>
      </c>
      <c r="N23" s="78">
        <f t="shared" si="30"/>
        <v>1.6666666666666667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2.1818181818181817</v>
      </c>
      <c r="T23" s="78">
        <f t="shared" si="2"/>
        <v>2.2727272727272729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3.2</v>
      </c>
      <c r="Z23" s="78">
        <f t="shared" si="4"/>
        <v>1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3.2727272727272729</v>
      </c>
      <c r="AF23" s="78">
        <f t="shared" si="5"/>
        <v>0.90909090909090906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0.27272727272727271</v>
      </c>
      <c r="AK23" s="78">
        <f t="shared" si="6"/>
        <v>2.1818181818181817</v>
      </c>
      <c r="AL23" s="78">
        <f t="shared" si="6"/>
        <v>1.8181818181818181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8" t="s">
        <v>474</v>
      </c>
      <c r="F31" s="190" t="s">
        <v>5</v>
      </c>
      <c r="G31" s="191"/>
      <c r="H31" s="191"/>
      <c r="I31" s="192"/>
      <c r="J31" s="196" t="s">
        <v>502</v>
      </c>
      <c r="K31" s="197"/>
      <c r="L31" s="197"/>
      <c r="M31" s="197"/>
      <c r="N31" s="197"/>
      <c r="O31" s="197"/>
      <c r="P31" s="197"/>
      <c r="Q31" s="197"/>
      <c r="R31" s="197"/>
      <c r="S31" s="197"/>
      <c r="T31" s="197"/>
    </row>
    <row r="32" spans="2:75" x14ac:dyDescent="0.3">
      <c r="E32" s="189"/>
      <c r="F32" s="193"/>
      <c r="G32" s="194"/>
      <c r="H32" s="194"/>
      <c r="I32" s="195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4.4782608695652177</v>
      </c>
      <c r="K33" s="91">
        <f>SUM(P19:U19)</f>
        <v>4.4545454545454541</v>
      </c>
      <c r="L33" s="91">
        <f>SUM(V19:AA19)</f>
        <v>4.5833333333333339</v>
      </c>
      <c r="M33" s="91">
        <f>SUM(AB19:AG19)</f>
        <v>4.28</v>
      </c>
      <c r="N33" s="91">
        <f>SUM(AH19:AM19)</f>
        <v>4.2857142857142856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4.4163707886316583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4.6875</v>
      </c>
      <c r="K34" s="96">
        <f>SUM(P20:U20)</f>
        <v>4.333333333333333</v>
      </c>
      <c r="L34" s="96">
        <f>SUM(V20:AA20)</f>
        <v>4.5294117647058822</v>
      </c>
      <c r="M34" s="96">
        <f>SUM(AB20:AG20)</f>
        <v>4.2222222222222223</v>
      </c>
      <c r="N34" s="96">
        <f>SUM(AH20:AM20)</f>
        <v>4.2105263157894735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4.3965987272101819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4.6363636363636367</v>
      </c>
      <c r="K35" s="96">
        <f>SUM(P21:U21)</f>
        <v>4.4000000000000004</v>
      </c>
      <c r="L35" s="96">
        <f>SUM(V21:AA21)</f>
        <v>4.625</v>
      </c>
      <c r="M35" s="96">
        <f>SUM(AB21:AG21)</f>
        <v>4.666666666666667</v>
      </c>
      <c r="N35" s="96">
        <f>SUM(AH21:AM21)</f>
        <v>4.7272727272727266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4.6110606060606063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4.25</v>
      </c>
      <c r="K36" s="96">
        <f>SUM(P22:U22)</f>
        <v>4.1428571428571423</v>
      </c>
      <c r="L36" s="96">
        <f>SUM(V22:AA22)</f>
        <v>4</v>
      </c>
      <c r="M36" s="96">
        <f>SUM(AB22:AG22)</f>
        <v>4.166666666666667</v>
      </c>
      <c r="N36" s="96">
        <f>SUM(AH22:AM22)</f>
        <v>3.875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4.086904761904762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4.2222222222222223</v>
      </c>
      <c r="K37" s="96">
        <f>SUM(P23:U23)</f>
        <v>4.454545454545455</v>
      </c>
      <c r="L37" s="96">
        <f>SUM(V23:AA23)</f>
        <v>4.2</v>
      </c>
      <c r="M37" s="96">
        <f>SUM(AB23:AG23)</f>
        <v>4.1818181818181817</v>
      </c>
      <c r="N37" s="96">
        <f>SUM(AH23:AM23)</f>
        <v>4.2727272727272725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4.266262626262626</v>
      </c>
      <c r="V37" s="93"/>
      <c r="X37" s="99">
        <v>4.5289999999999999</v>
      </c>
    </row>
    <row r="39" spans="5:24" ht="15.6" x14ac:dyDescent="0.3">
      <c r="J39" s="181" t="s">
        <v>489</v>
      </c>
      <c r="K39" s="181"/>
      <c r="L39" s="181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2733F-275E-426B-B281-DAFAB127FD19}">
  <sheetPr codeName="Hoja4"/>
  <dimension ref="A1:L18"/>
  <sheetViews>
    <sheetView workbookViewId="0">
      <pane ySplit="1" topLeftCell="A2" activePane="bottomLeft" state="frozenSplit"/>
      <selection pane="bottomLeft" activeCell="A3" sqref="A3:A18"/>
    </sheetView>
  </sheetViews>
  <sheetFormatPr baseColWidth="10" defaultRowHeight="14.4" x14ac:dyDescent="0.3"/>
  <cols>
    <col min="1" max="1" width="161" bestFit="1" customWidth="1"/>
  </cols>
  <sheetData>
    <row r="1" spans="1:12" x14ac:dyDescent="0.3">
      <c r="A1" s="154" t="s">
        <v>626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468</v>
      </c>
    </row>
    <row r="4" spans="1:12" x14ac:dyDescent="0.3">
      <c r="A4" t="s">
        <v>595</v>
      </c>
    </row>
    <row r="5" spans="1:12" x14ac:dyDescent="0.3">
      <c r="A5" t="s">
        <v>597</v>
      </c>
    </row>
    <row r="6" spans="1:12" x14ac:dyDescent="0.3">
      <c r="A6" t="s">
        <v>599</v>
      </c>
    </row>
    <row r="7" spans="1:12" x14ac:dyDescent="0.3">
      <c r="A7" t="s">
        <v>603</v>
      </c>
    </row>
    <row r="8" spans="1:12" x14ac:dyDescent="0.3">
      <c r="A8" t="s">
        <v>607</v>
      </c>
    </row>
    <row r="9" spans="1:12" x14ac:dyDescent="0.3">
      <c r="A9" t="s">
        <v>467</v>
      </c>
    </row>
    <row r="10" spans="1:12" x14ac:dyDescent="0.3">
      <c r="A10" t="s">
        <v>608</v>
      </c>
    </row>
    <row r="11" spans="1:12" x14ac:dyDescent="0.3">
      <c r="A11" t="s">
        <v>610</v>
      </c>
    </row>
    <row r="12" spans="1:12" x14ac:dyDescent="0.3">
      <c r="A12" s="108" t="s">
        <v>612</v>
      </c>
    </row>
    <row r="13" spans="1:12" x14ac:dyDescent="0.3">
      <c r="A13" s="108" t="s">
        <v>612</v>
      </c>
    </row>
    <row r="14" spans="1:12" x14ac:dyDescent="0.3">
      <c r="A14" t="s">
        <v>616</v>
      </c>
    </row>
    <row r="15" spans="1:12" x14ac:dyDescent="0.3">
      <c r="A15" t="s">
        <v>620</v>
      </c>
    </row>
    <row r="16" spans="1:12" x14ac:dyDescent="0.3">
      <c r="A16" t="s">
        <v>621</v>
      </c>
    </row>
    <row r="17" spans="1:1" x14ac:dyDescent="0.3">
      <c r="A17" t="s">
        <v>622</v>
      </c>
    </row>
    <row r="18" spans="1:1" x14ac:dyDescent="0.3">
      <c r="A18" t="s">
        <v>624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0689D-D635-4B48-883A-97B6A999E369}">
  <sheetPr codeName="Hoja5"/>
  <dimension ref="A1:I451"/>
  <sheetViews>
    <sheetView topLeftCell="B1" workbookViewId="0">
      <selection activeCell="H5" sqref="H4:H5"/>
    </sheetView>
  </sheetViews>
  <sheetFormatPr baseColWidth="10" defaultRowHeight="14.4" x14ac:dyDescent="0.3"/>
  <cols>
    <col min="1" max="1" width="18.33203125" customWidth="1"/>
    <col min="8" max="8" width="54.5546875" bestFit="1" customWidth="1"/>
    <col min="9" max="9" width="18.5546875" bestFit="1" customWidth="1"/>
  </cols>
  <sheetData>
    <row r="1" spans="1:9" x14ac:dyDescent="0.3">
      <c r="A1" t="s">
        <v>585</v>
      </c>
      <c r="B1" t="s">
        <v>452</v>
      </c>
      <c r="C1" t="s">
        <v>629</v>
      </c>
      <c r="D1" t="s">
        <v>58</v>
      </c>
      <c r="E1" t="s">
        <v>5</v>
      </c>
      <c r="F1" t="s">
        <v>637</v>
      </c>
    </row>
    <row r="2" spans="1:9" x14ac:dyDescent="0.3">
      <c r="A2" s="156" t="s">
        <v>138</v>
      </c>
      <c r="B2" t="s">
        <v>13</v>
      </c>
      <c r="C2" s="159">
        <v>4</v>
      </c>
      <c r="D2" t="str">
        <f>VLOOKUP(A2,DataUsuario!B:D,2,FALSE)</f>
        <v>Gestión Humana y Sostenibilidad</v>
      </c>
      <c r="E2" t="str">
        <f>VLOOKUP(A2,DataUsuario!B:D,3,FALSE)</f>
        <v>Gestion del Talento</v>
      </c>
      <c r="F2" t="s">
        <v>62</v>
      </c>
    </row>
    <row r="3" spans="1:9" x14ac:dyDescent="0.3">
      <c r="A3" s="157" t="s">
        <v>207</v>
      </c>
      <c r="B3" t="s">
        <v>13</v>
      </c>
      <c r="C3" s="160">
        <v>5</v>
      </c>
      <c r="D3" t="str">
        <f>VLOOKUP(A3,DataUsuario!B:D,2,FALSE)</f>
        <v>Administración y Finanzas</v>
      </c>
      <c r="E3" t="str">
        <f>VLOOKUP(A3,DataUsuario!B:D,3,FALSE)</f>
        <v>Riesgos y Cumplimiento</v>
      </c>
      <c r="F3" t="s">
        <v>66</v>
      </c>
    </row>
    <row r="4" spans="1:9" x14ac:dyDescent="0.3">
      <c r="A4" s="156" t="s">
        <v>322</v>
      </c>
      <c r="B4" t="s">
        <v>13</v>
      </c>
      <c r="C4" s="159">
        <v>3</v>
      </c>
      <c r="D4" t="str">
        <f>VLOOKUP(A4,DataUsuario!B:D,2,FALSE)</f>
        <v>Administración y Finanzas</v>
      </c>
      <c r="E4" t="str">
        <f>VLOOKUP(A4,DataUsuario!B:D,3,FALSE)</f>
        <v>Finanzas y Tesorería</v>
      </c>
      <c r="F4" t="s">
        <v>66</v>
      </c>
      <c r="G4" t="s">
        <v>13</v>
      </c>
    </row>
    <row r="5" spans="1:9" x14ac:dyDescent="0.3">
      <c r="A5" s="157" t="s">
        <v>133</v>
      </c>
      <c r="B5" t="s">
        <v>13</v>
      </c>
      <c r="C5" s="160" t="s">
        <v>627</v>
      </c>
      <c r="D5" t="str">
        <f>VLOOKUP(A5,DataUsuario!B:D,2,FALSE)</f>
        <v>Industrial y de Mantenimiento</v>
      </c>
      <c r="E5" t="str">
        <f>VLOOKUP(A5,DataUsuario!B:D,3,FALSE)</f>
        <v>Electricidad</v>
      </c>
      <c r="F5" t="s">
        <v>74</v>
      </c>
      <c r="G5" t="s">
        <v>14</v>
      </c>
    </row>
    <row r="6" spans="1:9" x14ac:dyDescent="0.3">
      <c r="A6" s="156" t="s">
        <v>299</v>
      </c>
      <c r="B6" t="s">
        <v>13</v>
      </c>
      <c r="C6" s="159">
        <v>3</v>
      </c>
      <c r="D6" t="str">
        <f>VLOOKUP(A6,DataUsuario!B:D,2,FALSE)</f>
        <v>Administración y Finanzas</v>
      </c>
      <c r="E6" t="str">
        <f>VLOOKUP(A6,DataUsuario!B:D,3,FALSE)</f>
        <v>Legal</v>
      </c>
      <c r="F6" t="s">
        <v>66</v>
      </c>
      <c r="G6" t="s">
        <v>15</v>
      </c>
    </row>
    <row r="7" spans="1:9" x14ac:dyDescent="0.3">
      <c r="A7" s="157" t="s">
        <v>421</v>
      </c>
      <c r="B7" t="s">
        <v>13</v>
      </c>
      <c r="C7" s="160">
        <v>4</v>
      </c>
      <c r="D7" t="str">
        <f>VLOOKUP(A7,DataUsuario!B:D,2,FALSE)</f>
        <v>Operaciones</v>
      </c>
      <c r="E7" t="str">
        <f>VLOOKUP(A7,DataUsuario!B:D,3,FALSE)</f>
        <v>Cosecha</v>
      </c>
      <c r="F7" t="s">
        <v>70</v>
      </c>
      <c r="G7" t="s">
        <v>16</v>
      </c>
    </row>
    <row r="8" spans="1:9" x14ac:dyDescent="0.3">
      <c r="A8" s="156" t="s">
        <v>258</v>
      </c>
      <c r="B8" t="s">
        <v>13</v>
      </c>
      <c r="C8" s="159">
        <v>4</v>
      </c>
      <c r="D8" t="str">
        <f>VLOOKUP(A8,DataUsuario!B:D,2,FALSE)</f>
        <v>Operaciones</v>
      </c>
      <c r="E8" t="str">
        <f>VLOOKUP(A8,DataUsuario!B:D,3,FALSE)</f>
        <v>Calidad</v>
      </c>
      <c r="F8" t="s">
        <v>70</v>
      </c>
      <c r="G8" t="s">
        <v>17</v>
      </c>
      <c r="H8" s="175" t="s">
        <v>5</v>
      </c>
      <c r="I8" t="s">
        <v>640</v>
      </c>
    </row>
    <row r="9" spans="1:9" x14ac:dyDescent="0.3">
      <c r="A9" s="157" t="s">
        <v>152</v>
      </c>
      <c r="B9" t="s">
        <v>13</v>
      </c>
      <c r="C9" s="160">
        <v>5</v>
      </c>
      <c r="D9" t="str">
        <f>VLOOKUP(A9,DataUsuario!B:D,2,FALSE)</f>
        <v>Operaciones</v>
      </c>
      <c r="E9" t="str">
        <f>VLOOKUP(A9,DataUsuario!B:D,3,FALSE)</f>
        <v>Almacenes y Distribución PT</v>
      </c>
      <c r="F9" t="s">
        <v>70</v>
      </c>
    </row>
    <row r="10" spans="1:9" x14ac:dyDescent="0.3">
      <c r="A10" s="156" t="s">
        <v>77</v>
      </c>
      <c r="B10" t="s">
        <v>13</v>
      </c>
      <c r="C10" s="159">
        <v>5</v>
      </c>
      <c r="D10" t="str">
        <f>VLOOKUP(A10,DataUsuario!B:D,2,FALSE)</f>
        <v>Operaciones</v>
      </c>
      <c r="E10" t="str">
        <f>VLOOKUP(A10,DataUsuario!B:D,3,FALSE)</f>
        <v>Comercial No Giro</v>
      </c>
      <c r="F10" t="s">
        <v>70</v>
      </c>
      <c r="H10" s="175" t="s">
        <v>638</v>
      </c>
      <c r="I10" t="s">
        <v>641</v>
      </c>
    </row>
    <row r="11" spans="1:9" x14ac:dyDescent="0.3">
      <c r="A11" s="157" t="s">
        <v>435</v>
      </c>
      <c r="B11" t="s">
        <v>13</v>
      </c>
      <c r="C11" s="160">
        <v>5</v>
      </c>
      <c r="D11" t="str">
        <f>VLOOKUP(A11,DataUsuario!B:D,2,FALSE)</f>
        <v>Operaciones</v>
      </c>
      <c r="E11" t="str">
        <f>VLOOKUP(A11,DataUsuario!B:D,3,FALSE)</f>
        <v>Almacenes y Distribución PT</v>
      </c>
      <c r="F11" t="s">
        <v>70</v>
      </c>
      <c r="H11" s="146" t="s">
        <v>17</v>
      </c>
      <c r="I11">
        <v>85</v>
      </c>
    </row>
    <row r="12" spans="1:9" x14ac:dyDescent="0.3">
      <c r="A12" s="156" t="s">
        <v>405</v>
      </c>
      <c r="B12" t="s">
        <v>13</v>
      </c>
      <c r="C12" s="159" t="s">
        <v>627</v>
      </c>
      <c r="D12" t="str">
        <f>VLOOKUP(A12,DataUsuario!B:D,2,FALSE)</f>
        <v>Administración y Finanzas</v>
      </c>
      <c r="E12" t="str">
        <f>VLOOKUP(A12,DataUsuario!B:D,3,FALSE)</f>
        <v>Finanzas y Tesorería</v>
      </c>
      <c r="F12" t="s">
        <v>66</v>
      </c>
      <c r="H12" s="176">
        <v>2</v>
      </c>
      <c r="I12">
        <v>2</v>
      </c>
    </row>
    <row r="13" spans="1:9" x14ac:dyDescent="0.3">
      <c r="A13" s="157" t="s">
        <v>593</v>
      </c>
      <c r="B13" t="s">
        <v>13</v>
      </c>
      <c r="C13" s="160" t="s">
        <v>627</v>
      </c>
      <c r="D13" t="str">
        <f>VLOOKUP(A13,DataUsuario!B:D,2,FALSE)</f>
        <v>Administración y Finanzas</v>
      </c>
      <c r="E13" t="str">
        <f>VLOOKUP(A13,DataUsuario!B:D,3,FALSE)</f>
        <v>Compras</v>
      </c>
      <c r="F13" t="s">
        <v>66</v>
      </c>
      <c r="H13" s="176">
        <v>3</v>
      </c>
      <c r="I13">
        <v>7</v>
      </c>
    </row>
    <row r="14" spans="1:9" x14ac:dyDescent="0.3">
      <c r="A14" s="156" t="s">
        <v>341</v>
      </c>
      <c r="B14" t="s">
        <v>13</v>
      </c>
      <c r="C14" s="159">
        <v>5</v>
      </c>
      <c r="D14" t="str">
        <f>VLOOKUP(A14,DataUsuario!B:D,2,FALSE)</f>
        <v>Administración y Finanzas</v>
      </c>
      <c r="E14" t="str">
        <f>VLOOKUP(A14,DataUsuario!B:D,3,FALSE)</f>
        <v>Contabilidad Tributaria</v>
      </c>
      <c r="F14" t="s">
        <v>66</v>
      </c>
      <c r="H14" s="176">
        <v>4</v>
      </c>
      <c r="I14">
        <v>35</v>
      </c>
    </row>
    <row r="15" spans="1:9" x14ac:dyDescent="0.3">
      <c r="A15" s="157" t="s">
        <v>289</v>
      </c>
      <c r="B15" t="s">
        <v>13</v>
      </c>
      <c r="C15" s="160">
        <v>4</v>
      </c>
      <c r="D15" t="str">
        <f>VLOOKUP(A15,DataUsuario!B:D,2,FALSE)</f>
        <v>Agrícola</v>
      </c>
      <c r="E15" t="str">
        <f>VLOOKUP(A15,DataUsuario!B:D,3,FALSE)</f>
        <v>Mantenimiento de Riego y Bombas</v>
      </c>
      <c r="F15" t="s">
        <v>89</v>
      </c>
      <c r="H15" s="176">
        <v>5</v>
      </c>
      <c r="I15">
        <v>33</v>
      </c>
    </row>
    <row r="16" spans="1:9" x14ac:dyDescent="0.3">
      <c r="A16" s="156" t="s">
        <v>359</v>
      </c>
      <c r="B16" t="s">
        <v>13</v>
      </c>
      <c r="C16" s="159" t="s">
        <v>627</v>
      </c>
      <c r="D16" t="str">
        <f>VLOOKUP(A16,DataUsuario!B:D,2,FALSE)</f>
        <v>Operaciones</v>
      </c>
      <c r="E16" t="str">
        <f>VLOOKUP(A16,DataUsuario!B:D,3,FALSE)</f>
        <v>Gerencia de Operaciones</v>
      </c>
      <c r="F16" t="s">
        <v>70</v>
      </c>
      <c r="H16" s="176" t="s">
        <v>627</v>
      </c>
      <c r="I16">
        <v>8</v>
      </c>
    </row>
    <row r="17" spans="1:9" x14ac:dyDescent="0.3">
      <c r="A17" s="157" t="s">
        <v>145</v>
      </c>
      <c r="B17" t="s">
        <v>13</v>
      </c>
      <c r="C17" s="160">
        <v>4</v>
      </c>
      <c r="D17" t="str">
        <f>VLOOKUP(A17,DataUsuario!B:D,2,FALSE)</f>
        <v>Administración y Finanzas</v>
      </c>
      <c r="E17" t="str">
        <f>VLOOKUP(A17,DataUsuario!B:D,3,FALSE)</f>
        <v>Legal</v>
      </c>
      <c r="F17" t="s">
        <v>66</v>
      </c>
      <c r="H17" s="146" t="s">
        <v>16</v>
      </c>
      <c r="I17">
        <v>85</v>
      </c>
    </row>
    <row r="18" spans="1:9" x14ac:dyDescent="0.3">
      <c r="A18" s="156" t="s">
        <v>596</v>
      </c>
      <c r="B18" t="s">
        <v>13</v>
      </c>
      <c r="C18" s="159">
        <v>5</v>
      </c>
      <c r="D18" t="str">
        <f>VLOOKUP(A18,DataUsuario!B:D,2,FALSE)</f>
        <v>Gestión Humana y Sostenibilidad</v>
      </c>
      <c r="E18" t="str">
        <f>VLOOKUP(A18,DataUsuario!B:D,3,FALSE)</f>
        <v>Seguridad</v>
      </c>
      <c r="F18" t="s">
        <v>62</v>
      </c>
      <c r="H18" s="176">
        <v>2</v>
      </c>
      <c r="I18">
        <v>1</v>
      </c>
    </row>
    <row r="19" spans="1:9" x14ac:dyDescent="0.3">
      <c r="A19" s="157" t="s">
        <v>82</v>
      </c>
      <c r="B19" t="s">
        <v>13</v>
      </c>
      <c r="C19" s="160">
        <v>4</v>
      </c>
      <c r="D19" t="str">
        <f>VLOOKUP(A19,DataUsuario!B:D,2,FALSE)</f>
        <v>Industrial y de Mantenimiento</v>
      </c>
      <c r="E19" t="str">
        <f>VLOOKUP(A19,DataUsuario!B:D,3,FALSE)</f>
        <v>Producción</v>
      </c>
      <c r="F19" t="s">
        <v>74</v>
      </c>
      <c r="H19" s="176">
        <v>3</v>
      </c>
      <c r="I19">
        <v>4</v>
      </c>
    </row>
    <row r="20" spans="1:9" x14ac:dyDescent="0.3">
      <c r="A20" s="156" t="s">
        <v>326</v>
      </c>
      <c r="B20" t="s">
        <v>13</v>
      </c>
      <c r="C20" s="159">
        <v>4</v>
      </c>
      <c r="D20" t="str">
        <f>VLOOKUP(A20,DataUsuario!B:D,2,FALSE)</f>
        <v>Operaciones</v>
      </c>
      <c r="E20" t="str">
        <f>VLOOKUP(A20,DataUsuario!B:D,3,FALSE)</f>
        <v>Calidad</v>
      </c>
      <c r="F20" t="s">
        <v>70</v>
      </c>
      <c r="H20" s="176">
        <v>4</v>
      </c>
      <c r="I20">
        <v>38</v>
      </c>
    </row>
    <row r="21" spans="1:9" x14ac:dyDescent="0.3">
      <c r="A21" s="157" t="s">
        <v>318</v>
      </c>
      <c r="B21" t="s">
        <v>13</v>
      </c>
      <c r="C21" s="160" t="s">
        <v>627</v>
      </c>
      <c r="D21" t="str">
        <f>VLOOKUP(A21,DataUsuario!B:D,2,FALSE)</f>
        <v>Operaciones</v>
      </c>
      <c r="E21" t="str">
        <f>VLOOKUP(A21,DataUsuario!B:D,3,FALSE)</f>
        <v>Cosecha</v>
      </c>
      <c r="F21" t="s">
        <v>70</v>
      </c>
      <c r="H21" s="176">
        <v>5</v>
      </c>
      <c r="I21">
        <v>26</v>
      </c>
    </row>
    <row r="22" spans="1:9" x14ac:dyDescent="0.3">
      <c r="A22" s="156" t="s">
        <v>391</v>
      </c>
      <c r="B22" t="s">
        <v>13</v>
      </c>
      <c r="C22" s="159">
        <v>5</v>
      </c>
      <c r="D22" t="str">
        <f>VLOOKUP(A22,DataUsuario!B:D,2,FALSE)</f>
        <v>Administración y Finanzas</v>
      </c>
      <c r="E22" t="str">
        <f>VLOOKUP(A22,DataUsuario!B:D,3,FALSE)</f>
        <v>Finanzas y Tesorería</v>
      </c>
      <c r="F22" t="s">
        <v>66</v>
      </c>
      <c r="H22" s="176" t="s">
        <v>627</v>
      </c>
      <c r="I22">
        <v>16</v>
      </c>
    </row>
    <row r="23" spans="1:9" x14ac:dyDescent="0.3">
      <c r="A23" s="157" t="s">
        <v>279</v>
      </c>
      <c r="B23" t="s">
        <v>13</v>
      </c>
      <c r="C23" s="160" t="s">
        <v>627</v>
      </c>
      <c r="D23" t="str">
        <f>VLOOKUP(A23,DataUsuario!B:D,2,FALSE)</f>
        <v>Operaciones</v>
      </c>
      <c r="E23" t="str">
        <f>VLOOKUP(A23,DataUsuario!B:D,3,FALSE)</f>
        <v>Transporte</v>
      </c>
      <c r="F23" t="s">
        <v>70</v>
      </c>
      <c r="H23" s="146" t="s">
        <v>14</v>
      </c>
      <c r="I23">
        <v>85</v>
      </c>
    </row>
    <row r="24" spans="1:9" x14ac:dyDescent="0.3">
      <c r="A24" s="156" t="s">
        <v>431</v>
      </c>
      <c r="B24" t="s">
        <v>13</v>
      </c>
      <c r="C24" s="159" t="s">
        <v>627</v>
      </c>
      <c r="D24" t="str">
        <f>VLOOKUP(A24,DataUsuario!B:D,2,FALSE)</f>
        <v>Agrícola</v>
      </c>
      <c r="E24" t="str">
        <f>VLOOKUP(A24,DataUsuario!B:D,3,FALSE)</f>
        <v>Fundo San Vicente</v>
      </c>
      <c r="F24" t="s">
        <v>89</v>
      </c>
      <c r="H24" s="176">
        <v>3</v>
      </c>
      <c r="I24">
        <v>3</v>
      </c>
    </row>
    <row r="25" spans="1:9" x14ac:dyDescent="0.3">
      <c r="A25" s="157" t="s">
        <v>176</v>
      </c>
      <c r="B25" t="s">
        <v>13</v>
      </c>
      <c r="C25" s="160">
        <v>5</v>
      </c>
      <c r="D25" t="str">
        <f>VLOOKUP(A25,DataUsuario!B:D,2,FALSE)</f>
        <v>Administración y Finanzas</v>
      </c>
      <c r="E25" t="str">
        <f>VLOOKUP(A25,DataUsuario!B:D,3,FALSE)</f>
        <v>Cadenas Productivas</v>
      </c>
      <c r="F25" t="s">
        <v>66</v>
      </c>
      <c r="H25" s="176">
        <v>4</v>
      </c>
      <c r="I25">
        <v>36</v>
      </c>
    </row>
    <row r="26" spans="1:9" x14ac:dyDescent="0.3">
      <c r="A26" s="156" t="s">
        <v>221</v>
      </c>
      <c r="B26" t="s">
        <v>13</v>
      </c>
      <c r="C26" s="159">
        <v>5</v>
      </c>
      <c r="D26" t="str">
        <f>VLOOKUP(A26,DataUsuario!B:D,2,FALSE)</f>
        <v>Administración y Finanzas</v>
      </c>
      <c r="E26" t="str">
        <f>VLOOKUP(A26,DataUsuario!B:D,3,FALSE)</f>
        <v>Sistemas y TI</v>
      </c>
      <c r="F26" t="s">
        <v>66</v>
      </c>
      <c r="H26" s="176">
        <v>5</v>
      </c>
      <c r="I26">
        <v>29</v>
      </c>
    </row>
    <row r="27" spans="1:9" x14ac:dyDescent="0.3">
      <c r="A27" s="157" t="s">
        <v>249</v>
      </c>
      <c r="B27" t="s">
        <v>13</v>
      </c>
      <c r="C27" s="160">
        <v>5</v>
      </c>
      <c r="D27" t="str">
        <f>VLOOKUP(A27,DataUsuario!B:D,2,FALSE)</f>
        <v>Administración y Finanzas</v>
      </c>
      <c r="E27" t="str">
        <f>VLOOKUP(A27,DataUsuario!B:D,3,FALSE)</f>
        <v>Compras</v>
      </c>
      <c r="F27" t="s">
        <v>66</v>
      </c>
      <c r="H27" s="176" t="s">
        <v>627</v>
      </c>
      <c r="I27">
        <v>17</v>
      </c>
    </row>
    <row r="28" spans="1:9" x14ac:dyDescent="0.3">
      <c r="A28" s="156" t="s">
        <v>600</v>
      </c>
      <c r="B28" t="s">
        <v>13</v>
      </c>
      <c r="C28" s="159">
        <v>4</v>
      </c>
      <c r="D28" t="str">
        <f>VLOOKUP(A28,DataUsuario!B:D,2,FALSE)</f>
        <v>Administración y Finanzas</v>
      </c>
      <c r="E28" t="str">
        <f>VLOOKUP(A28,DataUsuario!B:D,3,FALSE)</f>
        <v>Sistemas y TI</v>
      </c>
      <c r="F28" t="s">
        <v>66</v>
      </c>
      <c r="H28" s="146" t="s">
        <v>15</v>
      </c>
      <c r="I28">
        <v>85</v>
      </c>
    </row>
    <row r="29" spans="1:9" x14ac:dyDescent="0.3">
      <c r="A29" s="157" t="s">
        <v>519</v>
      </c>
      <c r="B29" t="s">
        <v>13</v>
      </c>
      <c r="C29" s="160">
        <v>5</v>
      </c>
      <c r="D29" t="str">
        <f>VLOOKUP(A29,DataUsuario!B:D,2,FALSE)</f>
        <v>Administración y Finanzas</v>
      </c>
      <c r="E29" t="str">
        <f>VLOOKUP(A29,DataUsuario!B:D,3,FALSE)</f>
        <v>Contabilidad Tributaria</v>
      </c>
      <c r="F29" t="s">
        <v>66</v>
      </c>
      <c r="H29" s="176">
        <v>3</v>
      </c>
      <c r="I29">
        <v>2</v>
      </c>
    </row>
    <row r="30" spans="1:9" x14ac:dyDescent="0.3">
      <c r="A30" s="156" t="s">
        <v>439</v>
      </c>
      <c r="B30" t="s">
        <v>13</v>
      </c>
      <c r="C30" s="159">
        <v>5</v>
      </c>
      <c r="D30" t="str">
        <f>VLOOKUP(A30,DataUsuario!B:D,2,FALSE)</f>
        <v>Operaciones</v>
      </c>
      <c r="E30" t="str">
        <f>VLOOKUP(A30,DataUsuario!B:D,3,FALSE)</f>
        <v>Comercial</v>
      </c>
      <c r="F30" t="s">
        <v>70</v>
      </c>
      <c r="H30" s="176">
        <v>4</v>
      </c>
      <c r="I30">
        <v>30</v>
      </c>
    </row>
    <row r="31" spans="1:9" x14ac:dyDescent="0.3">
      <c r="A31" s="157" t="s">
        <v>320</v>
      </c>
      <c r="B31" t="s">
        <v>13</v>
      </c>
      <c r="C31" s="160">
        <v>5</v>
      </c>
      <c r="D31" t="str">
        <f>VLOOKUP(A31,DataUsuario!B:D,2,FALSE)</f>
        <v>Gestión Humana y Sostenibilidad</v>
      </c>
      <c r="E31" t="str">
        <f>VLOOKUP(A31,DataUsuario!B:D,3,FALSE)</f>
        <v>Sostenibilidad</v>
      </c>
      <c r="F31" t="s">
        <v>62</v>
      </c>
      <c r="H31" s="176">
        <v>5</v>
      </c>
      <c r="I31">
        <v>32</v>
      </c>
    </row>
    <row r="32" spans="1:9" x14ac:dyDescent="0.3">
      <c r="A32" s="156" t="s">
        <v>80</v>
      </c>
      <c r="B32" t="s">
        <v>13</v>
      </c>
      <c r="C32" s="159" t="s">
        <v>627</v>
      </c>
      <c r="D32" t="str">
        <f>VLOOKUP(A32,DataUsuario!B:D,2,FALSE)</f>
        <v>Administración y Finanzas</v>
      </c>
      <c r="E32" t="str">
        <f>VLOOKUP(A32,DataUsuario!B:D,3,FALSE)</f>
        <v>Compras</v>
      </c>
      <c r="F32" t="s">
        <v>66</v>
      </c>
      <c r="H32" s="176" t="s">
        <v>627</v>
      </c>
      <c r="I32">
        <v>21</v>
      </c>
    </row>
    <row r="33" spans="1:9" x14ac:dyDescent="0.3">
      <c r="A33" s="157" t="s">
        <v>301</v>
      </c>
      <c r="B33" t="s">
        <v>13</v>
      </c>
      <c r="C33" s="160">
        <v>5</v>
      </c>
      <c r="D33" t="str">
        <f>VLOOKUP(A33,DataUsuario!B:D,2,FALSE)</f>
        <v>Administración y Finanzas</v>
      </c>
      <c r="E33" t="str">
        <f>VLOOKUP(A33,DataUsuario!B:D,3,FALSE)</f>
        <v>Contabilidad Tributaria</v>
      </c>
      <c r="F33" t="s">
        <v>66</v>
      </c>
      <c r="H33" s="146" t="s">
        <v>13</v>
      </c>
      <c r="I33">
        <v>85</v>
      </c>
    </row>
    <row r="34" spans="1:9" x14ac:dyDescent="0.3">
      <c r="A34" s="156" t="s">
        <v>343</v>
      </c>
      <c r="B34" t="s">
        <v>13</v>
      </c>
      <c r="C34" s="159">
        <v>5</v>
      </c>
      <c r="D34" t="str">
        <f>VLOOKUP(A34,DataUsuario!B:D,2,FALSE)</f>
        <v>Operaciones</v>
      </c>
      <c r="E34" t="str">
        <f>VLOOKUP(A34,DataUsuario!B:D,3,FALSE)</f>
        <v>Comercial No Giro</v>
      </c>
      <c r="F34" t="s">
        <v>70</v>
      </c>
      <c r="H34" s="176">
        <v>3</v>
      </c>
      <c r="I34">
        <v>3</v>
      </c>
    </row>
    <row r="35" spans="1:9" x14ac:dyDescent="0.3">
      <c r="A35" s="157" t="s">
        <v>236</v>
      </c>
      <c r="B35" t="s">
        <v>13</v>
      </c>
      <c r="C35" s="160">
        <v>5</v>
      </c>
      <c r="D35" t="str">
        <f>VLOOKUP(A35,DataUsuario!B:D,2,FALSE)</f>
        <v>Administración y Finanzas</v>
      </c>
      <c r="E35" t="str">
        <f>VLOOKUP(A35,DataUsuario!B:D,3,FALSE)</f>
        <v>Sistemas y TI</v>
      </c>
      <c r="F35" t="s">
        <v>66</v>
      </c>
      <c r="H35" s="176">
        <v>4</v>
      </c>
      <c r="I35">
        <v>25</v>
      </c>
    </row>
    <row r="36" spans="1:9" x14ac:dyDescent="0.3">
      <c r="A36" s="156" t="s">
        <v>205</v>
      </c>
      <c r="B36" t="s">
        <v>13</v>
      </c>
      <c r="C36" s="159" t="s">
        <v>627</v>
      </c>
      <c r="D36" t="str">
        <f>VLOOKUP(A36,DataUsuario!B:D,2,FALSE)</f>
        <v>Operaciones</v>
      </c>
      <c r="E36" t="str">
        <f>VLOOKUP(A36,DataUsuario!B:D,3,FALSE)</f>
        <v>Almacenes y Distribución PT</v>
      </c>
      <c r="F36" t="s">
        <v>70</v>
      </c>
      <c r="H36" s="176">
        <v>5</v>
      </c>
      <c r="I36">
        <v>35</v>
      </c>
    </row>
    <row r="37" spans="1:9" x14ac:dyDescent="0.3">
      <c r="A37" s="157" t="s">
        <v>136</v>
      </c>
      <c r="B37" t="s">
        <v>13</v>
      </c>
      <c r="C37" s="160">
        <v>5</v>
      </c>
      <c r="D37" t="str">
        <f>VLOOKUP(A37,DataUsuario!B:D,2,FALSE)</f>
        <v>Operaciones</v>
      </c>
      <c r="E37" t="str">
        <f>VLOOKUP(A37,DataUsuario!B:D,3,FALSE)</f>
        <v>Comercial</v>
      </c>
      <c r="F37" t="s">
        <v>70</v>
      </c>
      <c r="H37" s="176" t="s">
        <v>627</v>
      </c>
      <c r="I37">
        <v>22</v>
      </c>
    </row>
    <row r="38" spans="1:9" x14ac:dyDescent="0.3">
      <c r="A38" s="156" t="s">
        <v>602</v>
      </c>
      <c r="B38" t="s">
        <v>13</v>
      </c>
      <c r="C38" s="159">
        <v>5</v>
      </c>
      <c r="D38" t="str">
        <f>VLOOKUP(A38,DataUsuario!B:D,2,FALSE)</f>
        <v>Administración y Finanzas</v>
      </c>
      <c r="E38" t="str">
        <f>VLOOKUP(A38,DataUsuario!B:D,3,FALSE)</f>
        <v>Sistemas y TI</v>
      </c>
      <c r="F38" t="s">
        <v>66</v>
      </c>
      <c r="H38" s="146" t="s">
        <v>639</v>
      </c>
      <c r="I38">
        <v>425</v>
      </c>
    </row>
    <row r="39" spans="1:9" x14ac:dyDescent="0.3">
      <c r="A39" s="157" t="s">
        <v>181</v>
      </c>
      <c r="B39" t="s">
        <v>13</v>
      </c>
      <c r="C39" s="160">
        <v>4</v>
      </c>
      <c r="D39" t="str">
        <f>VLOOKUP(A39,DataUsuario!B:D,2,FALSE)</f>
        <v>Gestión Humana y Sostenibilidad</v>
      </c>
      <c r="E39" t="str">
        <f>VLOOKUP(A39,DataUsuario!B:D,3,FALSE)</f>
        <v>Compensación y Nóminas</v>
      </c>
      <c r="F39" t="s">
        <v>62</v>
      </c>
    </row>
    <row r="40" spans="1:9" x14ac:dyDescent="0.3">
      <c r="A40" s="156" t="s">
        <v>275</v>
      </c>
      <c r="B40" t="s">
        <v>13</v>
      </c>
      <c r="C40" s="159" t="s">
        <v>627</v>
      </c>
      <c r="D40" t="str">
        <f>VLOOKUP(A40,DataUsuario!B:D,2,FALSE)</f>
        <v>Administración y Finanzas</v>
      </c>
      <c r="E40" t="str">
        <f>VLOOKUP(A40,DataUsuario!B:D,3,FALSE)</f>
        <v>Compras</v>
      </c>
      <c r="F40" t="s">
        <v>66</v>
      </c>
    </row>
    <row r="41" spans="1:9" x14ac:dyDescent="0.3">
      <c r="A41" s="157" t="s">
        <v>61</v>
      </c>
      <c r="B41" t="s">
        <v>13</v>
      </c>
      <c r="C41" s="160">
        <v>4</v>
      </c>
      <c r="D41" t="str">
        <f>VLOOKUP(A41,DataUsuario!B:D,2,FALSE)</f>
        <v>Gestión Humana y Sostenibilidad</v>
      </c>
      <c r="E41" t="str">
        <f>VLOOKUP(A41,DataUsuario!B:D,3,FALSE)</f>
        <v>Compensación y Nóminas</v>
      </c>
      <c r="F41" t="s">
        <v>62</v>
      </c>
    </row>
    <row r="42" spans="1:9" x14ac:dyDescent="0.3">
      <c r="A42" s="156" t="s">
        <v>374</v>
      </c>
      <c r="B42" t="s">
        <v>13</v>
      </c>
      <c r="C42" s="159">
        <v>4</v>
      </c>
      <c r="D42" t="str">
        <f>VLOOKUP(A42,DataUsuario!B:D,2,FALSE)</f>
        <v>Agrícola</v>
      </c>
      <c r="E42" t="str">
        <f>VLOOKUP(A42,DataUsuario!B:D,3,FALSE)</f>
        <v>Mantenimiento de Riego y Bombas</v>
      </c>
      <c r="F42" t="s">
        <v>89</v>
      </c>
    </row>
    <row r="43" spans="1:9" x14ac:dyDescent="0.3">
      <c r="A43" s="157" t="s">
        <v>605</v>
      </c>
      <c r="B43" t="s">
        <v>13</v>
      </c>
      <c r="C43" s="160" t="s">
        <v>627</v>
      </c>
      <c r="D43" t="str">
        <f>VLOOKUP(A43,DataUsuario!B:D,2,FALSE)</f>
        <v>Administración y Finanzas</v>
      </c>
      <c r="E43" t="str">
        <f>VLOOKUP(A43,DataUsuario!B:D,3,FALSE)</f>
        <v>Control de Gestión</v>
      </c>
      <c r="F43" t="s">
        <v>66</v>
      </c>
    </row>
    <row r="44" spans="1:9" x14ac:dyDescent="0.3">
      <c r="A44" s="156" t="s">
        <v>92</v>
      </c>
      <c r="B44" t="s">
        <v>13</v>
      </c>
      <c r="C44" s="159" t="s">
        <v>627</v>
      </c>
      <c r="D44" t="str">
        <f>VLOOKUP(A44,DataUsuario!B:D,2,FALSE)</f>
        <v>Administración y Finanzas</v>
      </c>
      <c r="E44" t="str">
        <f>VLOOKUP(A44,DataUsuario!B:D,3,FALSE)</f>
        <v>Control de Gestión</v>
      </c>
      <c r="F44" t="s">
        <v>66</v>
      </c>
    </row>
    <row r="45" spans="1:9" x14ac:dyDescent="0.3">
      <c r="A45" s="157" t="s">
        <v>217</v>
      </c>
      <c r="B45" t="s">
        <v>13</v>
      </c>
      <c r="C45" s="160">
        <v>4</v>
      </c>
      <c r="D45" t="str">
        <f>VLOOKUP(A45,DataUsuario!B:D,2,FALSE)</f>
        <v>Agrícola</v>
      </c>
      <c r="E45" t="str">
        <f>VLOOKUP(A45,DataUsuario!B:D,3,FALSE)</f>
        <v>Mantenimiento de Riego y Bombas</v>
      </c>
      <c r="F45" t="s">
        <v>89</v>
      </c>
    </row>
    <row r="46" spans="1:9" x14ac:dyDescent="0.3">
      <c r="A46" s="156" t="s">
        <v>606</v>
      </c>
      <c r="B46" t="s">
        <v>13</v>
      </c>
      <c r="C46" s="159">
        <v>4</v>
      </c>
      <c r="D46" t="str">
        <f>VLOOKUP(A46,DataUsuario!B:D,2,FALSE)</f>
        <v>Administración y Finanzas</v>
      </c>
      <c r="E46" t="str">
        <f>VLOOKUP(A46,DataUsuario!B:D,3,FALSE)</f>
        <v>Sistemas y TI</v>
      </c>
      <c r="F46" t="s">
        <v>66</v>
      </c>
    </row>
    <row r="47" spans="1:9" x14ac:dyDescent="0.3">
      <c r="A47" s="157" t="s">
        <v>210</v>
      </c>
      <c r="B47" t="s">
        <v>13</v>
      </c>
      <c r="C47" s="160">
        <v>5</v>
      </c>
      <c r="D47" t="str">
        <f>VLOOKUP(A47,DataUsuario!B:D,2,FALSE)</f>
        <v>Industrial y de Mantenimiento</v>
      </c>
      <c r="E47" t="str">
        <f>VLOOKUP(A47,DataUsuario!B:D,3,FALSE)</f>
        <v>Planta y Srv Industriales</v>
      </c>
      <c r="F47" t="s">
        <v>74</v>
      </c>
    </row>
    <row r="48" spans="1:9" x14ac:dyDescent="0.3">
      <c r="A48" s="156" t="s">
        <v>254</v>
      </c>
      <c r="B48" t="s">
        <v>13</v>
      </c>
      <c r="C48" s="159">
        <v>4</v>
      </c>
      <c r="D48" t="str">
        <f>VLOOKUP(A48,DataUsuario!B:D,2,FALSE)</f>
        <v>Administración y Finanzas</v>
      </c>
      <c r="E48" t="str">
        <f>VLOOKUP(A48,DataUsuario!B:D,3,FALSE)</f>
        <v>Administración</v>
      </c>
      <c r="F48" t="s">
        <v>66</v>
      </c>
    </row>
    <row r="49" spans="1:6" x14ac:dyDescent="0.3">
      <c r="A49" s="157" t="s">
        <v>403</v>
      </c>
      <c r="B49" t="s">
        <v>13</v>
      </c>
      <c r="C49" s="160">
        <v>4</v>
      </c>
      <c r="D49" t="str">
        <f>VLOOKUP(A49,DataUsuario!B:D,2,FALSE)</f>
        <v>Administración y Finanzas</v>
      </c>
      <c r="E49" t="str">
        <f>VLOOKUP(A49,DataUsuario!B:D,3,FALSE)</f>
        <v>Control de Gestión</v>
      </c>
      <c r="F49" t="s">
        <v>66</v>
      </c>
    </row>
    <row r="50" spans="1:6" x14ac:dyDescent="0.3">
      <c r="A50" s="156" t="s">
        <v>170</v>
      </c>
      <c r="B50" t="s">
        <v>13</v>
      </c>
      <c r="C50" s="159">
        <v>5</v>
      </c>
      <c r="D50" t="str">
        <f>VLOOKUP(A50,DataUsuario!B:D,2,FALSE)</f>
        <v>Operaciones</v>
      </c>
      <c r="E50" t="str">
        <f>VLOOKUP(A50,DataUsuario!B:D,3,FALSE)</f>
        <v>Mantenimiento CAT</v>
      </c>
      <c r="F50" t="s">
        <v>70</v>
      </c>
    </row>
    <row r="51" spans="1:6" x14ac:dyDescent="0.3">
      <c r="A51" s="157" t="s">
        <v>88</v>
      </c>
      <c r="B51" t="s">
        <v>13</v>
      </c>
      <c r="C51" s="160" t="s">
        <v>627</v>
      </c>
      <c r="D51" t="str">
        <f>VLOOKUP(A51,DataUsuario!B:D,2,FALSE)</f>
        <v>Agrícola</v>
      </c>
      <c r="E51" t="str">
        <f>VLOOKUP(A51,DataUsuario!B:D,3,FALSE)</f>
        <v>Fundo Lobo</v>
      </c>
      <c r="F51" t="s">
        <v>89</v>
      </c>
    </row>
    <row r="52" spans="1:6" x14ac:dyDescent="0.3">
      <c r="A52" s="156" t="s">
        <v>242</v>
      </c>
      <c r="B52" t="s">
        <v>13</v>
      </c>
      <c r="C52" s="159" t="s">
        <v>627</v>
      </c>
      <c r="D52" t="str">
        <f>VLOOKUP(A52,DataUsuario!B:D,2,FALSE)</f>
        <v>Agrícola</v>
      </c>
      <c r="E52" t="str">
        <f>VLOOKUP(A52,DataUsuario!B:D,3,FALSE)</f>
        <v>Fundo Montelima</v>
      </c>
      <c r="F52" t="s">
        <v>89</v>
      </c>
    </row>
    <row r="53" spans="1:6" x14ac:dyDescent="0.3">
      <c r="A53" s="157" t="s">
        <v>65</v>
      </c>
      <c r="B53" t="s">
        <v>13</v>
      </c>
      <c r="C53" s="160">
        <v>5</v>
      </c>
      <c r="D53" t="str">
        <f>VLOOKUP(A53,DataUsuario!B:D,2,FALSE)</f>
        <v>Administración y Finanzas</v>
      </c>
      <c r="E53" t="str">
        <f>VLOOKUP(A53,DataUsuario!B:D,3,FALSE)</f>
        <v>Finanzas y Tesorería</v>
      </c>
      <c r="F53" t="s">
        <v>66</v>
      </c>
    </row>
    <row r="54" spans="1:6" x14ac:dyDescent="0.3">
      <c r="A54" s="156" t="s">
        <v>609</v>
      </c>
      <c r="B54" t="s">
        <v>13</v>
      </c>
      <c r="C54" s="159" t="s">
        <v>627</v>
      </c>
      <c r="D54" t="str">
        <f>VLOOKUP(A54,DataUsuario!B:D,2,FALSE)</f>
        <v>Administración y Finanzas</v>
      </c>
      <c r="E54" t="str">
        <f>VLOOKUP(A54,DataUsuario!B:D,3,FALSE)</f>
        <v>Compras</v>
      </c>
      <c r="F54" t="s">
        <v>66</v>
      </c>
    </row>
    <row r="55" spans="1:6" x14ac:dyDescent="0.3">
      <c r="A55" s="157" t="s">
        <v>85</v>
      </c>
      <c r="B55" t="s">
        <v>13</v>
      </c>
      <c r="C55" s="160">
        <v>5</v>
      </c>
      <c r="D55" t="str">
        <f>VLOOKUP(A55,DataUsuario!B:D,2,FALSE)</f>
        <v>Operaciones</v>
      </c>
      <c r="E55" t="str">
        <f>VLOOKUP(A55,DataUsuario!B:D,3,FALSE)</f>
        <v>Comercial</v>
      </c>
      <c r="F55" t="s">
        <v>70</v>
      </c>
    </row>
    <row r="56" spans="1:6" x14ac:dyDescent="0.3">
      <c r="A56" s="156" t="s">
        <v>256</v>
      </c>
      <c r="B56" t="s">
        <v>13</v>
      </c>
      <c r="C56" s="159">
        <v>3</v>
      </c>
      <c r="D56" t="str">
        <f>VLOOKUP(A56,DataUsuario!B:D,2,FALSE)</f>
        <v>Agrícola</v>
      </c>
      <c r="E56" t="str">
        <f>VLOOKUP(A56,DataUsuario!B:D,3,FALSE)</f>
        <v>Fundo Montelima</v>
      </c>
      <c r="F56" t="s">
        <v>89</v>
      </c>
    </row>
    <row r="57" spans="1:6" x14ac:dyDescent="0.3">
      <c r="A57" s="157" t="s">
        <v>611</v>
      </c>
      <c r="B57" t="s">
        <v>13</v>
      </c>
      <c r="C57" s="160">
        <v>4</v>
      </c>
      <c r="D57" t="str">
        <f>VLOOKUP(A57,DataUsuario!B:D,2,FALSE)</f>
        <v>Operaciones</v>
      </c>
      <c r="E57" t="str">
        <f>VLOOKUP(A57,DataUsuario!B:D,3,FALSE)</f>
        <v>Almacenes y Distribución PT</v>
      </c>
      <c r="F57" t="s">
        <v>70</v>
      </c>
    </row>
    <row r="58" spans="1:6" x14ac:dyDescent="0.3">
      <c r="A58" s="156" t="s">
        <v>267</v>
      </c>
      <c r="B58" t="s">
        <v>13</v>
      </c>
      <c r="C58" s="159">
        <v>5</v>
      </c>
      <c r="D58" t="str">
        <f>VLOOKUP(A58,DataUsuario!B:D,2,FALSE)</f>
        <v>Gestión Humana y Sostenibilidad</v>
      </c>
      <c r="E58" t="str">
        <f>VLOOKUP(A58,DataUsuario!B:D,3,FALSE)</f>
        <v>Sostenibilidad</v>
      </c>
      <c r="F58" t="s">
        <v>62</v>
      </c>
    </row>
    <row r="59" spans="1:6" x14ac:dyDescent="0.3">
      <c r="A59" s="157" t="s">
        <v>614</v>
      </c>
      <c r="B59" t="s">
        <v>13</v>
      </c>
      <c r="C59" s="160">
        <v>5</v>
      </c>
      <c r="D59" t="str">
        <f>VLOOKUP(A59,DataUsuario!B:D,2,FALSE)</f>
        <v>Operaciones</v>
      </c>
      <c r="E59" t="str">
        <f>VLOOKUP(A59,DataUsuario!B:D,3,FALSE)</f>
        <v>Transporte</v>
      </c>
      <c r="F59" t="s">
        <v>70</v>
      </c>
    </row>
    <row r="60" spans="1:6" x14ac:dyDescent="0.3">
      <c r="A60" s="156" t="s">
        <v>415</v>
      </c>
      <c r="B60" t="s">
        <v>13</v>
      </c>
      <c r="C60" s="159">
        <v>5</v>
      </c>
      <c r="D60" t="str">
        <f>VLOOKUP(A60,DataUsuario!B:D,2,FALSE)</f>
        <v>Administración y Finanzas</v>
      </c>
      <c r="E60" t="str">
        <f>VLOOKUP(A60,DataUsuario!B:D,3,FALSE)</f>
        <v>Administración</v>
      </c>
      <c r="F60" t="s">
        <v>66</v>
      </c>
    </row>
    <row r="61" spans="1:6" x14ac:dyDescent="0.3">
      <c r="A61" s="157" t="s">
        <v>200</v>
      </c>
      <c r="B61" t="s">
        <v>13</v>
      </c>
      <c r="C61" s="160" t="s">
        <v>627</v>
      </c>
      <c r="D61" t="str">
        <f>VLOOKUP(A61,DataUsuario!B:D,2,FALSE)</f>
        <v>Industrial y de Mantenimiento</v>
      </c>
      <c r="E61" t="str">
        <f>VLOOKUP(A61,DataUsuario!B:D,3,FALSE)</f>
        <v>Electricidad</v>
      </c>
      <c r="F61" t="s">
        <v>74</v>
      </c>
    </row>
    <row r="62" spans="1:6" x14ac:dyDescent="0.3">
      <c r="A62" s="156" t="s">
        <v>198</v>
      </c>
      <c r="B62" t="s">
        <v>13</v>
      </c>
      <c r="C62" s="159">
        <v>5</v>
      </c>
      <c r="D62" t="str">
        <f>VLOOKUP(A62,DataUsuario!B:D,2,FALSE)</f>
        <v>Agrícola</v>
      </c>
      <c r="E62" t="str">
        <f>VLOOKUP(A62,DataUsuario!B:D,3,FALSE)</f>
        <v>Fundo Lobo</v>
      </c>
      <c r="F62" t="s">
        <v>89</v>
      </c>
    </row>
    <row r="63" spans="1:6" x14ac:dyDescent="0.3">
      <c r="A63" s="157" t="s">
        <v>350</v>
      </c>
      <c r="B63" t="s">
        <v>13</v>
      </c>
      <c r="C63" s="160" t="s">
        <v>627</v>
      </c>
      <c r="D63" t="str">
        <f>VLOOKUP(A63,DataUsuario!B:D,2,FALSE)</f>
        <v>Agrícola</v>
      </c>
      <c r="E63" t="str">
        <f>VLOOKUP(A63,DataUsuario!B:D,3,FALSE)</f>
        <v>Planificador Agrícola</v>
      </c>
      <c r="F63" t="s">
        <v>89</v>
      </c>
    </row>
    <row r="64" spans="1:6" x14ac:dyDescent="0.3">
      <c r="A64" s="156" t="s">
        <v>345</v>
      </c>
      <c r="B64" t="s">
        <v>13</v>
      </c>
      <c r="C64" s="159" t="s">
        <v>627</v>
      </c>
      <c r="D64" t="str">
        <f>VLOOKUP(A64,DataUsuario!B:D,2,FALSE)</f>
        <v>Agrícola</v>
      </c>
      <c r="E64" t="str">
        <f>VLOOKUP(A64,DataUsuario!B:D,3,FALSE)</f>
        <v>Mantenimiento de Riego y Bombas</v>
      </c>
      <c r="F64" t="s">
        <v>89</v>
      </c>
    </row>
    <row r="65" spans="1:6" x14ac:dyDescent="0.3">
      <c r="A65" s="157" t="s">
        <v>314</v>
      </c>
      <c r="B65" t="s">
        <v>13</v>
      </c>
      <c r="C65" s="160">
        <v>4</v>
      </c>
      <c r="D65" t="str">
        <f>VLOOKUP(A65,DataUsuario!B:D,2,FALSE)</f>
        <v>Industrial y de Mantenimiento</v>
      </c>
      <c r="E65" t="str">
        <f>VLOOKUP(A65,DataUsuario!B:D,3,FALSE)</f>
        <v>Mantenimiento Industrial</v>
      </c>
      <c r="F65" t="s">
        <v>74</v>
      </c>
    </row>
    <row r="66" spans="1:6" x14ac:dyDescent="0.3">
      <c r="A66" s="156" t="s">
        <v>150</v>
      </c>
      <c r="B66" t="s">
        <v>13</v>
      </c>
      <c r="C66" s="159" t="s">
        <v>627</v>
      </c>
      <c r="D66" t="str">
        <f>VLOOKUP(A66,DataUsuario!B:D,2,FALSE)</f>
        <v>Industrial y de Mantenimiento</v>
      </c>
      <c r="E66" t="str">
        <f>VLOOKUP(A66,DataUsuario!B:D,3,FALSE)</f>
        <v>Producción</v>
      </c>
      <c r="F66" t="s">
        <v>74</v>
      </c>
    </row>
    <row r="67" spans="1:6" x14ac:dyDescent="0.3">
      <c r="A67" s="157" t="s">
        <v>271</v>
      </c>
      <c r="B67" t="s">
        <v>13</v>
      </c>
      <c r="C67" s="160">
        <v>4</v>
      </c>
      <c r="D67" t="str">
        <f>VLOOKUP(A67,DataUsuario!B:D,2,FALSE)</f>
        <v>Operaciones</v>
      </c>
      <c r="E67" t="str">
        <f>VLOOKUP(A67,DataUsuario!B:D,3,FALSE)</f>
        <v>Calidad</v>
      </c>
      <c r="F67" t="s">
        <v>70</v>
      </c>
    </row>
    <row r="68" spans="1:6" x14ac:dyDescent="0.3">
      <c r="A68" s="156" t="s">
        <v>156</v>
      </c>
      <c r="B68" t="s">
        <v>13</v>
      </c>
      <c r="C68" s="159" t="s">
        <v>627</v>
      </c>
      <c r="D68" t="str">
        <f>VLOOKUP(A68,DataUsuario!B:D,2,FALSE)</f>
        <v>Administración y Finanzas</v>
      </c>
      <c r="E68" t="str">
        <f>VLOOKUP(A68,DataUsuario!B:D,3,FALSE)</f>
        <v>Compras</v>
      </c>
      <c r="F68" t="s">
        <v>66</v>
      </c>
    </row>
    <row r="69" spans="1:6" x14ac:dyDescent="0.3">
      <c r="A69" s="157" t="s">
        <v>369</v>
      </c>
      <c r="B69" t="s">
        <v>13</v>
      </c>
      <c r="C69" s="160">
        <v>4</v>
      </c>
      <c r="D69" t="str">
        <f>VLOOKUP(A69,DataUsuario!B:D,2,FALSE)</f>
        <v>Agrícola</v>
      </c>
      <c r="E69" t="str">
        <f>VLOOKUP(A69,DataUsuario!B:D,3,FALSE)</f>
        <v>Sistema Integral de Gestión</v>
      </c>
      <c r="F69" t="s">
        <v>89</v>
      </c>
    </row>
    <row r="70" spans="1:6" x14ac:dyDescent="0.3">
      <c r="A70" s="156" t="s">
        <v>224</v>
      </c>
      <c r="B70" t="s">
        <v>13</v>
      </c>
      <c r="C70" s="159">
        <v>4</v>
      </c>
      <c r="D70" t="str">
        <f>VLOOKUP(A70,DataUsuario!B:D,2,FALSE)</f>
        <v>Agrícola</v>
      </c>
      <c r="E70" t="str">
        <f>VLOOKUP(A70,DataUsuario!B:D,3,FALSE)</f>
        <v>Laboratorio e Investigación Agricola</v>
      </c>
      <c r="F70" t="s">
        <v>89</v>
      </c>
    </row>
    <row r="71" spans="1:6" x14ac:dyDescent="0.3">
      <c r="A71" s="157" t="s">
        <v>618</v>
      </c>
      <c r="B71" t="s">
        <v>13</v>
      </c>
      <c r="C71" s="160">
        <v>5</v>
      </c>
      <c r="D71" t="str">
        <f>VLOOKUP(A71,DataUsuario!B:D,2,FALSE)</f>
        <v>Operaciones</v>
      </c>
      <c r="E71" t="str">
        <f>VLOOKUP(A71,DataUsuario!B:D,3,FALSE)</f>
        <v>Comercial</v>
      </c>
      <c r="F71" t="s">
        <v>70</v>
      </c>
    </row>
    <row r="72" spans="1:6" x14ac:dyDescent="0.3">
      <c r="A72" s="156" t="s">
        <v>397</v>
      </c>
      <c r="B72" t="s">
        <v>13</v>
      </c>
      <c r="C72" s="159">
        <v>5</v>
      </c>
      <c r="D72" t="str">
        <f>VLOOKUP(A72,DataUsuario!B:D,2,FALSE)</f>
        <v>Administración y Finanzas</v>
      </c>
      <c r="E72" t="str">
        <f>VLOOKUP(A72,DataUsuario!B:D,3,FALSE)</f>
        <v>Control de Gestión</v>
      </c>
      <c r="F72" t="s">
        <v>66</v>
      </c>
    </row>
    <row r="73" spans="1:6" x14ac:dyDescent="0.3">
      <c r="A73" s="157" t="s">
        <v>619</v>
      </c>
      <c r="B73" t="s">
        <v>13</v>
      </c>
      <c r="C73" s="160">
        <v>4</v>
      </c>
      <c r="D73" t="str">
        <f>VLOOKUP(A73,DataUsuario!B:D,2,FALSE)</f>
        <v>Gestión Humana y Sostenibilidad</v>
      </c>
      <c r="E73" t="str">
        <f>VLOOKUP(A73,DataUsuario!B:D,3,FALSE)</f>
        <v>Bienestar - Medico Ocupacional</v>
      </c>
      <c r="F73" t="s">
        <v>62</v>
      </c>
    </row>
    <row r="74" spans="1:6" x14ac:dyDescent="0.3">
      <c r="A74" s="156" t="s">
        <v>215</v>
      </c>
      <c r="B74" t="s">
        <v>13</v>
      </c>
      <c r="C74" s="159">
        <v>5</v>
      </c>
      <c r="D74" t="str">
        <f>VLOOKUP(A74,DataUsuario!B:D,2,FALSE)</f>
        <v>Gestión Humana y Sostenibilidad</v>
      </c>
      <c r="E74" t="str">
        <f>VLOOKUP(A74,DataUsuario!B:D,3,FALSE)</f>
        <v>Seguridad</v>
      </c>
      <c r="F74" t="s">
        <v>62</v>
      </c>
    </row>
    <row r="75" spans="1:6" x14ac:dyDescent="0.3">
      <c r="A75" s="157" t="s">
        <v>307</v>
      </c>
      <c r="B75" t="s">
        <v>13</v>
      </c>
      <c r="C75" s="160">
        <v>5</v>
      </c>
      <c r="D75" t="str">
        <f>VLOOKUP(A75,DataUsuario!B:D,2,FALSE)</f>
        <v>Gestión Humana y Sostenibilidad</v>
      </c>
      <c r="E75" t="str">
        <f>VLOOKUP(A75,DataUsuario!B:D,3,FALSE)</f>
        <v>Comunicaciones y Responsabilidad Social</v>
      </c>
      <c r="F75" t="s">
        <v>62</v>
      </c>
    </row>
    <row r="76" spans="1:6" x14ac:dyDescent="0.3">
      <c r="A76" s="156" t="s">
        <v>285</v>
      </c>
      <c r="B76" t="s">
        <v>13</v>
      </c>
      <c r="C76" s="159">
        <v>5</v>
      </c>
      <c r="D76" t="str">
        <f>VLOOKUP(A76,DataUsuario!B:D,2,FALSE)</f>
        <v>Operaciones</v>
      </c>
      <c r="E76" t="str">
        <f>VLOOKUP(A76,DataUsuario!B:D,3,FALSE)</f>
        <v>Comercial</v>
      </c>
      <c r="F76" t="s">
        <v>70</v>
      </c>
    </row>
    <row r="77" spans="1:6" x14ac:dyDescent="0.3">
      <c r="A77" s="157" t="s">
        <v>316</v>
      </c>
      <c r="B77" t="s">
        <v>13</v>
      </c>
      <c r="C77" s="160">
        <v>4</v>
      </c>
      <c r="D77" t="str">
        <f>VLOOKUP(A77,DataUsuario!B:D,2,FALSE)</f>
        <v>Administración y Finanzas</v>
      </c>
      <c r="E77" t="str">
        <f>VLOOKUP(A77,DataUsuario!B:D,3,FALSE)</f>
        <v>Compras</v>
      </c>
      <c r="F77" t="s">
        <v>66</v>
      </c>
    </row>
    <row r="78" spans="1:6" x14ac:dyDescent="0.3">
      <c r="A78" s="156" t="s">
        <v>372</v>
      </c>
      <c r="B78" t="s">
        <v>13</v>
      </c>
      <c r="C78" s="159">
        <v>5</v>
      </c>
      <c r="D78" t="str">
        <f>VLOOKUP(A78,DataUsuario!B:D,2,FALSE)</f>
        <v>Agrícola</v>
      </c>
      <c r="E78" t="str">
        <f>VLOOKUP(A78,DataUsuario!B:D,3,FALSE)</f>
        <v>Laboratorio e Investigación Agricola</v>
      </c>
      <c r="F78" t="s">
        <v>89</v>
      </c>
    </row>
    <row r="79" spans="1:6" x14ac:dyDescent="0.3">
      <c r="A79" s="157" t="s">
        <v>328</v>
      </c>
      <c r="B79" t="s">
        <v>13</v>
      </c>
      <c r="C79" s="160">
        <v>5</v>
      </c>
      <c r="D79" t="str">
        <f>VLOOKUP(A79,DataUsuario!B:D,2,FALSE)</f>
        <v>Administración y Finanzas</v>
      </c>
      <c r="E79" t="str">
        <f>VLOOKUP(A79,DataUsuario!B:D,3,FALSE)</f>
        <v>Administración</v>
      </c>
      <c r="F79" t="s">
        <v>66</v>
      </c>
    </row>
    <row r="80" spans="1:6" x14ac:dyDescent="0.3">
      <c r="A80" s="156" t="s">
        <v>376</v>
      </c>
      <c r="B80" t="s">
        <v>13</v>
      </c>
      <c r="C80" s="159">
        <v>5</v>
      </c>
      <c r="D80" t="str">
        <f>VLOOKUP(A80,DataUsuario!B:D,2,FALSE)</f>
        <v>Administración y Finanzas</v>
      </c>
      <c r="E80" t="str">
        <f>VLOOKUP(A80,DataUsuario!B:D,3,FALSE)</f>
        <v>Control de Gestión</v>
      </c>
      <c r="F80" t="s">
        <v>66</v>
      </c>
    </row>
    <row r="81" spans="1:6" x14ac:dyDescent="0.3">
      <c r="A81" s="157" t="s">
        <v>238</v>
      </c>
      <c r="B81" t="s">
        <v>13</v>
      </c>
      <c r="C81" s="160">
        <v>4</v>
      </c>
      <c r="D81" t="str">
        <f>VLOOKUP(A81,DataUsuario!B:D,2,FALSE)</f>
        <v>Industrial y de Mantenimiento</v>
      </c>
      <c r="E81" t="str">
        <f>VLOOKUP(A81,DataUsuario!B:D,3,FALSE)</f>
        <v>Producción</v>
      </c>
      <c r="F81" t="s">
        <v>74</v>
      </c>
    </row>
    <row r="82" spans="1:6" x14ac:dyDescent="0.3">
      <c r="A82" s="156" t="s">
        <v>623</v>
      </c>
      <c r="B82" t="s">
        <v>13</v>
      </c>
      <c r="C82" s="159" t="s">
        <v>627</v>
      </c>
      <c r="D82" t="str">
        <f>VLOOKUP(A82,DataUsuario!B:D,2,FALSE)</f>
        <v>Industrial y de Mantenimiento</v>
      </c>
      <c r="E82" t="str">
        <f>VLOOKUP(A82,DataUsuario!B:D,3,FALSE)</f>
        <v>Mantenimiento Industrial</v>
      </c>
      <c r="F82" t="s">
        <v>74</v>
      </c>
    </row>
    <row r="83" spans="1:6" x14ac:dyDescent="0.3">
      <c r="A83" s="157" t="s">
        <v>387</v>
      </c>
      <c r="B83" t="s">
        <v>13</v>
      </c>
      <c r="C83" s="160">
        <v>5</v>
      </c>
      <c r="D83" t="str">
        <f>VLOOKUP(A83,DataUsuario!B:D,2,FALSE)</f>
        <v>Administración y Finanzas</v>
      </c>
      <c r="E83" t="str">
        <f>VLOOKUP(A83,DataUsuario!B:D,3,FALSE)</f>
        <v>Contabilidad Tributaria</v>
      </c>
      <c r="F83" t="s">
        <v>66</v>
      </c>
    </row>
    <row r="84" spans="1:6" x14ac:dyDescent="0.3">
      <c r="A84" s="156" t="s">
        <v>413</v>
      </c>
      <c r="B84" t="s">
        <v>13</v>
      </c>
      <c r="C84" s="159">
        <v>5</v>
      </c>
      <c r="D84" t="str">
        <f>VLOOKUP(A84,DataUsuario!B:D,2,FALSE)</f>
        <v>Administración y Finanzas</v>
      </c>
      <c r="E84" t="str">
        <f>VLOOKUP(A84,DataUsuario!B:D,3,FALSE)</f>
        <v>Contabilidad Tributaria</v>
      </c>
      <c r="F84" t="s">
        <v>66</v>
      </c>
    </row>
    <row r="85" spans="1:6" x14ac:dyDescent="0.3">
      <c r="A85" s="157" t="s">
        <v>97</v>
      </c>
      <c r="B85" t="s">
        <v>13</v>
      </c>
      <c r="C85" s="160">
        <v>5</v>
      </c>
      <c r="D85" t="str">
        <f>VLOOKUP(A85,DataUsuario!B:D,2,FALSE)</f>
        <v>Gestión Humana y Sostenibilidad</v>
      </c>
      <c r="E85" t="str">
        <f>VLOOKUP(A85,DataUsuario!B:D,3,FALSE)</f>
        <v>Compensación y Nóminas</v>
      </c>
      <c r="F85" t="s">
        <v>62</v>
      </c>
    </row>
    <row r="86" spans="1:6" x14ac:dyDescent="0.3">
      <c r="A86" s="156" t="s">
        <v>352</v>
      </c>
      <c r="B86" t="s">
        <v>13</v>
      </c>
      <c r="C86" s="159">
        <v>5</v>
      </c>
      <c r="D86" t="str">
        <f>VLOOKUP(A86,DataUsuario!B:D,2,FALSE)</f>
        <v>Gestión Humana y Sostenibilidad</v>
      </c>
      <c r="E86" t="str">
        <f>VLOOKUP(A86,DataUsuario!B:D,3,FALSE)</f>
        <v>Compensación y Nóminas</v>
      </c>
      <c r="F86" t="s">
        <v>62</v>
      </c>
    </row>
    <row r="87" spans="1:6" x14ac:dyDescent="0.3">
      <c r="A87" s="157" t="s">
        <v>128</v>
      </c>
      <c r="B87" t="s">
        <v>13</v>
      </c>
      <c r="C87" s="160">
        <v>5</v>
      </c>
      <c r="D87" t="str">
        <f>VLOOKUP(A87,DataUsuario!B:D,2,FALSE)</f>
        <v>Agrícola</v>
      </c>
      <c r="E87" t="str">
        <f>VLOOKUP(A87,DataUsuario!B:D,3,FALSE)</f>
        <v>Fundo Lobo</v>
      </c>
      <c r="F87" t="s">
        <v>89</v>
      </c>
    </row>
    <row r="88" spans="1:6" x14ac:dyDescent="0.3">
      <c r="A88" s="156" t="s">
        <v>625</v>
      </c>
      <c r="B88" t="s">
        <v>13</v>
      </c>
      <c r="C88" s="159">
        <v>5</v>
      </c>
      <c r="D88" t="str">
        <f>VLOOKUP(A88,DataUsuario!B:D,2,FALSE)</f>
        <v>Administración y Finanzas</v>
      </c>
      <c r="E88" t="str">
        <f>VLOOKUP(A88,DataUsuario!B:D,3,FALSE)</f>
        <v>Finanzas y Tesorería</v>
      </c>
      <c r="F88" t="s">
        <v>66</v>
      </c>
    </row>
    <row r="89" spans="1:6" x14ac:dyDescent="0.3">
      <c r="A89" s="157" t="s">
        <v>303</v>
      </c>
      <c r="B89" t="s">
        <v>13</v>
      </c>
      <c r="C89" s="160">
        <v>4</v>
      </c>
      <c r="D89" t="str">
        <f>VLOOKUP(A89,DataUsuario!B:D,2,FALSE)</f>
        <v>Administración y Finanzas</v>
      </c>
      <c r="E89" t="str">
        <f>VLOOKUP(A89,DataUsuario!B:D,3,FALSE)</f>
        <v>Control de Gestión</v>
      </c>
      <c r="F89" t="s">
        <v>66</v>
      </c>
    </row>
    <row r="90" spans="1:6" x14ac:dyDescent="0.3">
      <c r="A90" s="156" t="s">
        <v>115</v>
      </c>
      <c r="B90" t="s">
        <v>13</v>
      </c>
      <c r="C90" s="159" t="s">
        <v>627</v>
      </c>
      <c r="D90" t="str">
        <f>VLOOKUP(A90,DataUsuario!B:D,2,FALSE)</f>
        <v>Industrial y de Mantenimiento</v>
      </c>
      <c r="E90" t="str">
        <f>VLOOKUP(A90,DataUsuario!B:D,3,FALSE)</f>
        <v>Mantenimiento de Transportes</v>
      </c>
      <c r="F90" t="s">
        <v>74</v>
      </c>
    </row>
    <row r="91" spans="1:6" x14ac:dyDescent="0.3">
      <c r="A91" s="158" t="s">
        <v>123</v>
      </c>
      <c r="B91" t="s">
        <v>13</v>
      </c>
      <c r="C91" s="161">
        <v>4</v>
      </c>
      <c r="D91" t="str">
        <f>VLOOKUP(A91,DataUsuario!B:D,2,FALSE)</f>
        <v>Administración y Finanzas</v>
      </c>
      <c r="E91" t="str">
        <f>VLOOKUP(A91,DataUsuario!B:D,3,FALSE)</f>
        <v>Gerencia Administración y Finanzas</v>
      </c>
      <c r="F91" t="s">
        <v>66</v>
      </c>
    </row>
    <row r="92" spans="1:6" x14ac:dyDescent="0.3">
      <c r="A92" s="156" t="s">
        <v>138</v>
      </c>
      <c r="B92" t="s">
        <v>14</v>
      </c>
      <c r="C92" s="159">
        <v>4</v>
      </c>
      <c r="D92" t="str">
        <f>VLOOKUP(A92,DataUsuario!B:D,2,FALSE)</f>
        <v>Gestión Humana y Sostenibilidad</v>
      </c>
      <c r="E92" t="str">
        <f>VLOOKUP(A92,DataUsuario!B:D,3,FALSE)</f>
        <v>Gestion del Talento</v>
      </c>
      <c r="F92" t="s">
        <v>62</v>
      </c>
    </row>
    <row r="93" spans="1:6" x14ac:dyDescent="0.3">
      <c r="A93" s="157" t="s">
        <v>207</v>
      </c>
      <c r="B93" t="s">
        <v>14</v>
      </c>
      <c r="C93" s="160">
        <v>5</v>
      </c>
      <c r="D93" t="str">
        <f>VLOOKUP(A93,DataUsuario!B:D,2,FALSE)</f>
        <v>Administración y Finanzas</v>
      </c>
      <c r="E93" t="str">
        <f>VLOOKUP(A93,DataUsuario!B:D,3,FALSE)</f>
        <v>Riesgos y Cumplimiento</v>
      </c>
      <c r="F93" t="s">
        <v>66</v>
      </c>
    </row>
    <row r="94" spans="1:6" x14ac:dyDescent="0.3">
      <c r="A94" s="156" t="s">
        <v>322</v>
      </c>
      <c r="B94" t="s">
        <v>14</v>
      </c>
      <c r="C94" s="159">
        <v>3</v>
      </c>
      <c r="D94" t="str">
        <f>VLOOKUP(A94,DataUsuario!B:D,2,FALSE)</f>
        <v>Administración y Finanzas</v>
      </c>
      <c r="E94" t="str">
        <f>VLOOKUP(A94,DataUsuario!B:D,3,FALSE)</f>
        <v>Finanzas y Tesorería</v>
      </c>
      <c r="F94" t="s">
        <v>66</v>
      </c>
    </row>
    <row r="95" spans="1:6" x14ac:dyDescent="0.3">
      <c r="A95" s="157" t="s">
        <v>133</v>
      </c>
      <c r="B95" t="s">
        <v>14</v>
      </c>
      <c r="C95" s="160">
        <v>5</v>
      </c>
      <c r="D95" t="str">
        <f>VLOOKUP(A95,DataUsuario!B:D,2,FALSE)</f>
        <v>Industrial y de Mantenimiento</v>
      </c>
      <c r="E95" t="str">
        <f>VLOOKUP(A95,DataUsuario!B:D,3,FALSE)</f>
        <v>Electricidad</v>
      </c>
      <c r="F95" t="s">
        <v>74</v>
      </c>
    </row>
    <row r="96" spans="1:6" x14ac:dyDescent="0.3">
      <c r="A96" s="156" t="s">
        <v>299</v>
      </c>
      <c r="B96" t="s">
        <v>14</v>
      </c>
      <c r="C96" s="159">
        <v>4</v>
      </c>
      <c r="D96" t="str">
        <f>VLOOKUP(A96,DataUsuario!B:D,2,FALSE)</f>
        <v>Administración y Finanzas</v>
      </c>
      <c r="E96" t="str">
        <f>VLOOKUP(A96,DataUsuario!B:D,3,FALSE)</f>
        <v>Legal</v>
      </c>
      <c r="F96" t="s">
        <v>66</v>
      </c>
    </row>
    <row r="97" spans="1:6" x14ac:dyDescent="0.3">
      <c r="A97" s="157" t="s">
        <v>421</v>
      </c>
      <c r="B97" t="s">
        <v>14</v>
      </c>
      <c r="C97" s="160">
        <v>4</v>
      </c>
      <c r="D97" t="str">
        <f>VLOOKUP(A97,DataUsuario!B:D,2,FALSE)</f>
        <v>Operaciones</v>
      </c>
      <c r="E97" t="str">
        <f>VLOOKUP(A97,DataUsuario!B:D,3,FALSE)</f>
        <v>Cosecha</v>
      </c>
      <c r="F97" t="s">
        <v>70</v>
      </c>
    </row>
    <row r="98" spans="1:6" x14ac:dyDescent="0.3">
      <c r="A98" s="156" t="s">
        <v>258</v>
      </c>
      <c r="B98" t="s">
        <v>14</v>
      </c>
      <c r="C98" s="159">
        <v>4</v>
      </c>
      <c r="D98" t="str">
        <f>VLOOKUP(A98,DataUsuario!B:D,2,FALSE)</f>
        <v>Operaciones</v>
      </c>
      <c r="E98" t="str">
        <f>VLOOKUP(A98,DataUsuario!B:D,3,FALSE)</f>
        <v>Calidad</v>
      </c>
      <c r="F98" t="s">
        <v>70</v>
      </c>
    </row>
    <row r="99" spans="1:6" x14ac:dyDescent="0.3">
      <c r="A99" s="157" t="s">
        <v>152</v>
      </c>
      <c r="B99" t="s">
        <v>14</v>
      </c>
      <c r="C99" s="160">
        <v>5</v>
      </c>
      <c r="D99" t="str">
        <f>VLOOKUP(A99,DataUsuario!B:D,2,FALSE)</f>
        <v>Operaciones</v>
      </c>
      <c r="E99" t="str">
        <f>VLOOKUP(A99,DataUsuario!B:D,3,FALSE)</f>
        <v>Almacenes y Distribución PT</v>
      </c>
      <c r="F99" t="s">
        <v>70</v>
      </c>
    </row>
    <row r="100" spans="1:6" x14ac:dyDescent="0.3">
      <c r="A100" s="156" t="s">
        <v>77</v>
      </c>
      <c r="B100" t="s">
        <v>14</v>
      </c>
      <c r="C100" s="159">
        <v>5</v>
      </c>
      <c r="D100" t="str">
        <f>VLOOKUP(A100,DataUsuario!B:D,2,FALSE)</f>
        <v>Operaciones</v>
      </c>
      <c r="E100" t="str">
        <f>VLOOKUP(A100,DataUsuario!B:D,3,FALSE)</f>
        <v>Comercial No Giro</v>
      </c>
      <c r="F100" t="s">
        <v>70</v>
      </c>
    </row>
    <row r="101" spans="1:6" x14ac:dyDescent="0.3">
      <c r="A101" s="157" t="s">
        <v>435</v>
      </c>
      <c r="B101" t="s">
        <v>14</v>
      </c>
      <c r="C101" s="160">
        <v>4</v>
      </c>
      <c r="D101" t="str">
        <f>VLOOKUP(A101,DataUsuario!B:D,2,FALSE)</f>
        <v>Operaciones</v>
      </c>
      <c r="E101" t="str">
        <f>VLOOKUP(A101,DataUsuario!B:D,3,FALSE)</f>
        <v>Almacenes y Distribución PT</v>
      </c>
      <c r="F101" t="s">
        <v>70</v>
      </c>
    </row>
    <row r="102" spans="1:6" x14ac:dyDescent="0.3">
      <c r="A102" s="156" t="s">
        <v>405</v>
      </c>
      <c r="B102" t="s">
        <v>14</v>
      </c>
      <c r="C102" s="159">
        <v>5</v>
      </c>
      <c r="D102" t="str">
        <f>VLOOKUP(A102,DataUsuario!B:D,2,FALSE)</f>
        <v>Administración y Finanzas</v>
      </c>
      <c r="E102" t="str">
        <f>VLOOKUP(A102,DataUsuario!B:D,3,FALSE)</f>
        <v>Finanzas y Tesorería</v>
      </c>
      <c r="F102" t="s">
        <v>66</v>
      </c>
    </row>
    <row r="103" spans="1:6" x14ac:dyDescent="0.3">
      <c r="A103" s="157" t="s">
        <v>593</v>
      </c>
      <c r="B103" t="s">
        <v>14</v>
      </c>
      <c r="C103" s="160" t="s">
        <v>627</v>
      </c>
      <c r="D103" t="str">
        <f>VLOOKUP(A103,DataUsuario!B:D,2,FALSE)</f>
        <v>Administración y Finanzas</v>
      </c>
      <c r="E103" t="str">
        <f>VLOOKUP(A103,DataUsuario!B:D,3,FALSE)</f>
        <v>Compras</v>
      </c>
      <c r="F103" t="s">
        <v>66</v>
      </c>
    </row>
    <row r="104" spans="1:6" x14ac:dyDescent="0.3">
      <c r="A104" s="156" t="s">
        <v>341</v>
      </c>
      <c r="B104" t="s">
        <v>14</v>
      </c>
      <c r="C104" s="159">
        <v>5</v>
      </c>
      <c r="D104" t="str">
        <f>VLOOKUP(A104,DataUsuario!B:D,2,FALSE)</f>
        <v>Administración y Finanzas</v>
      </c>
      <c r="E104" t="str">
        <f>VLOOKUP(A104,DataUsuario!B:D,3,FALSE)</f>
        <v>Contabilidad Tributaria</v>
      </c>
      <c r="F104" t="s">
        <v>66</v>
      </c>
    </row>
    <row r="105" spans="1:6" x14ac:dyDescent="0.3">
      <c r="A105" s="157" t="s">
        <v>289</v>
      </c>
      <c r="B105" t="s">
        <v>14</v>
      </c>
      <c r="C105" s="160">
        <v>4</v>
      </c>
      <c r="D105" t="str">
        <f>VLOOKUP(A105,DataUsuario!B:D,2,FALSE)</f>
        <v>Agrícola</v>
      </c>
      <c r="E105" t="str">
        <f>VLOOKUP(A105,DataUsuario!B:D,3,FALSE)</f>
        <v>Mantenimiento de Riego y Bombas</v>
      </c>
      <c r="F105" t="s">
        <v>89</v>
      </c>
    </row>
    <row r="106" spans="1:6" x14ac:dyDescent="0.3">
      <c r="A106" s="156" t="s">
        <v>359</v>
      </c>
      <c r="B106" t="s">
        <v>14</v>
      </c>
      <c r="C106" s="159">
        <v>4</v>
      </c>
      <c r="D106" t="str">
        <f>VLOOKUP(A106,DataUsuario!B:D,2,FALSE)</f>
        <v>Operaciones</v>
      </c>
      <c r="E106" t="str">
        <f>VLOOKUP(A106,DataUsuario!B:D,3,FALSE)</f>
        <v>Gerencia de Operaciones</v>
      </c>
      <c r="F106" t="s">
        <v>70</v>
      </c>
    </row>
    <row r="107" spans="1:6" x14ac:dyDescent="0.3">
      <c r="A107" s="157" t="s">
        <v>145</v>
      </c>
      <c r="B107" t="s">
        <v>14</v>
      </c>
      <c r="C107" s="160" t="s">
        <v>627</v>
      </c>
      <c r="D107" t="str">
        <f>VLOOKUP(A107,DataUsuario!B:D,2,FALSE)</f>
        <v>Administración y Finanzas</v>
      </c>
      <c r="E107" t="str">
        <f>VLOOKUP(A107,DataUsuario!B:D,3,FALSE)</f>
        <v>Legal</v>
      </c>
      <c r="F107" t="s">
        <v>66</v>
      </c>
    </row>
    <row r="108" spans="1:6" x14ac:dyDescent="0.3">
      <c r="A108" s="156" t="s">
        <v>596</v>
      </c>
      <c r="B108" t="s">
        <v>14</v>
      </c>
      <c r="C108" s="159">
        <v>4</v>
      </c>
      <c r="D108" t="str">
        <f>VLOOKUP(A108,DataUsuario!B:D,2,FALSE)</f>
        <v>Gestión Humana y Sostenibilidad</v>
      </c>
      <c r="E108" t="str">
        <f>VLOOKUP(A108,DataUsuario!B:D,3,FALSE)</f>
        <v>Seguridad</v>
      </c>
      <c r="F108" t="s">
        <v>62</v>
      </c>
    </row>
    <row r="109" spans="1:6" x14ac:dyDescent="0.3">
      <c r="A109" s="157" t="s">
        <v>82</v>
      </c>
      <c r="B109" t="s">
        <v>14</v>
      </c>
      <c r="C109" s="160">
        <v>4</v>
      </c>
      <c r="D109" t="str">
        <f>VLOOKUP(A109,DataUsuario!B:D,2,FALSE)</f>
        <v>Industrial y de Mantenimiento</v>
      </c>
      <c r="E109" t="str">
        <f>VLOOKUP(A109,DataUsuario!B:D,3,FALSE)</f>
        <v>Producción</v>
      </c>
      <c r="F109" t="s">
        <v>74</v>
      </c>
    </row>
    <row r="110" spans="1:6" x14ac:dyDescent="0.3">
      <c r="A110" s="156" t="s">
        <v>326</v>
      </c>
      <c r="B110" t="s">
        <v>14</v>
      </c>
      <c r="C110" s="159">
        <v>3</v>
      </c>
      <c r="D110" t="str">
        <f>VLOOKUP(A110,DataUsuario!B:D,2,FALSE)</f>
        <v>Operaciones</v>
      </c>
      <c r="E110" t="str">
        <f>VLOOKUP(A110,DataUsuario!B:D,3,FALSE)</f>
        <v>Calidad</v>
      </c>
      <c r="F110" t="s">
        <v>70</v>
      </c>
    </row>
    <row r="111" spans="1:6" x14ac:dyDescent="0.3">
      <c r="A111" s="157" t="s">
        <v>318</v>
      </c>
      <c r="B111" t="s">
        <v>14</v>
      </c>
      <c r="C111" s="160" t="s">
        <v>627</v>
      </c>
      <c r="D111" t="str">
        <f>VLOOKUP(A111,DataUsuario!B:D,2,FALSE)</f>
        <v>Operaciones</v>
      </c>
      <c r="E111" t="str">
        <f>VLOOKUP(A111,DataUsuario!B:D,3,FALSE)</f>
        <v>Cosecha</v>
      </c>
      <c r="F111" t="s">
        <v>70</v>
      </c>
    </row>
    <row r="112" spans="1:6" x14ac:dyDescent="0.3">
      <c r="A112" s="156" t="s">
        <v>391</v>
      </c>
      <c r="B112" t="s">
        <v>14</v>
      </c>
      <c r="C112" s="159">
        <v>5</v>
      </c>
      <c r="D112" t="str">
        <f>VLOOKUP(A112,DataUsuario!B:D,2,FALSE)</f>
        <v>Administración y Finanzas</v>
      </c>
      <c r="E112" t="str">
        <f>VLOOKUP(A112,DataUsuario!B:D,3,FALSE)</f>
        <v>Finanzas y Tesorería</v>
      </c>
      <c r="F112" t="s">
        <v>66</v>
      </c>
    </row>
    <row r="113" spans="1:6" x14ac:dyDescent="0.3">
      <c r="A113" s="157" t="s">
        <v>279</v>
      </c>
      <c r="B113" t="s">
        <v>14</v>
      </c>
      <c r="C113" s="160" t="s">
        <v>627</v>
      </c>
      <c r="D113" t="str">
        <f>VLOOKUP(A113,DataUsuario!B:D,2,FALSE)</f>
        <v>Operaciones</v>
      </c>
      <c r="E113" t="str">
        <f>VLOOKUP(A113,DataUsuario!B:D,3,FALSE)</f>
        <v>Transporte</v>
      </c>
      <c r="F113" t="s">
        <v>70</v>
      </c>
    </row>
    <row r="114" spans="1:6" x14ac:dyDescent="0.3">
      <c r="A114" s="156" t="s">
        <v>431</v>
      </c>
      <c r="B114" t="s">
        <v>14</v>
      </c>
      <c r="C114" s="159" t="s">
        <v>627</v>
      </c>
      <c r="D114" t="str">
        <f>VLOOKUP(A114,DataUsuario!B:D,2,FALSE)</f>
        <v>Agrícola</v>
      </c>
      <c r="E114" t="str">
        <f>VLOOKUP(A114,DataUsuario!B:D,3,FALSE)</f>
        <v>Fundo San Vicente</v>
      </c>
      <c r="F114" t="s">
        <v>89</v>
      </c>
    </row>
    <row r="115" spans="1:6" x14ac:dyDescent="0.3">
      <c r="A115" s="157" t="s">
        <v>176</v>
      </c>
      <c r="B115" t="s">
        <v>14</v>
      </c>
      <c r="C115" s="160">
        <v>5</v>
      </c>
      <c r="D115" t="str">
        <f>VLOOKUP(A115,DataUsuario!B:D,2,FALSE)</f>
        <v>Administración y Finanzas</v>
      </c>
      <c r="E115" t="str">
        <f>VLOOKUP(A115,DataUsuario!B:D,3,FALSE)</f>
        <v>Cadenas Productivas</v>
      </c>
      <c r="F115" t="s">
        <v>66</v>
      </c>
    </row>
    <row r="116" spans="1:6" x14ac:dyDescent="0.3">
      <c r="A116" s="156" t="s">
        <v>221</v>
      </c>
      <c r="B116" t="s">
        <v>14</v>
      </c>
      <c r="C116" s="159">
        <v>5</v>
      </c>
      <c r="D116" t="str">
        <f>VLOOKUP(A116,DataUsuario!B:D,2,FALSE)</f>
        <v>Administración y Finanzas</v>
      </c>
      <c r="E116" t="str">
        <f>VLOOKUP(A116,DataUsuario!B:D,3,FALSE)</f>
        <v>Sistemas y TI</v>
      </c>
      <c r="F116" t="s">
        <v>66</v>
      </c>
    </row>
    <row r="117" spans="1:6" x14ac:dyDescent="0.3">
      <c r="A117" s="157" t="s">
        <v>249</v>
      </c>
      <c r="B117" t="s">
        <v>14</v>
      </c>
      <c r="C117" s="160">
        <v>5</v>
      </c>
      <c r="D117" t="str">
        <f>VLOOKUP(A117,DataUsuario!B:D,2,FALSE)</f>
        <v>Administración y Finanzas</v>
      </c>
      <c r="E117" t="str">
        <f>VLOOKUP(A117,DataUsuario!B:D,3,FALSE)</f>
        <v>Compras</v>
      </c>
      <c r="F117" t="s">
        <v>66</v>
      </c>
    </row>
    <row r="118" spans="1:6" x14ac:dyDescent="0.3">
      <c r="A118" s="156" t="s">
        <v>600</v>
      </c>
      <c r="B118" t="s">
        <v>14</v>
      </c>
      <c r="C118" s="159">
        <v>4</v>
      </c>
      <c r="D118" t="str">
        <f>VLOOKUP(A118,DataUsuario!B:D,2,FALSE)</f>
        <v>Administración y Finanzas</v>
      </c>
      <c r="E118" t="str">
        <f>VLOOKUP(A118,DataUsuario!B:D,3,FALSE)</f>
        <v>Sistemas y TI</v>
      </c>
      <c r="F118" t="s">
        <v>66</v>
      </c>
    </row>
    <row r="119" spans="1:6" x14ac:dyDescent="0.3">
      <c r="A119" s="157" t="s">
        <v>519</v>
      </c>
      <c r="B119" t="s">
        <v>14</v>
      </c>
      <c r="C119" s="160">
        <v>5</v>
      </c>
      <c r="D119" t="str">
        <f>VLOOKUP(A119,DataUsuario!B:D,2,FALSE)</f>
        <v>Administración y Finanzas</v>
      </c>
      <c r="E119" t="str">
        <f>VLOOKUP(A119,DataUsuario!B:D,3,FALSE)</f>
        <v>Contabilidad Tributaria</v>
      </c>
      <c r="F119" t="s">
        <v>66</v>
      </c>
    </row>
    <row r="120" spans="1:6" x14ac:dyDescent="0.3">
      <c r="A120" s="156" t="s">
        <v>439</v>
      </c>
      <c r="B120" t="s">
        <v>14</v>
      </c>
      <c r="C120" s="159">
        <v>5</v>
      </c>
      <c r="D120" t="str">
        <f>VLOOKUP(A120,DataUsuario!B:D,2,FALSE)</f>
        <v>Operaciones</v>
      </c>
      <c r="E120" t="str">
        <f>VLOOKUP(A120,DataUsuario!B:D,3,FALSE)</f>
        <v>Comercial</v>
      </c>
      <c r="F120" t="s">
        <v>70</v>
      </c>
    </row>
    <row r="121" spans="1:6" x14ac:dyDescent="0.3">
      <c r="A121" s="157" t="s">
        <v>320</v>
      </c>
      <c r="B121" t="s">
        <v>14</v>
      </c>
      <c r="C121" s="160">
        <v>4</v>
      </c>
      <c r="D121" t="str">
        <f>VLOOKUP(A121,DataUsuario!B:D,2,FALSE)</f>
        <v>Gestión Humana y Sostenibilidad</v>
      </c>
      <c r="E121" t="str">
        <f>VLOOKUP(A121,DataUsuario!B:D,3,FALSE)</f>
        <v>Sostenibilidad</v>
      </c>
      <c r="F121" t="s">
        <v>62</v>
      </c>
    </row>
    <row r="122" spans="1:6" x14ac:dyDescent="0.3">
      <c r="A122" s="156" t="s">
        <v>80</v>
      </c>
      <c r="B122" t="s">
        <v>14</v>
      </c>
      <c r="C122" s="159">
        <v>4</v>
      </c>
      <c r="D122" t="str">
        <f>VLOOKUP(A122,DataUsuario!B:D,2,FALSE)</f>
        <v>Administración y Finanzas</v>
      </c>
      <c r="E122" t="str">
        <f>VLOOKUP(A122,DataUsuario!B:D,3,FALSE)</f>
        <v>Compras</v>
      </c>
      <c r="F122" t="s">
        <v>66</v>
      </c>
    </row>
    <row r="123" spans="1:6" x14ac:dyDescent="0.3">
      <c r="A123" s="157" t="s">
        <v>301</v>
      </c>
      <c r="B123" t="s">
        <v>14</v>
      </c>
      <c r="C123" s="160">
        <v>5</v>
      </c>
      <c r="D123" t="str">
        <f>VLOOKUP(A123,DataUsuario!B:D,2,FALSE)</f>
        <v>Administración y Finanzas</v>
      </c>
      <c r="E123" t="str">
        <f>VLOOKUP(A123,DataUsuario!B:D,3,FALSE)</f>
        <v>Contabilidad Tributaria</v>
      </c>
      <c r="F123" t="s">
        <v>66</v>
      </c>
    </row>
    <row r="124" spans="1:6" x14ac:dyDescent="0.3">
      <c r="A124" s="156" t="s">
        <v>343</v>
      </c>
      <c r="B124" t="s">
        <v>14</v>
      </c>
      <c r="C124" s="159">
        <v>5</v>
      </c>
      <c r="D124" t="str">
        <f>VLOOKUP(A124,DataUsuario!B:D,2,FALSE)</f>
        <v>Operaciones</v>
      </c>
      <c r="E124" t="str">
        <f>VLOOKUP(A124,DataUsuario!B:D,3,FALSE)</f>
        <v>Comercial No Giro</v>
      </c>
      <c r="F124" t="s">
        <v>70</v>
      </c>
    </row>
    <row r="125" spans="1:6" x14ac:dyDescent="0.3">
      <c r="A125" s="157" t="s">
        <v>236</v>
      </c>
      <c r="B125" t="s">
        <v>14</v>
      </c>
      <c r="C125" s="160">
        <v>4</v>
      </c>
      <c r="D125" t="str">
        <f>VLOOKUP(A125,DataUsuario!B:D,2,FALSE)</f>
        <v>Administración y Finanzas</v>
      </c>
      <c r="E125" t="str">
        <f>VLOOKUP(A125,DataUsuario!B:D,3,FALSE)</f>
        <v>Sistemas y TI</v>
      </c>
      <c r="F125" t="s">
        <v>66</v>
      </c>
    </row>
    <row r="126" spans="1:6" x14ac:dyDescent="0.3">
      <c r="A126" s="156" t="s">
        <v>205</v>
      </c>
      <c r="B126" t="s">
        <v>14</v>
      </c>
      <c r="C126" s="159">
        <v>4</v>
      </c>
      <c r="D126" t="str">
        <f>VLOOKUP(A126,DataUsuario!B:D,2,FALSE)</f>
        <v>Operaciones</v>
      </c>
      <c r="E126" t="str">
        <f>VLOOKUP(A126,DataUsuario!B:D,3,FALSE)</f>
        <v>Almacenes y Distribución PT</v>
      </c>
      <c r="F126" t="s">
        <v>70</v>
      </c>
    </row>
    <row r="127" spans="1:6" x14ac:dyDescent="0.3">
      <c r="A127" s="157" t="s">
        <v>136</v>
      </c>
      <c r="B127" t="s">
        <v>14</v>
      </c>
      <c r="C127" s="160">
        <v>4</v>
      </c>
      <c r="D127" t="str">
        <f>VLOOKUP(A127,DataUsuario!B:D,2,FALSE)</f>
        <v>Operaciones</v>
      </c>
      <c r="E127" t="str">
        <f>VLOOKUP(A127,DataUsuario!B:D,3,FALSE)</f>
        <v>Comercial</v>
      </c>
      <c r="F127" t="s">
        <v>70</v>
      </c>
    </row>
    <row r="128" spans="1:6" x14ac:dyDescent="0.3">
      <c r="A128" s="156" t="s">
        <v>602</v>
      </c>
      <c r="B128" t="s">
        <v>14</v>
      </c>
      <c r="C128" s="159">
        <v>5</v>
      </c>
      <c r="D128" t="str">
        <f>VLOOKUP(A128,DataUsuario!B:D,2,FALSE)</f>
        <v>Administración y Finanzas</v>
      </c>
      <c r="E128" t="str">
        <f>VLOOKUP(A128,DataUsuario!B:D,3,FALSE)</f>
        <v>Sistemas y TI</v>
      </c>
      <c r="F128" t="s">
        <v>66</v>
      </c>
    </row>
    <row r="129" spans="1:6" x14ac:dyDescent="0.3">
      <c r="A129" s="157" t="s">
        <v>181</v>
      </c>
      <c r="B129" t="s">
        <v>14</v>
      </c>
      <c r="C129" s="160">
        <v>4</v>
      </c>
      <c r="D129" t="str">
        <f>VLOOKUP(A129,DataUsuario!B:D,2,FALSE)</f>
        <v>Gestión Humana y Sostenibilidad</v>
      </c>
      <c r="E129" t="str">
        <f>VLOOKUP(A129,DataUsuario!B:D,3,FALSE)</f>
        <v>Compensación y Nóminas</v>
      </c>
      <c r="F129" t="s">
        <v>62</v>
      </c>
    </row>
    <row r="130" spans="1:6" x14ac:dyDescent="0.3">
      <c r="A130" s="156" t="s">
        <v>275</v>
      </c>
      <c r="B130" t="s">
        <v>14</v>
      </c>
      <c r="C130" s="159" t="s">
        <v>627</v>
      </c>
      <c r="D130" t="str">
        <f>VLOOKUP(A130,DataUsuario!B:D,2,FALSE)</f>
        <v>Administración y Finanzas</v>
      </c>
      <c r="E130" t="str">
        <f>VLOOKUP(A130,DataUsuario!B:D,3,FALSE)</f>
        <v>Compras</v>
      </c>
      <c r="F130" t="s">
        <v>66</v>
      </c>
    </row>
    <row r="131" spans="1:6" x14ac:dyDescent="0.3">
      <c r="A131" s="157" t="s">
        <v>61</v>
      </c>
      <c r="B131" t="s">
        <v>14</v>
      </c>
      <c r="C131" s="160">
        <v>4</v>
      </c>
      <c r="D131" t="str">
        <f>VLOOKUP(A131,DataUsuario!B:D,2,FALSE)</f>
        <v>Gestión Humana y Sostenibilidad</v>
      </c>
      <c r="E131" t="str">
        <f>VLOOKUP(A131,DataUsuario!B:D,3,FALSE)</f>
        <v>Compensación y Nóminas</v>
      </c>
      <c r="F131" t="s">
        <v>62</v>
      </c>
    </row>
    <row r="132" spans="1:6" x14ac:dyDescent="0.3">
      <c r="A132" s="156" t="s">
        <v>374</v>
      </c>
      <c r="B132" t="s">
        <v>14</v>
      </c>
      <c r="C132" s="159">
        <v>4</v>
      </c>
      <c r="D132" t="str">
        <f>VLOOKUP(A132,DataUsuario!B:D,2,FALSE)</f>
        <v>Agrícola</v>
      </c>
      <c r="E132" t="str">
        <f>VLOOKUP(A132,DataUsuario!B:D,3,FALSE)</f>
        <v>Mantenimiento de Riego y Bombas</v>
      </c>
      <c r="F132" t="s">
        <v>89</v>
      </c>
    </row>
    <row r="133" spans="1:6" x14ac:dyDescent="0.3">
      <c r="A133" s="157" t="s">
        <v>605</v>
      </c>
      <c r="B133" t="s">
        <v>14</v>
      </c>
      <c r="C133" s="160" t="s">
        <v>627</v>
      </c>
      <c r="D133" t="str">
        <f>VLOOKUP(A133,DataUsuario!B:D,2,FALSE)</f>
        <v>Administración y Finanzas</v>
      </c>
      <c r="E133" t="str">
        <f>VLOOKUP(A133,DataUsuario!B:D,3,FALSE)</f>
        <v>Control de Gestión</v>
      </c>
      <c r="F133" t="s">
        <v>66</v>
      </c>
    </row>
    <row r="134" spans="1:6" x14ac:dyDescent="0.3">
      <c r="A134" s="156" t="s">
        <v>92</v>
      </c>
      <c r="B134" t="s">
        <v>14</v>
      </c>
      <c r="C134" s="159" t="s">
        <v>627</v>
      </c>
      <c r="D134" t="str">
        <f>VLOOKUP(A134,DataUsuario!B:D,2,FALSE)</f>
        <v>Administración y Finanzas</v>
      </c>
      <c r="E134" t="str">
        <f>VLOOKUP(A134,DataUsuario!B:D,3,FALSE)</f>
        <v>Control de Gestión</v>
      </c>
      <c r="F134" t="s">
        <v>66</v>
      </c>
    </row>
    <row r="135" spans="1:6" x14ac:dyDescent="0.3">
      <c r="A135" s="157" t="s">
        <v>217</v>
      </c>
      <c r="B135" t="s">
        <v>14</v>
      </c>
      <c r="C135" s="160">
        <v>4</v>
      </c>
      <c r="D135" t="str">
        <f>VLOOKUP(A135,DataUsuario!B:D,2,FALSE)</f>
        <v>Agrícola</v>
      </c>
      <c r="E135" t="str">
        <f>VLOOKUP(A135,DataUsuario!B:D,3,FALSE)</f>
        <v>Mantenimiento de Riego y Bombas</v>
      </c>
      <c r="F135" t="s">
        <v>89</v>
      </c>
    </row>
    <row r="136" spans="1:6" x14ac:dyDescent="0.3">
      <c r="A136" s="156" t="s">
        <v>606</v>
      </c>
      <c r="B136" t="s">
        <v>14</v>
      </c>
      <c r="C136" s="159">
        <v>5</v>
      </c>
      <c r="D136" t="str">
        <f>VLOOKUP(A136,DataUsuario!B:D,2,FALSE)</f>
        <v>Administración y Finanzas</v>
      </c>
      <c r="E136" t="str">
        <f>VLOOKUP(A136,DataUsuario!B:D,3,FALSE)</f>
        <v>Sistemas y TI</v>
      </c>
      <c r="F136" t="s">
        <v>66</v>
      </c>
    </row>
    <row r="137" spans="1:6" x14ac:dyDescent="0.3">
      <c r="A137" s="157" t="s">
        <v>210</v>
      </c>
      <c r="B137" t="s">
        <v>14</v>
      </c>
      <c r="C137" s="160">
        <v>4</v>
      </c>
      <c r="D137" t="str">
        <f>VLOOKUP(A137,DataUsuario!B:D,2,FALSE)</f>
        <v>Industrial y de Mantenimiento</v>
      </c>
      <c r="E137" t="str">
        <f>VLOOKUP(A137,DataUsuario!B:D,3,FALSE)</f>
        <v>Planta y Srv Industriales</v>
      </c>
      <c r="F137" t="s">
        <v>74</v>
      </c>
    </row>
    <row r="138" spans="1:6" x14ac:dyDescent="0.3">
      <c r="A138" s="156" t="s">
        <v>254</v>
      </c>
      <c r="B138" t="s">
        <v>14</v>
      </c>
      <c r="C138" s="159">
        <v>4</v>
      </c>
      <c r="D138" t="str">
        <f>VLOOKUP(A138,DataUsuario!B:D,2,FALSE)</f>
        <v>Administración y Finanzas</v>
      </c>
      <c r="E138" t="str">
        <f>VLOOKUP(A138,DataUsuario!B:D,3,FALSE)</f>
        <v>Administración</v>
      </c>
      <c r="F138" t="s">
        <v>66</v>
      </c>
    </row>
    <row r="139" spans="1:6" x14ac:dyDescent="0.3">
      <c r="A139" s="157" t="s">
        <v>403</v>
      </c>
      <c r="B139" t="s">
        <v>14</v>
      </c>
      <c r="C139" s="160">
        <v>4</v>
      </c>
      <c r="D139" t="str">
        <f>VLOOKUP(A139,DataUsuario!B:D,2,FALSE)</f>
        <v>Administración y Finanzas</v>
      </c>
      <c r="E139" t="str">
        <f>VLOOKUP(A139,DataUsuario!B:D,3,FALSE)</f>
        <v>Control de Gestión</v>
      </c>
      <c r="F139" t="s">
        <v>66</v>
      </c>
    </row>
    <row r="140" spans="1:6" x14ac:dyDescent="0.3">
      <c r="A140" s="156" t="s">
        <v>170</v>
      </c>
      <c r="B140" t="s">
        <v>14</v>
      </c>
      <c r="C140" s="159">
        <v>5</v>
      </c>
      <c r="D140" t="str">
        <f>VLOOKUP(A140,DataUsuario!B:D,2,FALSE)</f>
        <v>Operaciones</v>
      </c>
      <c r="E140" t="str">
        <f>VLOOKUP(A140,DataUsuario!B:D,3,FALSE)</f>
        <v>Mantenimiento CAT</v>
      </c>
      <c r="F140" t="s">
        <v>70</v>
      </c>
    </row>
    <row r="141" spans="1:6" x14ac:dyDescent="0.3">
      <c r="A141" s="157" t="s">
        <v>88</v>
      </c>
      <c r="B141" t="s">
        <v>14</v>
      </c>
      <c r="C141" s="160">
        <v>5</v>
      </c>
      <c r="D141" t="str">
        <f>VLOOKUP(A141,DataUsuario!B:D,2,FALSE)</f>
        <v>Agrícola</v>
      </c>
      <c r="E141" t="str">
        <f>VLOOKUP(A141,DataUsuario!B:D,3,FALSE)</f>
        <v>Fundo Lobo</v>
      </c>
      <c r="F141" t="s">
        <v>89</v>
      </c>
    </row>
    <row r="142" spans="1:6" x14ac:dyDescent="0.3">
      <c r="A142" s="156" t="s">
        <v>242</v>
      </c>
      <c r="B142" t="s">
        <v>14</v>
      </c>
      <c r="C142" s="159">
        <v>4</v>
      </c>
      <c r="D142" t="str">
        <f>VLOOKUP(A142,DataUsuario!B:D,2,FALSE)</f>
        <v>Agrícola</v>
      </c>
      <c r="E142" t="str">
        <f>VLOOKUP(A142,DataUsuario!B:D,3,FALSE)</f>
        <v>Fundo Montelima</v>
      </c>
      <c r="F142" t="s">
        <v>89</v>
      </c>
    </row>
    <row r="143" spans="1:6" x14ac:dyDescent="0.3">
      <c r="A143" s="157" t="s">
        <v>65</v>
      </c>
      <c r="B143" t="s">
        <v>14</v>
      </c>
      <c r="C143" s="160">
        <v>5</v>
      </c>
      <c r="D143" t="str">
        <f>VLOOKUP(A143,DataUsuario!B:D,2,FALSE)</f>
        <v>Administración y Finanzas</v>
      </c>
      <c r="E143" t="str">
        <f>VLOOKUP(A143,DataUsuario!B:D,3,FALSE)</f>
        <v>Finanzas y Tesorería</v>
      </c>
      <c r="F143" t="s">
        <v>66</v>
      </c>
    </row>
    <row r="144" spans="1:6" x14ac:dyDescent="0.3">
      <c r="A144" s="156" t="s">
        <v>609</v>
      </c>
      <c r="B144" t="s">
        <v>14</v>
      </c>
      <c r="C144" s="159" t="s">
        <v>627</v>
      </c>
      <c r="D144" t="str">
        <f>VLOOKUP(A144,DataUsuario!B:D,2,FALSE)</f>
        <v>Administración y Finanzas</v>
      </c>
      <c r="E144" t="str">
        <f>VLOOKUP(A144,DataUsuario!B:D,3,FALSE)</f>
        <v>Compras</v>
      </c>
      <c r="F144" t="s">
        <v>66</v>
      </c>
    </row>
    <row r="145" spans="1:6" x14ac:dyDescent="0.3">
      <c r="A145" s="157" t="s">
        <v>85</v>
      </c>
      <c r="B145" t="s">
        <v>14</v>
      </c>
      <c r="C145" s="160">
        <v>5</v>
      </c>
      <c r="D145" t="str">
        <f>VLOOKUP(A145,DataUsuario!B:D,2,FALSE)</f>
        <v>Operaciones</v>
      </c>
      <c r="E145" t="str">
        <f>VLOOKUP(A145,DataUsuario!B:D,3,FALSE)</f>
        <v>Comercial</v>
      </c>
      <c r="F145" t="s">
        <v>70</v>
      </c>
    </row>
    <row r="146" spans="1:6" x14ac:dyDescent="0.3">
      <c r="A146" s="156" t="s">
        <v>256</v>
      </c>
      <c r="B146" t="s">
        <v>14</v>
      </c>
      <c r="C146" s="159">
        <v>4</v>
      </c>
      <c r="D146" t="str">
        <f>VLOOKUP(A146,DataUsuario!B:D,2,FALSE)</f>
        <v>Agrícola</v>
      </c>
      <c r="E146" t="str">
        <f>VLOOKUP(A146,DataUsuario!B:D,3,FALSE)</f>
        <v>Fundo Montelima</v>
      </c>
      <c r="F146" t="s">
        <v>89</v>
      </c>
    </row>
    <row r="147" spans="1:6" x14ac:dyDescent="0.3">
      <c r="A147" s="157" t="s">
        <v>611</v>
      </c>
      <c r="B147" t="s">
        <v>14</v>
      </c>
      <c r="C147" s="160">
        <v>4</v>
      </c>
      <c r="D147" t="str">
        <f>VLOOKUP(A147,DataUsuario!B:D,2,FALSE)</f>
        <v>Operaciones</v>
      </c>
      <c r="E147" t="str">
        <f>VLOOKUP(A147,DataUsuario!B:D,3,FALSE)</f>
        <v>Almacenes y Distribución PT</v>
      </c>
      <c r="F147" t="s">
        <v>70</v>
      </c>
    </row>
    <row r="148" spans="1:6" x14ac:dyDescent="0.3">
      <c r="A148" s="156" t="s">
        <v>267</v>
      </c>
      <c r="B148" t="s">
        <v>14</v>
      </c>
      <c r="C148" s="159">
        <v>5</v>
      </c>
      <c r="D148" t="str">
        <f>VLOOKUP(A148,DataUsuario!B:D,2,FALSE)</f>
        <v>Gestión Humana y Sostenibilidad</v>
      </c>
      <c r="E148" t="str">
        <f>VLOOKUP(A148,DataUsuario!B:D,3,FALSE)</f>
        <v>Sostenibilidad</v>
      </c>
      <c r="F148" t="s">
        <v>62</v>
      </c>
    </row>
    <row r="149" spans="1:6" x14ac:dyDescent="0.3">
      <c r="A149" s="157" t="s">
        <v>614</v>
      </c>
      <c r="B149" t="s">
        <v>14</v>
      </c>
      <c r="C149" s="160">
        <v>4</v>
      </c>
      <c r="D149" t="str">
        <f>VLOOKUP(A149,DataUsuario!B:D,2,FALSE)</f>
        <v>Operaciones</v>
      </c>
      <c r="E149" t="str">
        <f>VLOOKUP(A149,DataUsuario!B:D,3,FALSE)</f>
        <v>Transporte</v>
      </c>
      <c r="F149" t="s">
        <v>70</v>
      </c>
    </row>
    <row r="150" spans="1:6" x14ac:dyDescent="0.3">
      <c r="A150" s="156" t="s">
        <v>415</v>
      </c>
      <c r="B150" t="s">
        <v>14</v>
      </c>
      <c r="C150" s="159" t="s">
        <v>627</v>
      </c>
      <c r="D150" t="str">
        <f>VLOOKUP(A150,DataUsuario!B:D,2,FALSE)</f>
        <v>Administración y Finanzas</v>
      </c>
      <c r="E150" t="str">
        <f>VLOOKUP(A150,DataUsuario!B:D,3,FALSE)</f>
        <v>Administración</v>
      </c>
      <c r="F150" t="s">
        <v>66</v>
      </c>
    </row>
    <row r="151" spans="1:6" x14ac:dyDescent="0.3">
      <c r="A151" s="157" t="s">
        <v>200</v>
      </c>
      <c r="B151" t="s">
        <v>14</v>
      </c>
      <c r="C151" s="160">
        <v>4</v>
      </c>
      <c r="D151" t="str">
        <f>VLOOKUP(A151,DataUsuario!B:D,2,FALSE)</f>
        <v>Industrial y de Mantenimiento</v>
      </c>
      <c r="E151" t="str">
        <f>VLOOKUP(A151,DataUsuario!B:D,3,FALSE)</f>
        <v>Electricidad</v>
      </c>
      <c r="F151" t="s">
        <v>74</v>
      </c>
    </row>
    <row r="152" spans="1:6" x14ac:dyDescent="0.3">
      <c r="A152" s="156" t="s">
        <v>198</v>
      </c>
      <c r="B152" t="s">
        <v>14</v>
      </c>
      <c r="C152" s="159">
        <v>5</v>
      </c>
      <c r="D152" t="str">
        <f>VLOOKUP(A152,DataUsuario!B:D,2,FALSE)</f>
        <v>Agrícola</v>
      </c>
      <c r="E152" t="str">
        <f>VLOOKUP(A152,DataUsuario!B:D,3,FALSE)</f>
        <v>Fundo Lobo</v>
      </c>
      <c r="F152" t="s">
        <v>89</v>
      </c>
    </row>
    <row r="153" spans="1:6" x14ac:dyDescent="0.3">
      <c r="A153" s="157" t="s">
        <v>350</v>
      </c>
      <c r="B153" t="s">
        <v>14</v>
      </c>
      <c r="C153" s="160">
        <v>5</v>
      </c>
      <c r="D153" t="str">
        <f>VLOOKUP(A153,DataUsuario!B:D,2,FALSE)</f>
        <v>Agrícola</v>
      </c>
      <c r="E153" t="str">
        <f>VLOOKUP(A153,DataUsuario!B:D,3,FALSE)</f>
        <v>Planificador Agrícola</v>
      </c>
      <c r="F153" t="s">
        <v>89</v>
      </c>
    </row>
    <row r="154" spans="1:6" x14ac:dyDescent="0.3">
      <c r="A154" s="156" t="s">
        <v>345</v>
      </c>
      <c r="B154" t="s">
        <v>14</v>
      </c>
      <c r="C154" s="159">
        <v>4</v>
      </c>
      <c r="D154" t="str">
        <f>VLOOKUP(A154,DataUsuario!B:D,2,FALSE)</f>
        <v>Agrícola</v>
      </c>
      <c r="E154" t="str">
        <f>VLOOKUP(A154,DataUsuario!B:D,3,FALSE)</f>
        <v>Mantenimiento de Riego y Bombas</v>
      </c>
      <c r="F154" t="s">
        <v>89</v>
      </c>
    </row>
    <row r="155" spans="1:6" x14ac:dyDescent="0.3">
      <c r="A155" s="157" t="s">
        <v>314</v>
      </c>
      <c r="B155" t="s">
        <v>14</v>
      </c>
      <c r="C155" s="160">
        <v>4</v>
      </c>
      <c r="D155" t="str">
        <f>VLOOKUP(A155,DataUsuario!B:D,2,FALSE)</f>
        <v>Industrial y de Mantenimiento</v>
      </c>
      <c r="E155" t="str">
        <f>VLOOKUP(A155,DataUsuario!B:D,3,FALSE)</f>
        <v>Mantenimiento Industrial</v>
      </c>
      <c r="F155" t="s">
        <v>74</v>
      </c>
    </row>
    <row r="156" spans="1:6" x14ac:dyDescent="0.3">
      <c r="A156" s="156" t="s">
        <v>150</v>
      </c>
      <c r="B156" t="s">
        <v>14</v>
      </c>
      <c r="C156" s="159">
        <v>4</v>
      </c>
      <c r="D156" t="str">
        <f>VLOOKUP(A156,DataUsuario!B:D,2,FALSE)</f>
        <v>Industrial y de Mantenimiento</v>
      </c>
      <c r="E156" t="str">
        <f>VLOOKUP(A156,DataUsuario!B:D,3,FALSE)</f>
        <v>Producción</v>
      </c>
      <c r="F156" t="s">
        <v>74</v>
      </c>
    </row>
    <row r="157" spans="1:6" x14ac:dyDescent="0.3">
      <c r="A157" s="157" t="s">
        <v>271</v>
      </c>
      <c r="B157" t="s">
        <v>14</v>
      </c>
      <c r="C157" s="160">
        <v>4</v>
      </c>
      <c r="D157" t="str">
        <f>VLOOKUP(A157,DataUsuario!B:D,2,FALSE)</f>
        <v>Operaciones</v>
      </c>
      <c r="E157" t="str">
        <f>VLOOKUP(A157,DataUsuario!B:D,3,FALSE)</f>
        <v>Calidad</v>
      </c>
      <c r="F157" t="s">
        <v>70</v>
      </c>
    </row>
    <row r="158" spans="1:6" x14ac:dyDescent="0.3">
      <c r="A158" s="156" t="s">
        <v>156</v>
      </c>
      <c r="B158" t="s">
        <v>14</v>
      </c>
      <c r="C158" s="159" t="s">
        <v>627</v>
      </c>
      <c r="D158" t="str">
        <f>VLOOKUP(A158,DataUsuario!B:D,2,FALSE)</f>
        <v>Administración y Finanzas</v>
      </c>
      <c r="E158" t="str">
        <f>VLOOKUP(A158,DataUsuario!B:D,3,FALSE)</f>
        <v>Compras</v>
      </c>
      <c r="F158" t="s">
        <v>66</v>
      </c>
    </row>
    <row r="159" spans="1:6" x14ac:dyDescent="0.3">
      <c r="A159" s="157" t="s">
        <v>369</v>
      </c>
      <c r="B159" t="s">
        <v>14</v>
      </c>
      <c r="C159" s="160" t="s">
        <v>627</v>
      </c>
      <c r="D159" t="str">
        <f>VLOOKUP(A159,DataUsuario!B:D,2,FALSE)</f>
        <v>Agrícola</v>
      </c>
      <c r="E159" t="str">
        <f>VLOOKUP(A159,DataUsuario!B:D,3,FALSE)</f>
        <v>Sistema Integral de Gestión</v>
      </c>
      <c r="F159" t="s">
        <v>89</v>
      </c>
    </row>
    <row r="160" spans="1:6" x14ac:dyDescent="0.3">
      <c r="A160" s="156" t="s">
        <v>224</v>
      </c>
      <c r="B160" t="s">
        <v>14</v>
      </c>
      <c r="C160" s="159">
        <v>5</v>
      </c>
      <c r="D160" t="str">
        <f>VLOOKUP(A160,DataUsuario!B:D,2,FALSE)</f>
        <v>Agrícola</v>
      </c>
      <c r="E160" t="str">
        <f>VLOOKUP(A160,DataUsuario!B:D,3,FALSE)</f>
        <v>Laboratorio e Investigación Agricola</v>
      </c>
      <c r="F160" t="s">
        <v>89</v>
      </c>
    </row>
    <row r="161" spans="1:6" x14ac:dyDescent="0.3">
      <c r="A161" s="157" t="s">
        <v>618</v>
      </c>
      <c r="B161" t="s">
        <v>14</v>
      </c>
      <c r="C161" s="160">
        <v>5</v>
      </c>
      <c r="D161" t="str">
        <f>VLOOKUP(A161,DataUsuario!B:D,2,FALSE)</f>
        <v>Operaciones</v>
      </c>
      <c r="E161" t="str">
        <f>VLOOKUP(A161,DataUsuario!B:D,3,FALSE)</f>
        <v>Comercial</v>
      </c>
      <c r="F161" t="s">
        <v>70</v>
      </c>
    </row>
    <row r="162" spans="1:6" x14ac:dyDescent="0.3">
      <c r="A162" s="156" t="s">
        <v>397</v>
      </c>
      <c r="B162" t="s">
        <v>14</v>
      </c>
      <c r="C162" s="159">
        <v>4</v>
      </c>
      <c r="D162" t="str">
        <f>VLOOKUP(A162,DataUsuario!B:D,2,FALSE)</f>
        <v>Administración y Finanzas</v>
      </c>
      <c r="E162" t="str">
        <f>VLOOKUP(A162,DataUsuario!B:D,3,FALSE)</f>
        <v>Control de Gestión</v>
      </c>
      <c r="F162" t="s">
        <v>66</v>
      </c>
    </row>
    <row r="163" spans="1:6" x14ac:dyDescent="0.3">
      <c r="A163" s="157" t="s">
        <v>619</v>
      </c>
      <c r="B163" t="s">
        <v>14</v>
      </c>
      <c r="C163" s="160">
        <v>4</v>
      </c>
      <c r="D163" t="str">
        <f>VLOOKUP(A163,DataUsuario!B:D,2,FALSE)</f>
        <v>Gestión Humana y Sostenibilidad</v>
      </c>
      <c r="E163" t="str">
        <f>VLOOKUP(A163,DataUsuario!B:D,3,FALSE)</f>
        <v>Bienestar - Medico Ocupacional</v>
      </c>
      <c r="F163" t="s">
        <v>62</v>
      </c>
    </row>
    <row r="164" spans="1:6" x14ac:dyDescent="0.3">
      <c r="A164" s="156" t="s">
        <v>215</v>
      </c>
      <c r="B164" t="s">
        <v>14</v>
      </c>
      <c r="C164" s="159">
        <v>5</v>
      </c>
      <c r="D164" t="str">
        <f>VLOOKUP(A164,DataUsuario!B:D,2,FALSE)</f>
        <v>Gestión Humana y Sostenibilidad</v>
      </c>
      <c r="E164" t="str">
        <f>VLOOKUP(A164,DataUsuario!B:D,3,FALSE)</f>
        <v>Seguridad</v>
      </c>
      <c r="F164" t="s">
        <v>62</v>
      </c>
    </row>
    <row r="165" spans="1:6" x14ac:dyDescent="0.3">
      <c r="A165" s="157" t="s">
        <v>307</v>
      </c>
      <c r="B165" t="s">
        <v>14</v>
      </c>
      <c r="C165" s="160" t="s">
        <v>627</v>
      </c>
      <c r="D165" t="str">
        <f>VLOOKUP(A165,DataUsuario!B:D,2,FALSE)</f>
        <v>Gestión Humana y Sostenibilidad</v>
      </c>
      <c r="E165" t="str">
        <f>VLOOKUP(A165,DataUsuario!B:D,3,FALSE)</f>
        <v>Comunicaciones y Responsabilidad Social</v>
      </c>
      <c r="F165" t="s">
        <v>62</v>
      </c>
    </row>
    <row r="166" spans="1:6" x14ac:dyDescent="0.3">
      <c r="A166" s="156" t="s">
        <v>285</v>
      </c>
      <c r="B166" t="s">
        <v>14</v>
      </c>
      <c r="C166" s="159">
        <v>4</v>
      </c>
      <c r="D166" t="str">
        <f>VLOOKUP(A166,DataUsuario!B:D,2,FALSE)</f>
        <v>Operaciones</v>
      </c>
      <c r="E166" t="str">
        <f>VLOOKUP(A166,DataUsuario!B:D,3,FALSE)</f>
        <v>Comercial</v>
      </c>
      <c r="F166" t="s">
        <v>70</v>
      </c>
    </row>
    <row r="167" spans="1:6" x14ac:dyDescent="0.3">
      <c r="A167" s="157" t="s">
        <v>316</v>
      </c>
      <c r="B167" t="s">
        <v>14</v>
      </c>
      <c r="C167" s="160" t="s">
        <v>627</v>
      </c>
      <c r="D167" t="str">
        <f>VLOOKUP(A167,DataUsuario!B:D,2,FALSE)</f>
        <v>Administración y Finanzas</v>
      </c>
      <c r="E167" t="str">
        <f>VLOOKUP(A167,DataUsuario!B:D,3,FALSE)</f>
        <v>Compras</v>
      </c>
      <c r="F167" t="s">
        <v>66</v>
      </c>
    </row>
    <row r="168" spans="1:6" x14ac:dyDescent="0.3">
      <c r="A168" s="156" t="s">
        <v>372</v>
      </c>
      <c r="B168" t="s">
        <v>14</v>
      </c>
      <c r="C168" s="159" t="s">
        <v>627</v>
      </c>
      <c r="D168" t="str">
        <f>VLOOKUP(A168,DataUsuario!B:D,2,FALSE)</f>
        <v>Agrícola</v>
      </c>
      <c r="E168" t="str">
        <f>VLOOKUP(A168,DataUsuario!B:D,3,FALSE)</f>
        <v>Laboratorio e Investigación Agricola</v>
      </c>
      <c r="F168" t="s">
        <v>89</v>
      </c>
    </row>
    <row r="169" spans="1:6" x14ac:dyDescent="0.3">
      <c r="A169" s="157" t="s">
        <v>328</v>
      </c>
      <c r="B169" t="s">
        <v>14</v>
      </c>
      <c r="C169" s="160">
        <v>5</v>
      </c>
      <c r="D169" t="str">
        <f>VLOOKUP(A169,DataUsuario!B:D,2,FALSE)</f>
        <v>Administración y Finanzas</v>
      </c>
      <c r="E169" t="str">
        <f>VLOOKUP(A169,DataUsuario!B:D,3,FALSE)</f>
        <v>Administración</v>
      </c>
      <c r="F169" t="s">
        <v>66</v>
      </c>
    </row>
    <row r="170" spans="1:6" x14ac:dyDescent="0.3">
      <c r="A170" s="156" t="s">
        <v>376</v>
      </c>
      <c r="B170" t="s">
        <v>14</v>
      </c>
      <c r="C170" s="159">
        <v>5</v>
      </c>
      <c r="D170" t="str">
        <f>VLOOKUP(A170,DataUsuario!B:D,2,FALSE)</f>
        <v>Administración y Finanzas</v>
      </c>
      <c r="E170" t="str">
        <f>VLOOKUP(A170,DataUsuario!B:D,3,FALSE)</f>
        <v>Control de Gestión</v>
      </c>
      <c r="F170" t="s">
        <v>66</v>
      </c>
    </row>
    <row r="171" spans="1:6" x14ac:dyDescent="0.3">
      <c r="A171" s="157" t="s">
        <v>238</v>
      </c>
      <c r="B171" t="s">
        <v>14</v>
      </c>
      <c r="C171" s="160" t="s">
        <v>627</v>
      </c>
      <c r="D171" t="str">
        <f>VLOOKUP(A171,DataUsuario!B:D,2,FALSE)</f>
        <v>Industrial y de Mantenimiento</v>
      </c>
      <c r="E171" t="str">
        <f>VLOOKUP(A171,DataUsuario!B:D,3,FALSE)</f>
        <v>Producción</v>
      </c>
      <c r="F171" t="s">
        <v>74</v>
      </c>
    </row>
    <row r="172" spans="1:6" x14ac:dyDescent="0.3">
      <c r="A172" s="156" t="s">
        <v>623</v>
      </c>
      <c r="B172" t="s">
        <v>14</v>
      </c>
      <c r="C172" s="159" t="s">
        <v>627</v>
      </c>
      <c r="D172" t="str">
        <f>VLOOKUP(A172,DataUsuario!B:D,2,FALSE)</f>
        <v>Industrial y de Mantenimiento</v>
      </c>
      <c r="E172" t="str">
        <f>VLOOKUP(A172,DataUsuario!B:D,3,FALSE)</f>
        <v>Mantenimiento Industrial</v>
      </c>
      <c r="F172" t="s">
        <v>74</v>
      </c>
    </row>
    <row r="173" spans="1:6" x14ac:dyDescent="0.3">
      <c r="A173" s="157" t="s">
        <v>387</v>
      </c>
      <c r="B173" t="s">
        <v>14</v>
      </c>
      <c r="C173" s="160">
        <v>5</v>
      </c>
      <c r="D173" t="str">
        <f>VLOOKUP(A173,DataUsuario!B:D,2,FALSE)</f>
        <v>Administración y Finanzas</v>
      </c>
      <c r="E173" t="str">
        <f>VLOOKUP(A173,DataUsuario!B:D,3,FALSE)</f>
        <v>Contabilidad Tributaria</v>
      </c>
      <c r="F173" t="s">
        <v>66</v>
      </c>
    </row>
    <row r="174" spans="1:6" x14ac:dyDescent="0.3">
      <c r="A174" s="156" t="s">
        <v>413</v>
      </c>
      <c r="B174" t="s">
        <v>14</v>
      </c>
      <c r="C174" s="159">
        <v>5</v>
      </c>
      <c r="D174" t="str">
        <f>VLOOKUP(A174,DataUsuario!B:D,2,FALSE)</f>
        <v>Administración y Finanzas</v>
      </c>
      <c r="E174" t="str">
        <f>VLOOKUP(A174,DataUsuario!B:D,3,FALSE)</f>
        <v>Contabilidad Tributaria</v>
      </c>
      <c r="F174" t="s">
        <v>66</v>
      </c>
    </row>
    <row r="175" spans="1:6" x14ac:dyDescent="0.3">
      <c r="A175" s="157" t="s">
        <v>97</v>
      </c>
      <c r="B175" t="s">
        <v>14</v>
      </c>
      <c r="C175" s="160">
        <v>5</v>
      </c>
      <c r="D175" t="str">
        <f>VLOOKUP(A175,DataUsuario!B:D,2,FALSE)</f>
        <v>Gestión Humana y Sostenibilidad</v>
      </c>
      <c r="E175" t="str">
        <f>VLOOKUP(A175,DataUsuario!B:D,3,FALSE)</f>
        <v>Compensación y Nóminas</v>
      </c>
      <c r="F175" t="s">
        <v>62</v>
      </c>
    </row>
    <row r="176" spans="1:6" x14ac:dyDescent="0.3">
      <c r="A176" s="156" t="s">
        <v>352</v>
      </c>
      <c r="B176" t="s">
        <v>14</v>
      </c>
      <c r="C176" s="159">
        <v>5</v>
      </c>
      <c r="D176" t="str">
        <f>VLOOKUP(A176,DataUsuario!B:D,2,FALSE)</f>
        <v>Gestión Humana y Sostenibilidad</v>
      </c>
      <c r="E176" t="str">
        <f>VLOOKUP(A176,DataUsuario!B:D,3,FALSE)</f>
        <v>Compensación y Nóminas</v>
      </c>
      <c r="F176" t="s">
        <v>62</v>
      </c>
    </row>
    <row r="177" spans="1:6" x14ac:dyDescent="0.3">
      <c r="A177" s="157" t="s">
        <v>128</v>
      </c>
      <c r="B177" t="s">
        <v>14</v>
      </c>
      <c r="C177" s="160">
        <v>5</v>
      </c>
      <c r="D177" t="str">
        <f>VLOOKUP(A177,DataUsuario!B:D,2,FALSE)</f>
        <v>Agrícola</v>
      </c>
      <c r="E177" t="str">
        <f>VLOOKUP(A177,DataUsuario!B:D,3,FALSE)</f>
        <v>Fundo Lobo</v>
      </c>
      <c r="F177" t="s">
        <v>89</v>
      </c>
    </row>
    <row r="178" spans="1:6" x14ac:dyDescent="0.3">
      <c r="A178" s="156" t="s">
        <v>625</v>
      </c>
      <c r="B178" t="s">
        <v>14</v>
      </c>
      <c r="C178" s="159">
        <v>5</v>
      </c>
      <c r="D178" t="str">
        <f>VLOOKUP(A178,DataUsuario!B:D,2,FALSE)</f>
        <v>Administración y Finanzas</v>
      </c>
      <c r="E178" t="str">
        <f>VLOOKUP(A178,DataUsuario!B:D,3,FALSE)</f>
        <v>Finanzas y Tesorería</v>
      </c>
      <c r="F178" t="s">
        <v>66</v>
      </c>
    </row>
    <row r="179" spans="1:6" x14ac:dyDescent="0.3">
      <c r="A179" s="157" t="s">
        <v>303</v>
      </c>
      <c r="B179" t="s">
        <v>14</v>
      </c>
      <c r="C179" s="160">
        <v>4</v>
      </c>
      <c r="D179" t="str">
        <f>VLOOKUP(A179,DataUsuario!B:D,2,FALSE)</f>
        <v>Administración y Finanzas</v>
      </c>
      <c r="E179" t="str">
        <f>VLOOKUP(A179,DataUsuario!B:D,3,FALSE)</f>
        <v>Control de Gestión</v>
      </c>
      <c r="F179" t="s">
        <v>66</v>
      </c>
    </row>
    <row r="180" spans="1:6" x14ac:dyDescent="0.3">
      <c r="A180" s="156" t="s">
        <v>115</v>
      </c>
      <c r="B180" t="s">
        <v>14</v>
      </c>
      <c r="C180" s="159">
        <v>4</v>
      </c>
      <c r="D180" t="str">
        <f>VLOOKUP(A180,DataUsuario!B:D,2,FALSE)</f>
        <v>Industrial y de Mantenimiento</v>
      </c>
      <c r="E180" t="str">
        <f>VLOOKUP(A180,DataUsuario!B:D,3,FALSE)</f>
        <v>Mantenimiento de Transportes</v>
      </c>
      <c r="F180" t="s">
        <v>74</v>
      </c>
    </row>
    <row r="181" spans="1:6" x14ac:dyDescent="0.3">
      <c r="A181" s="158" t="s">
        <v>123</v>
      </c>
      <c r="B181" t="s">
        <v>14</v>
      </c>
      <c r="C181" s="161">
        <v>3</v>
      </c>
      <c r="D181" t="str">
        <f>VLOOKUP(A181,DataUsuario!B:D,2,FALSE)</f>
        <v>Administración y Finanzas</v>
      </c>
      <c r="E181" t="str">
        <f>VLOOKUP(A181,DataUsuario!B:D,3,FALSE)</f>
        <v>Gerencia Administración y Finanzas</v>
      </c>
      <c r="F181" t="s">
        <v>66</v>
      </c>
    </row>
    <row r="182" spans="1:6" x14ac:dyDescent="0.3">
      <c r="A182" s="156" t="s">
        <v>138</v>
      </c>
      <c r="B182" t="s">
        <v>15</v>
      </c>
      <c r="C182" s="159">
        <v>4</v>
      </c>
      <c r="D182" t="str">
        <f>VLOOKUP(A182,DataUsuario!B:D,2,FALSE)</f>
        <v>Gestión Humana y Sostenibilidad</v>
      </c>
      <c r="E182" t="str">
        <f>VLOOKUP(A182,DataUsuario!B:D,3,FALSE)</f>
        <v>Gestion del Talento</v>
      </c>
      <c r="F182" t="s">
        <v>62</v>
      </c>
    </row>
    <row r="183" spans="1:6" x14ac:dyDescent="0.3">
      <c r="A183" s="157" t="s">
        <v>207</v>
      </c>
      <c r="B183" t="s">
        <v>15</v>
      </c>
      <c r="C183" s="160">
        <v>5</v>
      </c>
      <c r="D183" t="str">
        <f>VLOOKUP(A183,DataUsuario!B:D,2,FALSE)</f>
        <v>Administración y Finanzas</v>
      </c>
      <c r="E183" t="str">
        <f>VLOOKUP(A183,DataUsuario!B:D,3,FALSE)</f>
        <v>Riesgos y Cumplimiento</v>
      </c>
      <c r="F183" t="s">
        <v>66</v>
      </c>
    </row>
    <row r="184" spans="1:6" x14ac:dyDescent="0.3">
      <c r="A184" s="156" t="s">
        <v>322</v>
      </c>
      <c r="B184" t="s">
        <v>15</v>
      </c>
      <c r="C184" s="159">
        <v>3</v>
      </c>
      <c r="D184" t="str">
        <f>VLOOKUP(A184,DataUsuario!B:D,2,FALSE)</f>
        <v>Administración y Finanzas</v>
      </c>
      <c r="E184" t="str">
        <f>VLOOKUP(A184,DataUsuario!B:D,3,FALSE)</f>
        <v>Finanzas y Tesorería</v>
      </c>
      <c r="F184" t="s">
        <v>66</v>
      </c>
    </row>
    <row r="185" spans="1:6" x14ac:dyDescent="0.3">
      <c r="A185" s="157" t="s">
        <v>133</v>
      </c>
      <c r="B185" t="s">
        <v>15</v>
      </c>
      <c r="C185" s="160">
        <v>4</v>
      </c>
      <c r="D185" t="str">
        <f>VLOOKUP(A185,DataUsuario!B:D,2,FALSE)</f>
        <v>Industrial y de Mantenimiento</v>
      </c>
      <c r="E185" t="str">
        <f>VLOOKUP(A185,DataUsuario!B:D,3,FALSE)</f>
        <v>Electricidad</v>
      </c>
      <c r="F185" t="s">
        <v>74</v>
      </c>
    </row>
    <row r="186" spans="1:6" x14ac:dyDescent="0.3">
      <c r="A186" s="156" t="s">
        <v>299</v>
      </c>
      <c r="B186" t="s">
        <v>15</v>
      </c>
      <c r="C186" s="159">
        <v>4</v>
      </c>
      <c r="D186" t="str">
        <f>VLOOKUP(A186,DataUsuario!B:D,2,FALSE)</f>
        <v>Administración y Finanzas</v>
      </c>
      <c r="E186" t="str">
        <f>VLOOKUP(A186,DataUsuario!B:D,3,FALSE)</f>
        <v>Legal</v>
      </c>
      <c r="F186" t="s">
        <v>66</v>
      </c>
    </row>
    <row r="187" spans="1:6" x14ac:dyDescent="0.3">
      <c r="A187" s="157" t="s">
        <v>421</v>
      </c>
      <c r="B187" t="s">
        <v>15</v>
      </c>
      <c r="C187" s="160">
        <v>4</v>
      </c>
      <c r="D187" t="str">
        <f>VLOOKUP(A187,DataUsuario!B:D,2,FALSE)</f>
        <v>Operaciones</v>
      </c>
      <c r="E187" t="str">
        <f>VLOOKUP(A187,DataUsuario!B:D,3,FALSE)</f>
        <v>Cosecha</v>
      </c>
      <c r="F187" t="s">
        <v>70</v>
      </c>
    </row>
    <row r="188" spans="1:6" x14ac:dyDescent="0.3">
      <c r="A188" s="156" t="s">
        <v>258</v>
      </c>
      <c r="B188" t="s">
        <v>15</v>
      </c>
      <c r="C188" s="159">
        <v>4</v>
      </c>
      <c r="D188" t="str">
        <f>VLOOKUP(A188,DataUsuario!B:D,2,FALSE)</f>
        <v>Operaciones</v>
      </c>
      <c r="E188" t="str">
        <f>VLOOKUP(A188,DataUsuario!B:D,3,FALSE)</f>
        <v>Calidad</v>
      </c>
      <c r="F188" t="s">
        <v>70</v>
      </c>
    </row>
    <row r="189" spans="1:6" x14ac:dyDescent="0.3">
      <c r="A189" s="157" t="s">
        <v>152</v>
      </c>
      <c r="B189" t="s">
        <v>15</v>
      </c>
      <c r="C189" s="160">
        <v>5</v>
      </c>
      <c r="D189" t="str">
        <f>VLOOKUP(A189,DataUsuario!B:D,2,FALSE)</f>
        <v>Operaciones</v>
      </c>
      <c r="E189" t="str">
        <f>VLOOKUP(A189,DataUsuario!B:D,3,FALSE)</f>
        <v>Almacenes y Distribución PT</v>
      </c>
      <c r="F189" t="s">
        <v>70</v>
      </c>
    </row>
    <row r="190" spans="1:6" x14ac:dyDescent="0.3">
      <c r="A190" s="156" t="s">
        <v>77</v>
      </c>
      <c r="B190" t="s">
        <v>15</v>
      </c>
      <c r="C190" s="159">
        <v>5</v>
      </c>
      <c r="D190" t="str">
        <f>VLOOKUP(A190,DataUsuario!B:D,2,FALSE)</f>
        <v>Operaciones</v>
      </c>
      <c r="E190" t="str">
        <f>VLOOKUP(A190,DataUsuario!B:D,3,FALSE)</f>
        <v>Comercial No Giro</v>
      </c>
      <c r="F190" t="s">
        <v>70</v>
      </c>
    </row>
    <row r="191" spans="1:6" x14ac:dyDescent="0.3">
      <c r="A191" s="157" t="s">
        <v>435</v>
      </c>
      <c r="B191" t="s">
        <v>15</v>
      </c>
      <c r="C191" s="160">
        <v>5</v>
      </c>
      <c r="D191" t="str">
        <f>VLOOKUP(A191,DataUsuario!B:D,2,FALSE)</f>
        <v>Operaciones</v>
      </c>
      <c r="E191" t="str">
        <f>VLOOKUP(A191,DataUsuario!B:D,3,FALSE)</f>
        <v>Almacenes y Distribución PT</v>
      </c>
      <c r="F191" t="s">
        <v>70</v>
      </c>
    </row>
    <row r="192" spans="1:6" x14ac:dyDescent="0.3">
      <c r="A192" s="156" t="s">
        <v>405</v>
      </c>
      <c r="B192" t="s">
        <v>15</v>
      </c>
      <c r="C192" s="159">
        <v>5</v>
      </c>
      <c r="D192" t="str">
        <f>VLOOKUP(A192,DataUsuario!B:D,2,FALSE)</f>
        <v>Administración y Finanzas</v>
      </c>
      <c r="E192" t="str">
        <f>VLOOKUP(A192,DataUsuario!B:D,3,FALSE)</f>
        <v>Finanzas y Tesorería</v>
      </c>
      <c r="F192" t="s">
        <v>66</v>
      </c>
    </row>
    <row r="193" spans="1:6" x14ac:dyDescent="0.3">
      <c r="A193" s="157" t="s">
        <v>593</v>
      </c>
      <c r="B193" t="s">
        <v>15</v>
      </c>
      <c r="C193" s="160" t="s">
        <v>627</v>
      </c>
      <c r="D193" t="str">
        <f>VLOOKUP(A193,DataUsuario!B:D,2,FALSE)</f>
        <v>Administración y Finanzas</v>
      </c>
      <c r="E193" t="str">
        <f>VLOOKUP(A193,DataUsuario!B:D,3,FALSE)</f>
        <v>Compras</v>
      </c>
      <c r="F193" t="s">
        <v>66</v>
      </c>
    </row>
    <row r="194" spans="1:6" x14ac:dyDescent="0.3">
      <c r="A194" s="156" t="s">
        <v>341</v>
      </c>
      <c r="B194" t="s">
        <v>15</v>
      </c>
      <c r="C194" s="159">
        <v>5</v>
      </c>
      <c r="D194" t="str">
        <f>VLOOKUP(A194,DataUsuario!B:D,2,FALSE)</f>
        <v>Administración y Finanzas</v>
      </c>
      <c r="E194" t="str">
        <f>VLOOKUP(A194,DataUsuario!B:D,3,FALSE)</f>
        <v>Contabilidad Tributaria</v>
      </c>
      <c r="F194" t="s">
        <v>66</v>
      </c>
    </row>
    <row r="195" spans="1:6" x14ac:dyDescent="0.3">
      <c r="A195" s="157" t="s">
        <v>289</v>
      </c>
      <c r="B195" t="s">
        <v>15</v>
      </c>
      <c r="C195" s="160">
        <v>4</v>
      </c>
      <c r="D195" t="str">
        <f>VLOOKUP(A195,DataUsuario!B:D,2,FALSE)</f>
        <v>Agrícola</v>
      </c>
      <c r="E195" t="str">
        <f>VLOOKUP(A195,DataUsuario!B:D,3,FALSE)</f>
        <v>Mantenimiento de Riego y Bombas</v>
      </c>
      <c r="F195" t="s">
        <v>89</v>
      </c>
    </row>
    <row r="196" spans="1:6" x14ac:dyDescent="0.3">
      <c r="A196" s="156" t="s">
        <v>359</v>
      </c>
      <c r="B196" t="s">
        <v>15</v>
      </c>
      <c r="C196" s="159">
        <v>4</v>
      </c>
      <c r="D196" t="str">
        <f>VLOOKUP(A196,DataUsuario!B:D,2,FALSE)</f>
        <v>Operaciones</v>
      </c>
      <c r="E196" t="str">
        <f>VLOOKUP(A196,DataUsuario!B:D,3,FALSE)</f>
        <v>Gerencia de Operaciones</v>
      </c>
      <c r="F196" t="s">
        <v>70</v>
      </c>
    </row>
    <row r="197" spans="1:6" x14ac:dyDescent="0.3">
      <c r="A197" s="157" t="s">
        <v>145</v>
      </c>
      <c r="B197" t="s">
        <v>15</v>
      </c>
      <c r="C197" s="160" t="s">
        <v>627</v>
      </c>
      <c r="D197" t="str">
        <f>VLOOKUP(A197,DataUsuario!B:D,2,FALSE)</f>
        <v>Administración y Finanzas</v>
      </c>
      <c r="E197" t="str">
        <f>VLOOKUP(A197,DataUsuario!B:D,3,FALSE)</f>
        <v>Legal</v>
      </c>
      <c r="F197" t="s">
        <v>66</v>
      </c>
    </row>
    <row r="198" spans="1:6" x14ac:dyDescent="0.3">
      <c r="A198" s="156" t="s">
        <v>596</v>
      </c>
      <c r="B198" t="s">
        <v>15</v>
      </c>
      <c r="C198" s="159" t="s">
        <v>627</v>
      </c>
      <c r="D198" t="str">
        <f>VLOOKUP(A198,DataUsuario!B:D,2,FALSE)</f>
        <v>Gestión Humana y Sostenibilidad</v>
      </c>
      <c r="E198" t="str">
        <f>VLOOKUP(A198,DataUsuario!B:D,3,FALSE)</f>
        <v>Seguridad</v>
      </c>
      <c r="F198" t="s">
        <v>62</v>
      </c>
    </row>
    <row r="199" spans="1:6" x14ac:dyDescent="0.3">
      <c r="A199" s="157" t="s">
        <v>82</v>
      </c>
      <c r="B199" t="s">
        <v>15</v>
      </c>
      <c r="C199" s="160" t="s">
        <v>627</v>
      </c>
      <c r="D199" t="str">
        <f>VLOOKUP(A199,DataUsuario!B:D,2,FALSE)</f>
        <v>Industrial y de Mantenimiento</v>
      </c>
      <c r="E199" t="str">
        <f>VLOOKUP(A199,DataUsuario!B:D,3,FALSE)</f>
        <v>Producción</v>
      </c>
      <c r="F199" t="s">
        <v>74</v>
      </c>
    </row>
    <row r="200" spans="1:6" x14ac:dyDescent="0.3">
      <c r="A200" s="156" t="s">
        <v>326</v>
      </c>
      <c r="B200" t="s">
        <v>15</v>
      </c>
      <c r="C200" s="159">
        <v>4</v>
      </c>
      <c r="D200" t="str">
        <f>VLOOKUP(A200,DataUsuario!B:D,2,FALSE)</f>
        <v>Operaciones</v>
      </c>
      <c r="E200" t="str">
        <f>VLOOKUP(A200,DataUsuario!B:D,3,FALSE)</f>
        <v>Calidad</v>
      </c>
      <c r="F200" t="s">
        <v>70</v>
      </c>
    </row>
    <row r="201" spans="1:6" x14ac:dyDescent="0.3">
      <c r="A201" s="157" t="s">
        <v>318</v>
      </c>
      <c r="B201" t="s">
        <v>15</v>
      </c>
      <c r="C201" s="160" t="s">
        <v>627</v>
      </c>
      <c r="D201" t="str">
        <f>VLOOKUP(A201,DataUsuario!B:D,2,FALSE)</f>
        <v>Operaciones</v>
      </c>
      <c r="E201" t="str">
        <f>VLOOKUP(A201,DataUsuario!B:D,3,FALSE)</f>
        <v>Cosecha</v>
      </c>
      <c r="F201" t="s">
        <v>70</v>
      </c>
    </row>
    <row r="202" spans="1:6" x14ac:dyDescent="0.3">
      <c r="A202" s="156" t="s">
        <v>391</v>
      </c>
      <c r="B202" t="s">
        <v>15</v>
      </c>
      <c r="C202" s="159">
        <v>5</v>
      </c>
      <c r="D202" t="str">
        <f>VLOOKUP(A202,DataUsuario!B:D,2,FALSE)</f>
        <v>Administración y Finanzas</v>
      </c>
      <c r="E202" t="str">
        <f>VLOOKUP(A202,DataUsuario!B:D,3,FALSE)</f>
        <v>Finanzas y Tesorería</v>
      </c>
      <c r="F202" t="s">
        <v>66</v>
      </c>
    </row>
    <row r="203" spans="1:6" x14ac:dyDescent="0.3">
      <c r="A203" s="157" t="s">
        <v>279</v>
      </c>
      <c r="B203" t="s">
        <v>15</v>
      </c>
      <c r="C203" s="160">
        <v>4</v>
      </c>
      <c r="D203" t="str">
        <f>VLOOKUP(A203,DataUsuario!B:D,2,FALSE)</f>
        <v>Operaciones</v>
      </c>
      <c r="E203" t="str">
        <f>VLOOKUP(A203,DataUsuario!B:D,3,FALSE)</f>
        <v>Transporte</v>
      </c>
      <c r="F203" t="s">
        <v>70</v>
      </c>
    </row>
    <row r="204" spans="1:6" x14ac:dyDescent="0.3">
      <c r="A204" s="156" t="s">
        <v>431</v>
      </c>
      <c r="B204" t="s">
        <v>15</v>
      </c>
      <c r="C204" s="159">
        <v>4</v>
      </c>
      <c r="D204" t="str">
        <f>VLOOKUP(A204,DataUsuario!B:D,2,FALSE)</f>
        <v>Agrícola</v>
      </c>
      <c r="E204" t="str">
        <f>VLOOKUP(A204,DataUsuario!B:D,3,FALSE)</f>
        <v>Fundo San Vicente</v>
      </c>
      <c r="F204" t="s">
        <v>89</v>
      </c>
    </row>
    <row r="205" spans="1:6" x14ac:dyDescent="0.3">
      <c r="A205" s="157" t="s">
        <v>176</v>
      </c>
      <c r="B205" t="s">
        <v>15</v>
      </c>
      <c r="C205" s="160">
        <v>5</v>
      </c>
      <c r="D205" t="str">
        <f>VLOOKUP(A205,DataUsuario!B:D,2,FALSE)</f>
        <v>Administración y Finanzas</v>
      </c>
      <c r="E205" t="str">
        <f>VLOOKUP(A205,DataUsuario!B:D,3,FALSE)</f>
        <v>Cadenas Productivas</v>
      </c>
      <c r="F205" t="s">
        <v>66</v>
      </c>
    </row>
    <row r="206" spans="1:6" x14ac:dyDescent="0.3">
      <c r="A206" s="156" t="s">
        <v>221</v>
      </c>
      <c r="B206" t="s">
        <v>15</v>
      </c>
      <c r="C206" s="159">
        <v>5</v>
      </c>
      <c r="D206" t="str">
        <f>VLOOKUP(A206,DataUsuario!B:D,2,FALSE)</f>
        <v>Administración y Finanzas</v>
      </c>
      <c r="E206" t="str">
        <f>VLOOKUP(A206,DataUsuario!B:D,3,FALSE)</f>
        <v>Sistemas y TI</v>
      </c>
      <c r="F206" t="s">
        <v>66</v>
      </c>
    </row>
    <row r="207" spans="1:6" x14ac:dyDescent="0.3">
      <c r="A207" s="157" t="s">
        <v>249</v>
      </c>
      <c r="B207" t="s">
        <v>15</v>
      </c>
      <c r="C207" s="160">
        <v>5</v>
      </c>
      <c r="D207" t="str">
        <f>VLOOKUP(A207,DataUsuario!B:D,2,FALSE)</f>
        <v>Administración y Finanzas</v>
      </c>
      <c r="E207" t="str">
        <f>VLOOKUP(A207,DataUsuario!B:D,3,FALSE)</f>
        <v>Compras</v>
      </c>
      <c r="F207" t="s">
        <v>66</v>
      </c>
    </row>
    <row r="208" spans="1:6" x14ac:dyDescent="0.3">
      <c r="A208" s="156" t="s">
        <v>600</v>
      </c>
      <c r="B208" t="s">
        <v>15</v>
      </c>
      <c r="C208" s="159">
        <v>3</v>
      </c>
      <c r="D208" t="str">
        <f>VLOOKUP(A208,DataUsuario!B:D,2,FALSE)</f>
        <v>Administración y Finanzas</v>
      </c>
      <c r="E208" t="str">
        <f>VLOOKUP(A208,DataUsuario!B:D,3,FALSE)</f>
        <v>Sistemas y TI</v>
      </c>
      <c r="F208" t="s">
        <v>66</v>
      </c>
    </row>
    <row r="209" spans="1:6" x14ac:dyDescent="0.3">
      <c r="A209" s="157" t="s">
        <v>519</v>
      </c>
      <c r="B209" t="s">
        <v>15</v>
      </c>
      <c r="C209" s="160">
        <v>5</v>
      </c>
      <c r="D209" t="str">
        <f>VLOOKUP(A209,DataUsuario!B:D,2,FALSE)</f>
        <v>Administración y Finanzas</v>
      </c>
      <c r="E209" t="str">
        <f>VLOOKUP(A209,DataUsuario!B:D,3,FALSE)</f>
        <v>Contabilidad Tributaria</v>
      </c>
      <c r="F209" t="s">
        <v>66</v>
      </c>
    </row>
    <row r="210" spans="1:6" x14ac:dyDescent="0.3">
      <c r="A210" s="156" t="s">
        <v>439</v>
      </c>
      <c r="B210" t="s">
        <v>15</v>
      </c>
      <c r="C210" s="159">
        <v>5</v>
      </c>
      <c r="D210" t="str">
        <f>VLOOKUP(A210,DataUsuario!B:D,2,FALSE)</f>
        <v>Operaciones</v>
      </c>
      <c r="E210" t="str">
        <f>VLOOKUP(A210,DataUsuario!B:D,3,FALSE)</f>
        <v>Comercial</v>
      </c>
      <c r="F210" t="s">
        <v>70</v>
      </c>
    </row>
    <row r="211" spans="1:6" x14ac:dyDescent="0.3">
      <c r="A211" s="157" t="s">
        <v>320</v>
      </c>
      <c r="B211" t="s">
        <v>15</v>
      </c>
      <c r="C211" s="160">
        <v>5</v>
      </c>
      <c r="D211" t="str">
        <f>VLOOKUP(A211,DataUsuario!B:D,2,FALSE)</f>
        <v>Gestión Humana y Sostenibilidad</v>
      </c>
      <c r="E211" t="str">
        <f>VLOOKUP(A211,DataUsuario!B:D,3,FALSE)</f>
        <v>Sostenibilidad</v>
      </c>
      <c r="F211" t="s">
        <v>62</v>
      </c>
    </row>
    <row r="212" spans="1:6" x14ac:dyDescent="0.3">
      <c r="A212" s="156" t="s">
        <v>80</v>
      </c>
      <c r="B212" t="s">
        <v>15</v>
      </c>
      <c r="C212" s="159" t="s">
        <v>627</v>
      </c>
      <c r="D212" t="str">
        <f>VLOOKUP(A212,DataUsuario!B:D,2,FALSE)</f>
        <v>Administración y Finanzas</v>
      </c>
      <c r="E212" t="str">
        <f>VLOOKUP(A212,DataUsuario!B:D,3,FALSE)</f>
        <v>Compras</v>
      </c>
      <c r="F212" t="s">
        <v>66</v>
      </c>
    </row>
    <row r="213" spans="1:6" x14ac:dyDescent="0.3">
      <c r="A213" s="157" t="s">
        <v>301</v>
      </c>
      <c r="B213" t="s">
        <v>15</v>
      </c>
      <c r="C213" s="160">
        <v>5</v>
      </c>
      <c r="D213" t="str">
        <f>VLOOKUP(A213,DataUsuario!B:D,2,FALSE)</f>
        <v>Administración y Finanzas</v>
      </c>
      <c r="E213" t="str">
        <f>VLOOKUP(A213,DataUsuario!B:D,3,FALSE)</f>
        <v>Contabilidad Tributaria</v>
      </c>
      <c r="F213" t="s">
        <v>66</v>
      </c>
    </row>
    <row r="214" spans="1:6" x14ac:dyDescent="0.3">
      <c r="A214" s="156" t="s">
        <v>343</v>
      </c>
      <c r="B214" t="s">
        <v>15</v>
      </c>
      <c r="C214" s="159">
        <v>5</v>
      </c>
      <c r="D214" t="str">
        <f>VLOOKUP(A214,DataUsuario!B:D,2,FALSE)</f>
        <v>Operaciones</v>
      </c>
      <c r="E214" t="str">
        <f>VLOOKUP(A214,DataUsuario!B:D,3,FALSE)</f>
        <v>Comercial No Giro</v>
      </c>
      <c r="F214" t="s">
        <v>70</v>
      </c>
    </row>
    <row r="215" spans="1:6" x14ac:dyDescent="0.3">
      <c r="A215" s="157" t="s">
        <v>236</v>
      </c>
      <c r="B215" t="s">
        <v>15</v>
      </c>
      <c r="C215" s="160">
        <v>4</v>
      </c>
      <c r="D215" t="str">
        <f>VLOOKUP(A215,DataUsuario!B:D,2,FALSE)</f>
        <v>Administración y Finanzas</v>
      </c>
      <c r="E215" t="str">
        <f>VLOOKUP(A215,DataUsuario!B:D,3,FALSE)</f>
        <v>Sistemas y TI</v>
      </c>
      <c r="F215" t="s">
        <v>66</v>
      </c>
    </row>
    <row r="216" spans="1:6" x14ac:dyDescent="0.3">
      <c r="A216" s="156" t="s">
        <v>205</v>
      </c>
      <c r="B216" t="s">
        <v>15</v>
      </c>
      <c r="C216" s="159">
        <v>5</v>
      </c>
      <c r="D216" t="str">
        <f>VLOOKUP(A216,DataUsuario!B:D,2,FALSE)</f>
        <v>Operaciones</v>
      </c>
      <c r="E216" t="str">
        <f>VLOOKUP(A216,DataUsuario!B:D,3,FALSE)</f>
        <v>Almacenes y Distribución PT</v>
      </c>
      <c r="F216" t="s">
        <v>70</v>
      </c>
    </row>
    <row r="217" spans="1:6" x14ac:dyDescent="0.3">
      <c r="A217" s="157" t="s">
        <v>136</v>
      </c>
      <c r="B217" t="s">
        <v>15</v>
      </c>
      <c r="C217" s="160">
        <v>5</v>
      </c>
      <c r="D217" t="str">
        <f>VLOOKUP(A217,DataUsuario!B:D,2,FALSE)</f>
        <v>Operaciones</v>
      </c>
      <c r="E217" t="str">
        <f>VLOOKUP(A217,DataUsuario!B:D,3,FALSE)</f>
        <v>Comercial</v>
      </c>
      <c r="F217" t="s">
        <v>70</v>
      </c>
    </row>
    <row r="218" spans="1:6" x14ac:dyDescent="0.3">
      <c r="A218" s="156" t="s">
        <v>602</v>
      </c>
      <c r="B218" t="s">
        <v>15</v>
      </c>
      <c r="C218" s="159">
        <v>5</v>
      </c>
      <c r="D218" t="str">
        <f>VLOOKUP(A218,DataUsuario!B:D,2,FALSE)</f>
        <v>Administración y Finanzas</v>
      </c>
      <c r="E218" t="str">
        <f>VLOOKUP(A218,DataUsuario!B:D,3,FALSE)</f>
        <v>Sistemas y TI</v>
      </c>
      <c r="F218" t="s">
        <v>66</v>
      </c>
    </row>
    <row r="219" spans="1:6" x14ac:dyDescent="0.3">
      <c r="A219" s="157" t="s">
        <v>181</v>
      </c>
      <c r="B219" t="s">
        <v>15</v>
      </c>
      <c r="C219" s="160">
        <v>4</v>
      </c>
      <c r="D219" t="str">
        <f>VLOOKUP(A219,DataUsuario!B:D,2,FALSE)</f>
        <v>Gestión Humana y Sostenibilidad</v>
      </c>
      <c r="E219" t="str">
        <f>VLOOKUP(A219,DataUsuario!B:D,3,FALSE)</f>
        <v>Compensación y Nóminas</v>
      </c>
      <c r="F219" t="s">
        <v>62</v>
      </c>
    </row>
    <row r="220" spans="1:6" x14ac:dyDescent="0.3">
      <c r="A220" s="156" t="s">
        <v>275</v>
      </c>
      <c r="B220" t="s">
        <v>15</v>
      </c>
      <c r="C220" s="159">
        <v>4</v>
      </c>
      <c r="D220" t="str">
        <f>VLOOKUP(A220,DataUsuario!B:D,2,FALSE)</f>
        <v>Administración y Finanzas</v>
      </c>
      <c r="E220" t="str">
        <f>VLOOKUP(A220,DataUsuario!B:D,3,FALSE)</f>
        <v>Compras</v>
      </c>
      <c r="F220" t="s">
        <v>66</v>
      </c>
    </row>
    <row r="221" spans="1:6" x14ac:dyDescent="0.3">
      <c r="A221" s="157" t="s">
        <v>61</v>
      </c>
      <c r="B221" t="s">
        <v>15</v>
      </c>
      <c r="C221" s="160">
        <v>4</v>
      </c>
      <c r="D221" t="str">
        <f>VLOOKUP(A221,DataUsuario!B:D,2,FALSE)</f>
        <v>Gestión Humana y Sostenibilidad</v>
      </c>
      <c r="E221" t="str">
        <f>VLOOKUP(A221,DataUsuario!B:D,3,FALSE)</f>
        <v>Compensación y Nóminas</v>
      </c>
      <c r="F221" t="s">
        <v>62</v>
      </c>
    </row>
    <row r="222" spans="1:6" x14ac:dyDescent="0.3">
      <c r="A222" s="156" t="s">
        <v>374</v>
      </c>
      <c r="B222" t="s">
        <v>15</v>
      </c>
      <c r="C222" s="159">
        <v>4</v>
      </c>
      <c r="D222" t="str">
        <f>VLOOKUP(A222,DataUsuario!B:D,2,FALSE)</f>
        <v>Agrícola</v>
      </c>
      <c r="E222" t="str">
        <f>VLOOKUP(A222,DataUsuario!B:D,3,FALSE)</f>
        <v>Mantenimiento de Riego y Bombas</v>
      </c>
      <c r="F222" t="s">
        <v>89</v>
      </c>
    </row>
    <row r="223" spans="1:6" x14ac:dyDescent="0.3">
      <c r="A223" s="157" t="s">
        <v>605</v>
      </c>
      <c r="B223" t="s">
        <v>15</v>
      </c>
      <c r="C223" s="160">
        <v>5</v>
      </c>
      <c r="D223" t="str">
        <f>VLOOKUP(A223,DataUsuario!B:D,2,FALSE)</f>
        <v>Administración y Finanzas</v>
      </c>
      <c r="E223" t="str">
        <f>VLOOKUP(A223,DataUsuario!B:D,3,FALSE)</f>
        <v>Control de Gestión</v>
      </c>
      <c r="F223" t="s">
        <v>66</v>
      </c>
    </row>
    <row r="224" spans="1:6" x14ac:dyDescent="0.3">
      <c r="A224" s="156" t="s">
        <v>92</v>
      </c>
      <c r="B224" t="s">
        <v>15</v>
      </c>
      <c r="C224" s="159" t="s">
        <v>627</v>
      </c>
      <c r="D224" t="str">
        <f>VLOOKUP(A224,DataUsuario!B:D,2,FALSE)</f>
        <v>Administración y Finanzas</v>
      </c>
      <c r="E224" t="str">
        <f>VLOOKUP(A224,DataUsuario!B:D,3,FALSE)</f>
        <v>Control de Gestión</v>
      </c>
      <c r="F224" t="s">
        <v>66</v>
      </c>
    </row>
    <row r="225" spans="1:6" x14ac:dyDescent="0.3">
      <c r="A225" s="157" t="s">
        <v>217</v>
      </c>
      <c r="B225" t="s">
        <v>15</v>
      </c>
      <c r="C225" s="160">
        <v>4</v>
      </c>
      <c r="D225" t="str">
        <f>VLOOKUP(A225,DataUsuario!B:D,2,FALSE)</f>
        <v>Agrícola</v>
      </c>
      <c r="E225" t="str">
        <f>VLOOKUP(A225,DataUsuario!B:D,3,FALSE)</f>
        <v>Mantenimiento de Riego y Bombas</v>
      </c>
      <c r="F225" t="s">
        <v>89</v>
      </c>
    </row>
    <row r="226" spans="1:6" x14ac:dyDescent="0.3">
      <c r="A226" s="156" t="s">
        <v>606</v>
      </c>
      <c r="B226" t="s">
        <v>15</v>
      </c>
      <c r="C226" s="159">
        <v>5</v>
      </c>
      <c r="D226" t="str">
        <f>VLOOKUP(A226,DataUsuario!B:D,2,FALSE)</f>
        <v>Administración y Finanzas</v>
      </c>
      <c r="E226" t="str">
        <f>VLOOKUP(A226,DataUsuario!B:D,3,FALSE)</f>
        <v>Sistemas y TI</v>
      </c>
      <c r="F226" t="s">
        <v>66</v>
      </c>
    </row>
    <row r="227" spans="1:6" x14ac:dyDescent="0.3">
      <c r="A227" s="157" t="s">
        <v>210</v>
      </c>
      <c r="B227" t="s">
        <v>15</v>
      </c>
      <c r="C227" s="160">
        <v>4</v>
      </c>
      <c r="D227" t="str">
        <f>VLOOKUP(A227,DataUsuario!B:D,2,FALSE)</f>
        <v>Industrial y de Mantenimiento</v>
      </c>
      <c r="E227" t="str">
        <f>VLOOKUP(A227,DataUsuario!B:D,3,FALSE)</f>
        <v>Planta y Srv Industriales</v>
      </c>
      <c r="F227" t="s">
        <v>74</v>
      </c>
    </row>
    <row r="228" spans="1:6" x14ac:dyDescent="0.3">
      <c r="A228" s="156" t="s">
        <v>254</v>
      </c>
      <c r="B228" t="s">
        <v>15</v>
      </c>
      <c r="C228" s="159" t="s">
        <v>627</v>
      </c>
      <c r="D228" t="str">
        <f>VLOOKUP(A228,DataUsuario!B:D,2,FALSE)</f>
        <v>Administración y Finanzas</v>
      </c>
      <c r="E228" t="str">
        <f>VLOOKUP(A228,DataUsuario!B:D,3,FALSE)</f>
        <v>Administración</v>
      </c>
      <c r="F228" t="s">
        <v>66</v>
      </c>
    </row>
    <row r="229" spans="1:6" x14ac:dyDescent="0.3">
      <c r="A229" s="157" t="s">
        <v>403</v>
      </c>
      <c r="B229" t="s">
        <v>15</v>
      </c>
      <c r="C229" s="160">
        <v>4</v>
      </c>
      <c r="D229" t="str">
        <f>VLOOKUP(A229,DataUsuario!B:D,2,FALSE)</f>
        <v>Administración y Finanzas</v>
      </c>
      <c r="E229" t="str">
        <f>VLOOKUP(A229,DataUsuario!B:D,3,FALSE)</f>
        <v>Control de Gestión</v>
      </c>
      <c r="F229" t="s">
        <v>66</v>
      </c>
    </row>
    <row r="230" spans="1:6" x14ac:dyDescent="0.3">
      <c r="A230" s="156" t="s">
        <v>170</v>
      </c>
      <c r="B230" t="s">
        <v>15</v>
      </c>
      <c r="C230" s="159" t="s">
        <v>627</v>
      </c>
      <c r="D230" t="str">
        <f>VLOOKUP(A230,DataUsuario!B:D,2,FALSE)</f>
        <v>Operaciones</v>
      </c>
      <c r="E230" t="str">
        <f>VLOOKUP(A230,DataUsuario!B:D,3,FALSE)</f>
        <v>Mantenimiento CAT</v>
      </c>
      <c r="F230" t="s">
        <v>70</v>
      </c>
    </row>
    <row r="231" spans="1:6" x14ac:dyDescent="0.3">
      <c r="A231" s="157" t="s">
        <v>88</v>
      </c>
      <c r="B231" t="s">
        <v>15</v>
      </c>
      <c r="C231" s="160">
        <v>5</v>
      </c>
      <c r="D231" t="str">
        <f>VLOOKUP(A231,DataUsuario!B:D,2,FALSE)</f>
        <v>Agrícola</v>
      </c>
      <c r="E231" t="str">
        <f>VLOOKUP(A231,DataUsuario!B:D,3,FALSE)</f>
        <v>Fundo Lobo</v>
      </c>
      <c r="F231" t="s">
        <v>89</v>
      </c>
    </row>
    <row r="232" spans="1:6" x14ac:dyDescent="0.3">
      <c r="A232" s="156" t="s">
        <v>242</v>
      </c>
      <c r="B232" t="s">
        <v>15</v>
      </c>
      <c r="C232" s="159" t="s">
        <v>627</v>
      </c>
      <c r="D232" t="str">
        <f>VLOOKUP(A232,DataUsuario!B:D,2,FALSE)</f>
        <v>Agrícola</v>
      </c>
      <c r="E232" t="str">
        <f>VLOOKUP(A232,DataUsuario!B:D,3,FALSE)</f>
        <v>Fundo Montelima</v>
      </c>
      <c r="F232" t="s">
        <v>89</v>
      </c>
    </row>
    <row r="233" spans="1:6" x14ac:dyDescent="0.3">
      <c r="A233" s="157" t="s">
        <v>65</v>
      </c>
      <c r="B233" t="s">
        <v>15</v>
      </c>
      <c r="C233" s="160">
        <v>5</v>
      </c>
      <c r="D233" t="str">
        <f>VLOOKUP(A233,DataUsuario!B:D,2,FALSE)</f>
        <v>Administración y Finanzas</v>
      </c>
      <c r="E233" t="str">
        <f>VLOOKUP(A233,DataUsuario!B:D,3,FALSE)</f>
        <v>Finanzas y Tesorería</v>
      </c>
      <c r="F233" t="s">
        <v>66</v>
      </c>
    </row>
    <row r="234" spans="1:6" x14ac:dyDescent="0.3">
      <c r="A234" s="156" t="s">
        <v>609</v>
      </c>
      <c r="B234" t="s">
        <v>15</v>
      </c>
      <c r="C234" s="159">
        <v>4</v>
      </c>
      <c r="D234" t="str">
        <f>VLOOKUP(A234,DataUsuario!B:D,2,FALSE)</f>
        <v>Administración y Finanzas</v>
      </c>
      <c r="E234" t="str">
        <f>VLOOKUP(A234,DataUsuario!B:D,3,FALSE)</f>
        <v>Compras</v>
      </c>
      <c r="F234" t="s">
        <v>66</v>
      </c>
    </row>
    <row r="235" spans="1:6" x14ac:dyDescent="0.3">
      <c r="A235" s="157" t="s">
        <v>85</v>
      </c>
      <c r="B235" t="s">
        <v>15</v>
      </c>
      <c r="C235" s="160">
        <v>5</v>
      </c>
      <c r="D235" t="str">
        <f>VLOOKUP(A235,DataUsuario!B:D,2,FALSE)</f>
        <v>Operaciones</v>
      </c>
      <c r="E235" t="str">
        <f>VLOOKUP(A235,DataUsuario!B:D,3,FALSE)</f>
        <v>Comercial</v>
      </c>
      <c r="F235" t="s">
        <v>70</v>
      </c>
    </row>
    <row r="236" spans="1:6" x14ac:dyDescent="0.3">
      <c r="A236" s="156" t="s">
        <v>256</v>
      </c>
      <c r="B236" t="s">
        <v>15</v>
      </c>
      <c r="C236" s="159" t="s">
        <v>627</v>
      </c>
      <c r="D236" t="str">
        <f>VLOOKUP(A236,DataUsuario!B:D,2,FALSE)</f>
        <v>Agrícola</v>
      </c>
      <c r="E236" t="str">
        <f>VLOOKUP(A236,DataUsuario!B:D,3,FALSE)</f>
        <v>Fundo Montelima</v>
      </c>
      <c r="F236" t="s">
        <v>89</v>
      </c>
    </row>
    <row r="237" spans="1:6" x14ac:dyDescent="0.3">
      <c r="A237" s="157" t="s">
        <v>611</v>
      </c>
      <c r="B237" t="s">
        <v>15</v>
      </c>
      <c r="C237" s="160">
        <v>4</v>
      </c>
      <c r="D237" t="str">
        <f>VLOOKUP(A237,DataUsuario!B:D,2,FALSE)</f>
        <v>Operaciones</v>
      </c>
      <c r="E237" t="str">
        <f>VLOOKUP(A237,DataUsuario!B:D,3,FALSE)</f>
        <v>Almacenes y Distribución PT</v>
      </c>
      <c r="F237" t="s">
        <v>70</v>
      </c>
    </row>
    <row r="238" spans="1:6" x14ac:dyDescent="0.3">
      <c r="A238" s="156" t="s">
        <v>267</v>
      </c>
      <c r="B238" t="s">
        <v>15</v>
      </c>
      <c r="C238" s="159">
        <v>5</v>
      </c>
      <c r="D238" t="str">
        <f>VLOOKUP(A238,DataUsuario!B:D,2,FALSE)</f>
        <v>Gestión Humana y Sostenibilidad</v>
      </c>
      <c r="E238" t="str">
        <f>VLOOKUP(A238,DataUsuario!B:D,3,FALSE)</f>
        <v>Sostenibilidad</v>
      </c>
      <c r="F238" t="s">
        <v>62</v>
      </c>
    </row>
    <row r="239" spans="1:6" x14ac:dyDescent="0.3">
      <c r="A239" s="157" t="s">
        <v>614</v>
      </c>
      <c r="B239" t="s">
        <v>15</v>
      </c>
      <c r="C239" s="160" t="s">
        <v>627</v>
      </c>
      <c r="D239" t="str">
        <f>VLOOKUP(A239,DataUsuario!B:D,2,FALSE)</f>
        <v>Operaciones</v>
      </c>
      <c r="E239" t="str">
        <f>VLOOKUP(A239,DataUsuario!B:D,3,FALSE)</f>
        <v>Transporte</v>
      </c>
      <c r="F239" t="s">
        <v>70</v>
      </c>
    </row>
    <row r="240" spans="1:6" x14ac:dyDescent="0.3">
      <c r="A240" s="156" t="s">
        <v>415</v>
      </c>
      <c r="B240" t="s">
        <v>15</v>
      </c>
      <c r="C240" s="159" t="s">
        <v>627</v>
      </c>
      <c r="D240" t="str">
        <f>VLOOKUP(A240,DataUsuario!B:D,2,FALSE)</f>
        <v>Administración y Finanzas</v>
      </c>
      <c r="E240" t="str">
        <f>VLOOKUP(A240,DataUsuario!B:D,3,FALSE)</f>
        <v>Administración</v>
      </c>
      <c r="F240" t="s">
        <v>66</v>
      </c>
    </row>
    <row r="241" spans="1:6" x14ac:dyDescent="0.3">
      <c r="A241" s="157" t="s">
        <v>200</v>
      </c>
      <c r="B241" t="s">
        <v>15</v>
      </c>
      <c r="C241" s="160" t="s">
        <v>627</v>
      </c>
      <c r="D241" t="str">
        <f>VLOOKUP(A241,DataUsuario!B:D,2,FALSE)</f>
        <v>Industrial y de Mantenimiento</v>
      </c>
      <c r="E241" t="str">
        <f>VLOOKUP(A241,DataUsuario!B:D,3,FALSE)</f>
        <v>Electricidad</v>
      </c>
      <c r="F241" t="s">
        <v>74</v>
      </c>
    </row>
    <row r="242" spans="1:6" x14ac:dyDescent="0.3">
      <c r="A242" s="156" t="s">
        <v>198</v>
      </c>
      <c r="B242" t="s">
        <v>15</v>
      </c>
      <c r="C242" s="159">
        <v>5</v>
      </c>
      <c r="D242" t="str">
        <f>VLOOKUP(A242,DataUsuario!B:D,2,FALSE)</f>
        <v>Agrícola</v>
      </c>
      <c r="E242" t="str">
        <f>VLOOKUP(A242,DataUsuario!B:D,3,FALSE)</f>
        <v>Fundo Lobo</v>
      </c>
      <c r="F242" t="s">
        <v>89</v>
      </c>
    </row>
    <row r="243" spans="1:6" x14ac:dyDescent="0.3">
      <c r="A243" s="157" t="s">
        <v>350</v>
      </c>
      <c r="B243" t="s">
        <v>15</v>
      </c>
      <c r="C243" s="160">
        <v>4</v>
      </c>
      <c r="D243" t="str">
        <f>VLOOKUP(A243,DataUsuario!B:D,2,FALSE)</f>
        <v>Agrícola</v>
      </c>
      <c r="E243" t="str">
        <f>VLOOKUP(A243,DataUsuario!B:D,3,FALSE)</f>
        <v>Planificador Agrícola</v>
      </c>
      <c r="F243" t="s">
        <v>89</v>
      </c>
    </row>
    <row r="244" spans="1:6" x14ac:dyDescent="0.3">
      <c r="A244" s="156" t="s">
        <v>345</v>
      </c>
      <c r="B244" t="s">
        <v>15</v>
      </c>
      <c r="C244" s="159" t="s">
        <v>627</v>
      </c>
      <c r="D244" t="str">
        <f>VLOOKUP(A244,DataUsuario!B:D,2,FALSE)</f>
        <v>Agrícola</v>
      </c>
      <c r="E244" t="str">
        <f>VLOOKUP(A244,DataUsuario!B:D,3,FALSE)</f>
        <v>Mantenimiento de Riego y Bombas</v>
      </c>
      <c r="F244" t="s">
        <v>89</v>
      </c>
    </row>
    <row r="245" spans="1:6" x14ac:dyDescent="0.3">
      <c r="A245" s="157" t="s">
        <v>314</v>
      </c>
      <c r="B245" t="s">
        <v>15</v>
      </c>
      <c r="C245" s="160">
        <v>4</v>
      </c>
      <c r="D245" t="str">
        <f>VLOOKUP(A245,DataUsuario!B:D,2,FALSE)</f>
        <v>Industrial y de Mantenimiento</v>
      </c>
      <c r="E245" t="str">
        <f>VLOOKUP(A245,DataUsuario!B:D,3,FALSE)</f>
        <v>Mantenimiento Industrial</v>
      </c>
      <c r="F245" t="s">
        <v>74</v>
      </c>
    </row>
    <row r="246" spans="1:6" x14ac:dyDescent="0.3">
      <c r="A246" s="156" t="s">
        <v>150</v>
      </c>
      <c r="B246" t="s">
        <v>15</v>
      </c>
      <c r="C246" s="159">
        <v>4</v>
      </c>
      <c r="D246" t="str">
        <f>VLOOKUP(A246,DataUsuario!B:D,2,FALSE)</f>
        <v>Industrial y de Mantenimiento</v>
      </c>
      <c r="E246" t="str">
        <f>VLOOKUP(A246,DataUsuario!B:D,3,FALSE)</f>
        <v>Producción</v>
      </c>
      <c r="F246" t="s">
        <v>74</v>
      </c>
    </row>
    <row r="247" spans="1:6" x14ac:dyDescent="0.3">
      <c r="A247" s="157" t="s">
        <v>271</v>
      </c>
      <c r="B247" t="s">
        <v>15</v>
      </c>
      <c r="C247" s="160">
        <v>4</v>
      </c>
      <c r="D247" t="str">
        <f>VLOOKUP(A247,DataUsuario!B:D,2,FALSE)</f>
        <v>Operaciones</v>
      </c>
      <c r="E247" t="str">
        <f>VLOOKUP(A247,DataUsuario!B:D,3,FALSE)</f>
        <v>Calidad</v>
      </c>
      <c r="F247" t="s">
        <v>70</v>
      </c>
    </row>
    <row r="248" spans="1:6" x14ac:dyDescent="0.3">
      <c r="A248" s="156" t="s">
        <v>156</v>
      </c>
      <c r="B248" t="s">
        <v>15</v>
      </c>
      <c r="C248" s="159" t="s">
        <v>627</v>
      </c>
      <c r="D248" t="str">
        <f>VLOOKUP(A248,DataUsuario!B:D,2,FALSE)</f>
        <v>Administración y Finanzas</v>
      </c>
      <c r="E248" t="str">
        <f>VLOOKUP(A248,DataUsuario!B:D,3,FALSE)</f>
        <v>Compras</v>
      </c>
      <c r="F248" t="s">
        <v>66</v>
      </c>
    </row>
    <row r="249" spans="1:6" x14ac:dyDescent="0.3">
      <c r="A249" s="157" t="s">
        <v>369</v>
      </c>
      <c r="B249" t="s">
        <v>15</v>
      </c>
      <c r="C249" s="160">
        <v>4</v>
      </c>
      <c r="D249" t="str">
        <f>VLOOKUP(A249,DataUsuario!B:D,2,FALSE)</f>
        <v>Agrícola</v>
      </c>
      <c r="E249" t="str">
        <f>VLOOKUP(A249,DataUsuario!B:D,3,FALSE)</f>
        <v>Sistema Integral de Gestión</v>
      </c>
      <c r="F249" t="s">
        <v>89</v>
      </c>
    </row>
    <row r="250" spans="1:6" x14ac:dyDescent="0.3">
      <c r="A250" s="156" t="s">
        <v>224</v>
      </c>
      <c r="B250" t="s">
        <v>15</v>
      </c>
      <c r="C250" s="159">
        <v>4</v>
      </c>
      <c r="D250" t="str">
        <f>VLOOKUP(A250,DataUsuario!B:D,2,FALSE)</f>
        <v>Agrícola</v>
      </c>
      <c r="E250" t="str">
        <f>VLOOKUP(A250,DataUsuario!B:D,3,FALSE)</f>
        <v>Laboratorio e Investigación Agricola</v>
      </c>
      <c r="F250" t="s">
        <v>89</v>
      </c>
    </row>
    <row r="251" spans="1:6" x14ac:dyDescent="0.3">
      <c r="A251" s="157" t="s">
        <v>618</v>
      </c>
      <c r="B251" t="s">
        <v>15</v>
      </c>
      <c r="C251" s="160">
        <v>5</v>
      </c>
      <c r="D251" t="str">
        <f>VLOOKUP(A251,DataUsuario!B:D,2,FALSE)</f>
        <v>Operaciones</v>
      </c>
      <c r="E251" t="str">
        <f>VLOOKUP(A251,DataUsuario!B:D,3,FALSE)</f>
        <v>Comercial</v>
      </c>
      <c r="F251" t="s">
        <v>70</v>
      </c>
    </row>
    <row r="252" spans="1:6" x14ac:dyDescent="0.3">
      <c r="A252" s="156" t="s">
        <v>397</v>
      </c>
      <c r="B252" t="s">
        <v>15</v>
      </c>
      <c r="C252" s="159">
        <v>5</v>
      </c>
      <c r="D252" t="str">
        <f>VLOOKUP(A252,DataUsuario!B:D,2,FALSE)</f>
        <v>Administración y Finanzas</v>
      </c>
      <c r="E252" t="str">
        <f>VLOOKUP(A252,DataUsuario!B:D,3,FALSE)</f>
        <v>Control de Gestión</v>
      </c>
      <c r="F252" t="s">
        <v>66</v>
      </c>
    </row>
    <row r="253" spans="1:6" x14ac:dyDescent="0.3">
      <c r="A253" s="157" t="s">
        <v>619</v>
      </c>
      <c r="B253" t="s">
        <v>15</v>
      </c>
      <c r="C253" s="160" t="s">
        <v>627</v>
      </c>
      <c r="D253" t="str">
        <f>VLOOKUP(A253,DataUsuario!B:D,2,FALSE)</f>
        <v>Gestión Humana y Sostenibilidad</v>
      </c>
      <c r="E253" t="str">
        <f>VLOOKUP(A253,DataUsuario!B:D,3,FALSE)</f>
        <v>Bienestar - Medico Ocupacional</v>
      </c>
      <c r="F253" t="s">
        <v>62</v>
      </c>
    </row>
    <row r="254" spans="1:6" x14ac:dyDescent="0.3">
      <c r="A254" s="156" t="s">
        <v>215</v>
      </c>
      <c r="B254" t="s">
        <v>15</v>
      </c>
      <c r="C254" s="159">
        <v>5</v>
      </c>
      <c r="D254" t="str">
        <f>VLOOKUP(A254,DataUsuario!B:D,2,FALSE)</f>
        <v>Gestión Humana y Sostenibilidad</v>
      </c>
      <c r="E254" t="str">
        <f>VLOOKUP(A254,DataUsuario!B:D,3,FALSE)</f>
        <v>Seguridad</v>
      </c>
      <c r="F254" t="s">
        <v>62</v>
      </c>
    </row>
    <row r="255" spans="1:6" x14ac:dyDescent="0.3">
      <c r="A255" s="157" t="s">
        <v>307</v>
      </c>
      <c r="B255" t="s">
        <v>15</v>
      </c>
      <c r="C255" s="160" t="s">
        <v>627</v>
      </c>
      <c r="D255" t="str">
        <f>VLOOKUP(A255,DataUsuario!B:D,2,FALSE)</f>
        <v>Gestión Humana y Sostenibilidad</v>
      </c>
      <c r="E255" t="str">
        <f>VLOOKUP(A255,DataUsuario!B:D,3,FALSE)</f>
        <v>Comunicaciones y Responsabilidad Social</v>
      </c>
      <c r="F255" t="s">
        <v>62</v>
      </c>
    </row>
    <row r="256" spans="1:6" x14ac:dyDescent="0.3">
      <c r="A256" s="156" t="s">
        <v>285</v>
      </c>
      <c r="B256" t="s">
        <v>15</v>
      </c>
      <c r="C256" s="159">
        <v>4</v>
      </c>
      <c r="D256" t="str">
        <f>VLOOKUP(A256,DataUsuario!B:D,2,FALSE)</f>
        <v>Operaciones</v>
      </c>
      <c r="E256" t="str">
        <f>VLOOKUP(A256,DataUsuario!B:D,3,FALSE)</f>
        <v>Comercial</v>
      </c>
      <c r="F256" t="s">
        <v>70</v>
      </c>
    </row>
    <row r="257" spans="1:6" x14ac:dyDescent="0.3">
      <c r="A257" s="157" t="s">
        <v>316</v>
      </c>
      <c r="B257" t="s">
        <v>15</v>
      </c>
      <c r="C257" s="160">
        <v>5</v>
      </c>
      <c r="D257" t="str">
        <f>VLOOKUP(A257,DataUsuario!B:D,2,FALSE)</f>
        <v>Administración y Finanzas</v>
      </c>
      <c r="E257" t="str">
        <f>VLOOKUP(A257,DataUsuario!B:D,3,FALSE)</f>
        <v>Compras</v>
      </c>
      <c r="F257" t="s">
        <v>66</v>
      </c>
    </row>
    <row r="258" spans="1:6" x14ac:dyDescent="0.3">
      <c r="A258" s="156" t="s">
        <v>372</v>
      </c>
      <c r="B258" t="s">
        <v>15</v>
      </c>
      <c r="C258" s="159" t="s">
        <v>627</v>
      </c>
      <c r="D258" t="str">
        <f>VLOOKUP(A258,DataUsuario!B:D,2,FALSE)</f>
        <v>Agrícola</v>
      </c>
      <c r="E258" t="str">
        <f>VLOOKUP(A258,DataUsuario!B:D,3,FALSE)</f>
        <v>Laboratorio e Investigación Agricola</v>
      </c>
      <c r="F258" t="s">
        <v>89</v>
      </c>
    </row>
    <row r="259" spans="1:6" x14ac:dyDescent="0.3">
      <c r="A259" s="157" t="s">
        <v>328</v>
      </c>
      <c r="B259" t="s">
        <v>15</v>
      </c>
      <c r="C259" s="160">
        <v>5</v>
      </c>
      <c r="D259" t="str">
        <f>VLOOKUP(A259,DataUsuario!B:D,2,FALSE)</f>
        <v>Administración y Finanzas</v>
      </c>
      <c r="E259" t="str">
        <f>VLOOKUP(A259,DataUsuario!B:D,3,FALSE)</f>
        <v>Administración</v>
      </c>
      <c r="F259" t="s">
        <v>66</v>
      </c>
    </row>
    <row r="260" spans="1:6" x14ac:dyDescent="0.3">
      <c r="A260" s="156" t="s">
        <v>376</v>
      </c>
      <c r="B260" t="s">
        <v>15</v>
      </c>
      <c r="C260" s="159">
        <v>5</v>
      </c>
      <c r="D260" t="str">
        <f>VLOOKUP(A260,DataUsuario!B:D,2,FALSE)</f>
        <v>Administración y Finanzas</v>
      </c>
      <c r="E260" t="str">
        <f>VLOOKUP(A260,DataUsuario!B:D,3,FALSE)</f>
        <v>Control de Gestión</v>
      </c>
      <c r="F260" t="s">
        <v>66</v>
      </c>
    </row>
    <row r="261" spans="1:6" x14ac:dyDescent="0.3">
      <c r="A261" s="157" t="s">
        <v>238</v>
      </c>
      <c r="B261" t="s">
        <v>15</v>
      </c>
      <c r="C261" s="160" t="s">
        <v>627</v>
      </c>
      <c r="D261" t="str">
        <f>VLOOKUP(A261,DataUsuario!B:D,2,FALSE)</f>
        <v>Industrial y de Mantenimiento</v>
      </c>
      <c r="E261" t="str">
        <f>VLOOKUP(A261,DataUsuario!B:D,3,FALSE)</f>
        <v>Producción</v>
      </c>
      <c r="F261" t="s">
        <v>74</v>
      </c>
    </row>
    <row r="262" spans="1:6" x14ac:dyDescent="0.3">
      <c r="A262" s="156" t="s">
        <v>623</v>
      </c>
      <c r="B262" t="s">
        <v>15</v>
      </c>
      <c r="C262" s="159" t="s">
        <v>627</v>
      </c>
      <c r="D262" t="str">
        <f>VLOOKUP(A262,DataUsuario!B:D,2,FALSE)</f>
        <v>Industrial y de Mantenimiento</v>
      </c>
      <c r="E262" t="str">
        <f>VLOOKUP(A262,DataUsuario!B:D,3,FALSE)</f>
        <v>Mantenimiento Industrial</v>
      </c>
      <c r="F262" t="s">
        <v>74</v>
      </c>
    </row>
    <row r="263" spans="1:6" x14ac:dyDescent="0.3">
      <c r="A263" s="157" t="s">
        <v>387</v>
      </c>
      <c r="B263" t="s">
        <v>15</v>
      </c>
      <c r="C263" s="160">
        <v>5</v>
      </c>
      <c r="D263" t="str">
        <f>VLOOKUP(A263,DataUsuario!B:D,2,FALSE)</f>
        <v>Administración y Finanzas</v>
      </c>
      <c r="E263" t="str">
        <f>VLOOKUP(A263,DataUsuario!B:D,3,FALSE)</f>
        <v>Contabilidad Tributaria</v>
      </c>
      <c r="F263" t="s">
        <v>66</v>
      </c>
    </row>
    <row r="264" spans="1:6" x14ac:dyDescent="0.3">
      <c r="A264" s="156" t="s">
        <v>413</v>
      </c>
      <c r="B264" t="s">
        <v>15</v>
      </c>
      <c r="C264" s="159">
        <v>5</v>
      </c>
      <c r="D264" t="str">
        <f>VLOOKUP(A264,DataUsuario!B:D,2,FALSE)</f>
        <v>Administración y Finanzas</v>
      </c>
      <c r="E264" t="str">
        <f>VLOOKUP(A264,DataUsuario!B:D,3,FALSE)</f>
        <v>Contabilidad Tributaria</v>
      </c>
      <c r="F264" t="s">
        <v>66</v>
      </c>
    </row>
    <row r="265" spans="1:6" x14ac:dyDescent="0.3">
      <c r="A265" s="157" t="s">
        <v>97</v>
      </c>
      <c r="B265" t="s">
        <v>15</v>
      </c>
      <c r="C265" s="160">
        <v>5</v>
      </c>
      <c r="D265" t="str">
        <f>VLOOKUP(A265,DataUsuario!B:D,2,FALSE)</f>
        <v>Gestión Humana y Sostenibilidad</v>
      </c>
      <c r="E265" t="str">
        <f>VLOOKUP(A265,DataUsuario!B:D,3,FALSE)</f>
        <v>Compensación y Nóminas</v>
      </c>
      <c r="F265" t="s">
        <v>62</v>
      </c>
    </row>
    <row r="266" spans="1:6" x14ac:dyDescent="0.3">
      <c r="A266" s="156" t="s">
        <v>352</v>
      </c>
      <c r="B266" t="s">
        <v>15</v>
      </c>
      <c r="C266" s="159">
        <v>5</v>
      </c>
      <c r="D266" t="str">
        <f>VLOOKUP(A266,DataUsuario!B:D,2,FALSE)</f>
        <v>Gestión Humana y Sostenibilidad</v>
      </c>
      <c r="E266" t="str">
        <f>VLOOKUP(A266,DataUsuario!B:D,3,FALSE)</f>
        <v>Compensación y Nóminas</v>
      </c>
      <c r="F266" t="s">
        <v>62</v>
      </c>
    </row>
    <row r="267" spans="1:6" x14ac:dyDescent="0.3">
      <c r="A267" s="157" t="s">
        <v>128</v>
      </c>
      <c r="B267" t="s">
        <v>15</v>
      </c>
      <c r="C267" s="160">
        <v>4</v>
      </c>
      <c r="D267" t="str">
        <f>VLOOKUP(A267,DataUsuario!B:D,2,FALSE)</f>
        <v>Agrícola</v>
      </c>
      <c r="E267" t="str">
        <f>VLOOKUP(A267,DataUsuario!B:D,3,FALSE)</f>
        <v>Fundo Lobo</v>
      </c>
      <c r="F267" t="s">
        <v>89</v>
      </c>
    </row>
    <row r="268" spans="1:6" x14ac:dyDescent="0.3">
      <c r="A268" s="156" t="s">
        <v>625</v>
      </c>
      <c r="B268" t="s">
        <v>15</v>
      </c>
      <c r="C268" s="159">
        <v>5</v>
      </c>
      <c r="D268" t="str">
        <f>VLOOKUP(A268,DataUsuario!B:D,2,FALSE)</f>
        <v>Administración y Finanzas</v>
      </c>
      <c r="E268" t="str">
        <f>VLOOKUP(A268,DataUsuario!B:D,3,FALSE)</f>
        <v>Finanzas y Tesorería</v>
      </c>
      <c r="F268" t="s">
        <v>66</v>
      </c>
    </row>
    <row r="269" spans="1:6" x14ac:dyDescent="0.3">
      <c r="A269" s="157" t="s">
        <v>303</v>
      </c>
      <c r="B269" t="s">
        <v>15</v>
      </c>
      <c r="C269" s="160">
        <v>5</v>
      </c>
      <c r="D269" t="str">
        <f>VLOOKUP(A269,DataUsuario!B:D,2,FALSE)</f>
        <v>Administración y Finanzas</v>
      </c>
      <c r="E269" t="str">
        <f>VLOOKUP(A269,DataUsuario!B:D,3,FALSE)</f>
        <v>Control de Gestión</v>
      </c>
      <c r="F269" t="s">
        <v>66</v>
      </c>
    </row>
    <row r="270" spans="1:6" x14ac:dyDescent="0.3">
      <c r="A270" s="156" t="s">
        <v>115</v>
      </c>
      <c r="B270" t="s">
        <v>15</v>
      </c>
      <c r="C270" s="159">
        <v>4</v>
      </c>
      <c r="D270" t="str">
        <f>VLOOKUP(A270,DataUsuario!B:D,2,FALSE)</f>
        <v>Industrial y de Mantenimiento</v>
      </c>
      <c r="E270" t="str">
        <f>VLOOKUP(A270,DataUsuario!B:D,3,FALSE)</f>
        <v>Mantenimiento de Transportes</v>
      </c>
      <c r="F270" t="s">
        <v>74</v>
      </c>
    </row>
    <row r="271" spans="1:6" x14ac:dyDescent="0.3">
      <c r="A271" s="158" t="s">
        <v>123</v>
      </c>
      <c r="B271" t="s">
        <v>15</v>
      </c>
      <c r="C271" s="161">
        <v>4</v>
      </c>
      <c r="D271" t="str">
        <f>VLOOKUP(A271,DataUsuario!B:D,2,FALSE)</f>
        <v>Administración y Finanzas</v>
      </c>
      <c r="E271" t="str">
        <f>VLOOKUP(A271,DataUsuario!B:D,3,FALSE)</f>
        <v>Gerencia Administración y Finanzas</v>
      </c>
      <c r="F271" t="s">
        <v>66</v>
      </c>
    </row>
    <row r="272" spans="1:6" x14ac:dyDescent="0.3">
      <c r="A272" s="156" t="s">
        <v>138</v>
      </c>
      <c r="B272" t="s">
        <v>16</v>
      </c>
      <c r="C272" s="159">
        <v>4</v>
      </c>
      <c r="D272" t="str">
        <f>VLOOKUP(A272,DataUsuario!B:D,2,FALSE)</f>
        <v>Gestión Humana y Sostenibilidad</v>
      </c>
      <c r="E272" t="str">
        <f>VLOOKUP(A272,DataUsuario!B:D,3,FALSE)</f>
        <v>Gestion del Talento</v>
      </c>
      <c r="F272" t="s">
        <v>62</v>
      </c>
    </row>
    <row r="273" spans="1:6" x14ac:dyDescent="0.3">
      <c r="A273" s="157" t="s">
        <v>207</v>
      </c>
      <c r="B273" t="s">
        <v>16</v>
      </c>
      <c r="C273" s="160">
        <v>5</v>
      </c>
      <c r="D273" t="str">
        <f>VLOOKUP(A273,DataUsuario!B:D,2,FALSE)</f>
        <v>Administración y Finanzas</v>
      </c>
      <c r="E273" t="str">
        <f>VLOOKUP(A273,DataUsuario!B:D,3,FALSE)</f>
        <v>Riesgos y Cumplimiento</v>
      </c>
      <c r="F273" t="s">
        <v>66</v>
      </c>
    </row>
    <row r="274" spans="1:6" x14ac:dyDescent="0.3">
      <c r="A274" s="156" t="s">
        <v>322</v>
      </c>
      <c r="B274" t="s">
        <v>16</v>
      </c>
      <c r="C274" s="159">
        <v>3</v>
      </c>
      <c r="D274" t="str">
        <f>VLOOKUP(A274,DataUsuario!B:D,2,FALSE)</f>
        <v>Administración y Finanzas</v>
      </c>
      <c r="E274" t="str">
        <f>VLOOKUP(A274,DataUsuario!B:D,3,FALSE)</f>
        <v>Finanzas y Tesorería</v>
      </c>
      <c r="F274" t="s">
        <v>66</v>
      </c>
    </row>
    <row r="275" spans="1:6" x14ac:dyDescent="0.3">
      <c r="A275" s="157" t="s">
        <v>133</v>
      </c>
      <c r="B275" t="s">
        <v>16</v>
      </c>
      <c r="C275" s="160">
        <v>4</v>
      </c>
      <c r="D275" t="str">
        <f>VLOOKUP(A275,DataUsuario!B:D,2,FALSE)</f>
        <v>Industrial y de Mantenimiento</v>
      </c>
      <c r="E275" t="str">
        <f>VLOOKUP(A275,DataUsuario!B:D,3,FALSE)</f>
        <v>Electricidad</v>
      </c>
      <c r="F275" t="s">
        <v>74</v>
      </c>
    </row>
    <row r="276" spans="1:6" x14ac:dyDescent="0.3">
      <c r="A276" s="156" t="s">
        <v>299</v>
      </c>
      <c r="B276" t="s">
        <v>16</v>
      </c>
      <c r="C276" s="159">
        <v>4</v>
      </c>
      <c r="D276" t="str">
        <f>VLOOKUP(A276,DataUsuario!B:D,2,FALSE)</f>
        <v>Administración y Finanzas</v>
      </c>
      <c r="E276" t="str">
        <f>VLOOKUP(A276,DataUsuario!B:D,3,FALSE)</f>
        <v>Legal</v>
      </c>
      <c r="F276" t="s">
        <v>66</v>
      </c>
    </row>
    <row r="277" spans="1:6" x14ac:dyDescent="0.3">
      <c r="A277" s="157" t="s">
        <v>421</v>
      </c>
      <c r="B277" t="s">
        <v>16</v>
      </c>
      <c r="C277" s="160">
        <v>4</v>
      </c>
      <c r="D277" t="str">
        <f>VLOOKUP(A277,DataUsuario!B:D,2,FALSE)</f>
        <v>Operaciones</v>
      </c>
      <c r="E277" t="str">
        <f>VLOOKUP(A277,DataUsuario!B:D,3,FALSE)</f>
        <v>Cosecha</v>
      </c>
      <c r="F277" t="s">
        <v>70</v>
      </c>
    </row>
    <row r="278" spans="1:6" x14ac:dyDescent="0.3">
      <c r="A278" s="156" t="s">
        <v>258</v>
      </c>
      <c r="B278" t="s">
        <v>16</v>
      </c>
      <c r="C278" s="159">
        <v>4</v>
      </c>
      <c r="D278" t="str">
        <f>VLOOKUP(A278,DataUsuario!B:D,2,FALSE)</f>
        <v>Operaciones</v>
      </c>
      <c r="E278" t="str">
        <f>VLOOKUP(A278,DataUsuario!B:D,3,FALSE)</f>
        <v>Calidad</v>
      </c>
      <c r="F278" t="s">
        <v>70</v>
      </c>
    </row>
    <row r="279" spans="1:6" x14ac:dyDescent="0.3">
      <c r="A279" s="157" t="s">
        <v>152</v>
      </c>
      <c r="B279" t="s">
        <v>16</v>
      </c>
      <c r="C279" s="160">
        <v>5</v>
      </c>
      <c r="D279" t="str">
        <f>VLOOKUP(A279,DataUsuario!B:D,2,FALSE)</f>
        <v>Operaciones</v>
      </c>
      <c r="E279" t="str">
        <f>VLOOKUP(A279,DataUsuario!B:D,3,FALSE)</f>
        <v>Almacenes y Distribución PT</v>
      </c>
      <c r="F279" t="s">
        <v>70</v>
      </c>
    </row>
    <row r="280" spans="1:6" x14ac:dyDescent="0.3">
      <c r="A280" s="156" t="s">
        <v>77</v>
      </c>
      <c r="B280" t="s">
        <v>16</v>
      </c>
      <c r="C280" s="159">
        <v>5</v>
      </c>
      <c r="D280" t="str">
        <f>VLOOKUP(A280,DataUsuario!B:D,2,FALSE)</f>
        <v>Operaciones</v>
      </c>
      <c r="E280" t="str">
        <f>VLOOKUP(A280,DataUsuario!B:D,3,FALSE)</f>
        <v>Comercial No Giro</v>
      </c>
      <c r="F280" t="s">
        <v>70</v>
      </c>
    </row>
    <row r="281" spans="1:6" x14ac:dyDescent="0.3">
      <c r="A281" s="157" t="s">
        <v>435</v>
      </c>
      <c r="B281" t="s">
        <v>16</v>
      </c>
      <c r="C281" s="160">
        <v>3</v>
      </c>
      <c r="D281" t="str">
        <f>VLOOKUP(A281,DataUsuario!B:D,2,FALSE)</f>
        <v>Operaciones</v>
      </c>
      <c r="E281" t="str">
        <f>VLOOKUP(A281,DataUsuario!B:D,3,FALSE)</f>
        <v>Almacenes y Distribución PT</v>
      </c>
      <c r="F281" t="s">
        <v>70</v>
      </c>
    </row>
    <row r="282" spans="1:6" x14ac:dyDescent="0.3">
      <c r="A282" s="156" t="s">
        <v>405</v>
      </c>
      <c r="B282" t="s">
        <v>16</v>
      </c>
      <c r="C282" s="159" t="s">
        <v>627</v>
      </c>
      <c r="D282" t="str">
        <f>VLOOKUP(A282,DataUsuario!B:D,2,FALSE)</f>
        <v>Administración y Finanzas</v>
      </c>
      <c r="E282" t="str">
        <f>VLOOKUP(A282,DataUsuario!B:D,3,FALSE)</f>
        <v>Finanzas y Tesorería</v>
      </c>
      <c r="F282" t="s">
        <v>66</v>
      </c>
    </row>
    <row r="283" spans="1:6" x14ac:dyDescent="0.3">
      <c r="A283" s="157" t="s">
        <v>593</v>
      </c>
      <c r="B283" t="s">
        <v>16</v>
      </c>
      <c r="C283" s="160">
        <v>4</v>
      </c>
      <c r="D283" t="str">
        <f>VLOOKUP(A283,DataUsuario!B:D,2,FALSE)</f>
        <v>Administración y Finanzas</v>
      </c>
      <c r="E283" t="str">
        <f>VLOOKUP(A283,DataUsuario!B:D,3,FALSE)</f>
        <v>Compras</v>
      </c>
      <c r="F283" t="s">
        <v>66</v>
      </c>
    </row>
    <row r="284" spans="1:6" x14ac:dyDescent="0.3">
      <c r="A284" s="156" t="s">
        <v>341</v>
      </c>
      <c r="B284" t="s">
        <v>16</v>
      </c>
      <c r="C284" s="159">
        <v>5</v>
      </c>
      <c r="D284" t="str">
        <f>VLOOKUP(A284,DataUsuario!B:D,2,FALSE)</f>
        <v>Administración y Finanzas</v>
      </c>
      <c r="E284" t="str">
        <f>VLOOKUP(A284,DataUsuario!B:D,3,FALSE)</f>
        <v>Contabilidad Tributaria</v>
      </c>
      <c r="F284" t="s">
        <v>66</v>
      </c>
    </row>
    <row r="285" spans="1:6" x14ac:dyDescent="0.3">
      <c r="A285" s="157" t="s">
        <v>289</v>
      </c>
      <c r="B285" t="s">
        <v>16</v>
      </c>
      <c r="C285" s="160">
        <v>4</v>
      </c>
      <c r="D285" t="str">
        <f>VLOOKUP(A285,DataUsuario!B:D,2,FALSE)</f>
        <v>Agrícola</v>
      </c>
      <c r="E285" t="str">
        <f>VLOOKUP(A285,DataUsuario!B:D,3,FALSE)</f>
        <v>Mantenimiento de Riego y Bombas</v>
      </c>
      <c r="F285" t="s">
        <v>89</v>
      </c>
    </row>
    <row r="286" spans="1:6" x14ac:dyDescent="0.3">
      <c r="A286" s="156" t="s">
        <v>359</v>
      </c>
      <c r="B286" t="s">
        <v>16</v>
      </c>
      <c r="C286" s="159">
        <v>4</v>
      </c>
      <c r="D286" t="str">
        <f>VLOOKUP(A286,DataUsuario!B:D,2,FALSE)</f>
        <v>Operaciones</v>
      </c>
      <c r="E286" t="str">
        <f>VLOOKUP(A286,DataUsuario!B:D,3,FALSE)</f>
        <v>Gerencia de Operaciones</v>
      </c>
      <c r="F286" t="s">
        <v>70</v>
      </c>
    </row>
    <row r="287" spans="1:6" x14ac:dyDescent="0.3">
      <c r="A287" s="157" t="s">
        <v>145</v>
      </c>
      <c r="B287" t="s">
        <v>16</v>
      </c>
      <c r="C287" s="160" t="s">
        <v>627</v>
      </c>
      <c r="D287" t="str">
        <f>VLOOKUP(A287,DataUsuario!B:D,2,FALSE)</f>
        <v>Administración y Finanzas</v>
      </c>
      <c r="E287" t="str">
        <f>VLOOKUP(A287,DataUsuario!B:D,3,FALSE)</f>
        <v>Legal</v>
      </c>
      <c r="F287" t="s">
        <v>66</v>
      </c>
    </row>
    <row r="288" spans="1:6" x14ac:dyDescent="0.3">
      <c r="A288" s="156" t="s">
        <v>596</v>
      </c>
      <c r="B288" t="s">
        <v>16</v>
      </c>
      <c r="C288" s="159">
        <v>5</v>
      </c>
      <c r="D288" t="str">
        <f>VLOOKUP(A288,DataUsuario!B:D,2,FALSE)</f>
        <v>Gestión Humana y Sostenibilidad</v>
      </c>
      <c r="E288" t="str">
        <f>VLOOKUP(A288,DataUsuario!B:D,3,FALSE)</f>
        <v>Seguridad</v>
      </c>
      <c r="F288" t="s">
        <v>62</v>
      </c>
    </row>
    <row r="289" spans="1:6" x14ac:dyDescent="0.3">
      <c r="A289" s="157" t="s">
        <v>82</v>
      </c>
      <c r="B289" t="s">
        <v>16</v>
      </c>
      <c r="C289" s="160">
        <v>4</v>
      </c>
      <c r="D289" t="str">
        <f>VLOOKUP(A289,DataUsuario!B:D,2,FALSE)</f>
        <v>Industrial y de Mantenimiento</v>
      </c>
      <c r="E289" t="str">
        <f>VLOOKUP(A289,DataUsuario!B:D,3,FALSE)</f>
        <v>Producción</v>
      </c>
      <c r="F289" t="s">
        <v>74</v>
      </c>
    </row>
    <row r="290" spans="1:6" x14ac:dyDescent="0.3">
      <c r="A290" s="156" t="s">
        <v>326</v>
      </c>
      <c r="B290" t="s">
        <v>16</v>
      </c>
      <c r="C290" s="159">
        <v>4</v>
      </c>
      <c r="D290" t="str">
        <f>VLOOKUP(A290,DataUsuario!B:D,2,FALSE)</f>
        <v>Operaciones</v>
      </c>
      <c r="E290" t="str">
        <f>VLOOKUP(A290,DataUsuario!B:D,3,FALSE)</f>
        <v>Calidad</v>
      </c>
      <c r="F290" t="s">
        <v>70</v>
      </c>
    </row>
    <row r="291" spans="1:6" x14ac:dyDescent="0.3">
      <c r="A291" s="157" t="s">
        <v>318</v>
      </c>
      <c r="B291" t="s">
        <v>16</v>
      </c>
      <c r="C291" s="160">
        <v>3</v>
      </c>
      <c r="D291" t="str">
        <f>VLOOKUP(A291,DataUsuario!B:D,2,FALSE)</f>
        <v>Operaciones</v>
      </c>
      <c r="E291" t="str">
        <f>VLOOKUP(A291,DataUsuario!B:D,3,FALSE)</f>
        <v>Cosecha</v>
      </c>
      <c r="F291" t="s">
        <v>70</v>
      </c>
    </row>
    <row r="292" spans="1:6" x14ac:dyDescent="0.3">
      <c r="A292" s="156" t="s">
        <v>391</v>
      </c>
      <c r="B292" t="s">
        <v>16</v>
      </c>
      <c r="C292" s="159">
        <v>5</v>
      </c>
      <c r="D292" t="str">
        <f>VLOOKUP(A292,DataUsuario!B:D,2,FALSE)</f>
        <v>Administración y Finanzas</v>
      </c>
      <c r="E292" t="str">
        <f>VLOOKUP(A292,DataUsuario!B:D,3,FALSE)</f>
        <v>Finanzas y Tesorería</v>
      </c>
      <c r="F292" t="s">
        <v>66</v>
      </c>
    </row>
    <row r="293" spans="1:6" x14ac:dyDescent="0.3">
      <c r="A293" s="157" t="s">
        <v>279</v>
      </c>
      <c r="B293" t="s">
        <v>16</v>
      </c>
      <c r="C293" s="160">
        <v>4</v>
      </c>
      <c r="D293" t="str">
        <f>VLOOKUP(A293,DataUsuario!B:D,2,FALSE)</f>
        <v>Operaciones</v>
      </c>
      <c r="E293" t="str">
        <f>VLOOKUP(A293,DataUsuario!B:D,3,FALSE)</f>
        <v>Transporte</v>
      </c>
      <c r="F293" t="s">
        <v>70</v>
      </c>
    </row>
    <row r="294" spans="1:6" x14ac:dyDescent="0.3">
      <c r="A294" s="156" t="s">
        <v>431</v>
      </c>
      <c r="B294" t="s">
        <v>16</v>
      </c>
      <c r="C294" s="159" t="s">
        <v>627</v>
      </c>
      <c r="D294" t="str">
        <f>VLOOKUP(A294,DataUsuario!B:D,2,FALSE)</f>
        <v>Agrícola</v>
      </c>
      <c r="E294" t="str">
        <f>VLOOKUP(A294,DataUsuario!B:D,3,FALSE)</f>
        <v>Fundo San Vicente</v>
      </c>
      <c r="F294" t="s">
        <v>89</v>
      </c>
    </row>
    <row r="295" spans="1:6" x14ac:dyDescent="0.3">
      <c r="A295" s="157" t="s">
        <v>176</v>
      </c>
      <c r="B295" t="s">
        <v>16</v>
      </c>
      <c r="C295" s="160" t="s">
        <v>627</v>
      </c>
      <c r="D295" t="str">
        <f>VLOOKUP(A295,DataUsuario!B:D,2,FALSE)</f>
        <v>Administración y Finanzas</v>
      </c>
      <c r="E295" t="str">
        <f>VLOOKUP(A295,DataUsuario!B:D,3,FALSE)</f>
        <v>Cadenas Productivas</v>
      </c>
      <c r="F295" t="s">
        <v>66</v>
      </c>
    </row>
    <row r="296" spans="1:6" x14ac:dyDescent="0.3">
      <c r="A296" s="156" t="s">
        <v>221</v>
      </c>
      <c r="B296" t="s">
        <v>16</v>
      </c>
      <c r="C296" s="159">
        <v>5</v>
      </c>
      <c r="D296" t="str">
        <f>VLOOKUP(A296,DataUsuario!B:D,2,FALSE)</f>
        <v>Administración y Finanzas</v>
      </c>
      <c r="E296" t="str">
        <f>VLOOKUP(A296,DataUsuario!B:D,3,FALSE)</f>
        <v>Sistemas y TI</v>
      </c>
      <c r="F296" t="s">
        <v>66</v>
      </c>
    </row>
    <row r="297" spans="1:6" x14ac:dyDescent="0.3">
      <c r="A297" s="157" t="s">
        <v>249</v>
      </c>
      <c r="B297" t="s">
        <v>16</v>
      </c>
      <c r="C297" s="160">
        <v>5</v>
      </c>
      <c r="D297" t="str">
        <f>VLOOKUP(A297,DataUsuario!B:D,2,FALSE)</f>
        <v>Administración y Finanzas</v>
      </c>
      <c r="E297" t="str">
        <f>VLOOKUP(A297,DataUsuario!B:D,3,FALSE)</f>
        <v>Compras</v>
      </c>
      <c r="F297" t="s">
        <v>66</v>
      </c>
    </row>
    <row r="298" spans="1:6" x14ac:dyDescent="0.3">
      <c r="A298" s="156" t="s">
        <v>600</v>
      </c>
      <c r="B298" t="s">
        <v>16</v>
      </c>
      <c r="C298" s="159">
        <v>5</v>
      </c>
      <c r="D298" t="str">
        <f>VLOOKUP(A298,DataUsuario!B:D,2,FALSE)</f>
        <v>Administración y Finanzas</v>
      </c>
      <c r="E298" t="str">
        <f>VLOOKUP(A298,DataUsuario!B:D,3,FALSE)</f>
        <v>Sistemas y TI</v>
      </c>
      <c r="F298" t="s">
        <v>66</v>
      </c>
    </row>
    <row r="299" spans="1:6" x14ac:dyDescent="0.3">
      <c r="A299" s="157" t="s">
        <v>519</v>
      </c>
      <c r="B299" t="s">
        <v>16</v>
      </c>
      <c r="C299" s="160">
        <v>5</v>
      </c>
      <c r="D299" t="str">
        <f>VLOOKUP(A299,DataUsuario!B:D,2,FALSE)</f>
        <v>Administración y Finanzas</v>
      </c>
      <c r="E299" t="str">
        <f>VLOOKUP(A299,DataUsuario!B:D,3,FALSE)</f>
        <v>Contabilidad Tributaria</v>
      </c>
      <c r="F299" t="s">
        <v>66</v>
      </c>
    </row>
    <row r="300" spans="1:6" x14ac:dyDescent="0.3">
      <c r="A300" s="156" t="s">
        <v>439</v>
      </c>
      <c r="B300" t="s">
        <v>16</v>
      </c>
      <c r="C300" s="159" t="s">
        <v>627</v>
      </c>
      <c r="D300" t="str">
        <f>VLOOKUP(A300,DataUsuario!B:D,2,FALSE)</f>
        <v>Operaciones</v>
      </c>
      <c r="E300" t="str">
        <f>VLOOKUP(A300,DataUsuario!B:D,3,FALSE)</f>
        <v>Comercial</v>
      </c>
      <c r="F300" t="s">
        <v>70</v>
      </c>
    </row>
    <row r="301" spans="1:6" x14ac:dyDescent="0.3">
      <c r="A301" s="157" t="s">
        <v>320</v>
      </c>
      <c r="B301" t="s">
        <v>16</v>
      </c>
      <c r="C301" s="160">
        <v>5</v>
      </c>
      <c r="D301" t="str">
        <f>VLOOKUP(A301,DataUsuario!B:D,2,FALSE)</f>
        <v>Gestión Humana y Sostenibilidad</v>
      </c>
      <c r="E301" t="str">
        <f>VLOOKUP(A301,DataUsuario!B:D,3,FALSE)</f>
        <v>Sostenibilidad</v>
      </c>
      <c r="F301" t="s">
        <v>62</v>
      </c>
    </row>
    <row r="302" spans="1:6" x14ac:dyDescent="0.3">
      <c r="A302" s="156" t="s">
        <v>80</v>
      </c>
      <c r="B302" t="s">
        <v>16</v>
      </c>
      <c r="C302" s="159" t="s">
        <v>627</v>
      </c>
      <c r="D302" t="str">
        <f>VLOOKUP(A302,DataUsuario!B:D,2,FALSE)</f>
        <v>Administración y Finanzas</v>
      </c>
      <c r="E302" t="str">
        <f>VLOOKUP(A302,DataUsuario!B:D,3,FALSE)</f>
        <v>Compras</v>
      </c>
      <c r="F302" t="s">
        <v>66</v>
      </c>
    </row>
    <row r="303" spans="1:6" x14ac:dyDescent="0.3">
      <c r="A303" s="157" t="s">
        <v>301</v>
      </c>
      <c r="B303" t="s">
        <v>16</v>
      </c>
      <c r="C303" s="160">
        <v>5</v>
      </c>
      <c r="D303" t="str">
        <f>VLOOKUP(A303,DataUsuario!B:D,2,FALSE)</f>
        <v>Administración y Finanzas</v>
      </c>
      <c r="E303" t="str">
        <f>VLOOKUP(A303,DataUsuario!B:D,3,FALSE)</f>
        <v>Contabilidad Tributaria</v>
      </c>
      <c r="F303" t="s">
        <v>66</v>
      </c>
    </row>
    <row r="304" spans="1:6" x14ac:dyDescent="0.3">
      <c r="A304" s="156" t="s">
        <v>343</v>
      </c>
      <c r="B304" t="s">
        <v>16</v>
      </c>
      <c r="C304" s="159">
        <v>5</v>
      </c>
      <c r="D304" t="str">
        <f>VLOOKUP(A304,DataUsuario!B:D,2,FALSE)</f>
        <v>Operaciones</v>
      </c>
      <c r="E304" t="str">
        <f>VLOOKUP(A304,DataUsuario!B:D,3,FALSE)</f>
        <v>Comercial No Giro</v>
      </c>
      <c r="F304" t="s">
        <v>70</v>
      </c>
    </row>
    <row r="305" spans="1:6" x14ac:dyDescent="0.3">
      <c r="A305" s="157" t="s">
        <v>236</v>
      </c>
      <c r="B305" t="s">
        <v>16</v>
      </c>
      <c r="C305" s="160">
        <v>4</v>
      </c>
      <c r="D305" t="str">
        <f>VLOOKUP(A305,DataUsuario!B:D,2,FALSE)</f>
        <v>Administración y Finanzas</v>
      </c>
      <c r="E305" t="str">
        <f>VLOOKUP(A305,DataUsuario!B:D,3,FALSE)</f>
        <v>Sistemas y TI</v>
      </c>
      <c r="F305" t="s">
        <v>66</v>
      </c>
    </row>
    <row r="306" spans="1:6" x14ac:dyDescent="0.3">
      <c r="A306" s="156" t="s">
        <v>205</v>
      </c>
      <c r="B306" t="s">
        <v>16</v>
      </c>
      <c r="C306" s="159">
        <v>4</v>
      </c>
      <c r="D306" t="str">
        <f>VLOOKUP(A306,DataUsuario!B:D,2,FALSE)</f>
        <v>Operaciones</v>
      </c>
      <c r="E306" t="str">
        <f>VLOOKUP(A306,DataUsuario!B:D,3,FALSE)</f>
        <v>Almacenes y Distribución PT</v>
      </c>
      <c r="F306" t="s">
        <v>70</v>
      </c>
    </row>
    <row r="307" spans="1:6" x14ac:dyDescent="0.3">
      <c r="A307" s="157" t="s">
        <v>136</v>
      </c>
      <c r="B307" t="s">
        <v>16</v>
      </c>
      <c r="C307" s="160">
        <v>4</v>
      </c>
      <c r="D307" t="str">
        <f>VLOOKUP(A307,DataUsuario!B:D,2,FALSE)</f>
        <v>Operaciones</v>
      </c>
      <c r="E307" t="str">
        <f>VLOOKUP(A307,DataUsuario!B:D,3,FALSE)</f>
        <v>Comercial</v>
      </c>
      <c r="F307" t="s">
        <v>70</v>
      </c>
    </row>
    <row r="308" spans="1:6" x14ac:dyDescent="0.3">
      <c r="A308" s="156" t="s">
        <v>602</v>
      </c>
      <c r="B308" t="s">
        <v>16</v>
      </c>
      <c r="C308" s="159">
        <v>5</v>
      </c>
      <c r="D308" t="str">
        <f>VLOOKUP(A308,DataUsuario!B:D,2,FALSE)</f>
        <v>Administración y Finanzas</v>
      </c>
      <c r="E308" t="str">
        <f>VLOOKUP(A308,DataUsuario!B:D,3,FALSE)</f>
        <v>Sistemas y TI</v>
      </c>
      <c r="F308" t="s">
        <v>66</v>
      </c>
    </row>
    <row r="309" spans="1:6" x14ac:dyDescent="0.3">
      <c r="A309" s="157" t="s">
        <v>181</v>
      </c>
      <c r="B309" t="s">
        <v>16</v>
      </c>
      <c r="C309" s="160">
        <v>4</v>
      </c>
      <c r="D309" t="str">
        <f>VLOOKUP(A309,DataUsuario!B:D,2,FALSE)</f>
        <v>Gestión Humana y Sostenibilidad</v>
      </c>
      <c r="E309" t="str">
        <f>VLOOKUP(A309,DataUsuario!B:D,3,FALSE)</f>
        <v>Compensación y Nóminas</v>
      </c>
      <c r="F309" t="s">
        <v>62</v>
      </c>
    </row>
    <row r="310" spans="1:6" x14ac:dyDescent="0.3">
      <c r="A310" s="156" t="s">
        <v>275</v>
      </c>
      <c r="B310" t="s">
        <v>16</v>
      </c>
      <c r="C310" s="159" t="s">
        <v>627</v>
      </c>
      <c r="D310" t="str">
        <f>VLOOKUP(A310,DataUsuario!B:D,2,FALSE)</f>
        <v>Administración y Finanzas</v>
      </c>
      <c r="E310" t="str">
        <f>VLOOKUP(A310,DataUsuario!B:D,3,FALSE)</f>
        <v>Compras</v>
      </c>
      <c r="F310" t="s">
        <v>66</v>
      </c>
    </row>
    <row r="311" spans="1:6" x14ac:dyDescent="0.3">
      <c r="A311" s="157" t="s">
        <v>61</v>
      </c>
      <c r="B311" t="s">
        <v>16</v>
      </c>
      <c r="C311" s="160">
        <v>4</v>
      </c>
      <c r="D311" t="str">
        <f>VLOOKUP(A311,DataUsuario!B:D,2,FALSE)</f>
        <v>Gestión Humana y Sostenibilidad</v>
      </c>
      <c r="E311" t="str">
        <f>VLOOKUP(A311,DataUsuario!B:D,3,FALSE)</f>
        <v>Compensación y Nóminas</v>
      </c>
      <c r="F311" t="s">
        <v>62</v>
      </c>
    </row>
    <row r="312" spans="1:6" x14ac:dyDescent="0.3">
      <c r="A312" s="156" t="s">
        <v>374</v>
      </c>
      <c r="B312" t="s">
        <v>16</v>
      </c>
      <c r="C312" s="159">
        <v>4</v>
      </c>
      <c r="D312" t="str">
        <f>VLOOKUP(A312,DataUsuario!B:D,2,FALSE)</f>
        <v>Agrícola</v>
      </c>
      <c r="E312" t="str">
        <f>VLOOKUP(A312,DataUsuario!B:D,3,FALSE)</f>
        <v>Mantenimiento de Riego y Bombas</v>
      </c>
      <c r="F312" t="s">
        <v>89</v>
      </c>
    </row>
    <row r="313" spans="1:6" x14ac:dyDescent="0.3">
      <c r="A313" s="157" t="s">
        <v>605</v>
      </c>
      <c r="B313" t="s">
        <v>16</v>
      </c>
      <c r="C313" s="160">
        <v>4</v>
      </c>
      <c r="D313" t="str">
        <f>VLOOKUP(A313,DataUsuario!B:D,2,FALSE)</f>
        <v>Administración y Finanzas</v>
      </c>
      <c r="E313" t="str">
        <f>VLOOKUP(A313,DataUsuario!B:D,3,FALSE)</f>
        <v>Control de Gestión</v>
      </c>
      <c r="F313" t="s">
        <v>66</v>
      </c>
    </row>
    <row r="314" spans="1:6" x14ac:dyDescent="0.3">
      <c r="A314" s="156" t="s">
        <v>92</v>
      </c>
      <c r="B314" t="s">
        <v>16</v>
      </c>
      <c r="C314" s="159">
        <v>4</v>
      </c>
      <c r="D314" t="str">
        <f>VLOOKUP(A314,DataUsuario!B:D,2,FALSE)</f>
        <v>Administración y Finanzas</v>
      </c>
      <c r="E314" t="str">
        <f>VLOOKUP(A314,DataUsuario!B:D,3,FALSE)</f>
        <v>Control de Gestión</v>
      </c>
      <c r="F314" t="s">
        <v>66</v>
      </c>
    </row>
    <row r="315" spans="1:6" x14ac:dyDescent="0.3">
      <c r="A315" s="157" t="s">
        <v>217</v>
      </c>
      <c r="B315" t="s">
        <v>16</v>
      </c>
      <c r="C315" s="160">
        <v>4</v>
      </c>
      <c r="D315" t="str">
        <f>VLOOKUP(A315,DataUsuario!B:D,2,FALSE)</f>
        <v>Agrícola</v>
      </c>
      <c r="E315" t="str">
        <f>VLOOKUP(A315,DataUsuario!B:D,3,FALSE)</f>
        <v>Mantenimiento de Riego y Bombas</v>
      </c>
      <c r="F315" t="s">
        <v>89</v>
      </c>
    </row>
    <row r="316" spans="1:6" x14ac:dyDescent="0.3">
      <c r="A316" s="156" t="s">
        <v>606</v>
      </c>
      <c r="B316" t="s">
        <v>16</v>
      </c>
      <c r="C316" s="159">
        <v>4</v>
      </c>
      <c r="D316" t="str">
        <f>VLOOKUP(A316,DataUsuario!B:D,2,FALSE)</f>
        <v>Administración y Finanzas</v>
      </c>
      <c r="E316" t="str">
        <f>VLOOKUP(A316,DataUsuario!B:D,3,FALSE)</f>
        <v>Sistemas y TI</v>
      </c>
      <c r="F316" t="s">
        <v>66</v>
      </c>
    </row>
    <row r="317" spans="1:6" x14ac:dyDescent="0.3">
      <c r="A317" s="157" t="s">
        <v>210</v>
      </c>
      <c r="B317" t="s">
        <v>16</v>
      </c>
      <c r="C317" s="160">
        <v>4</v>
      </c>
      <c r="D317" t="str">
        <f>VLOOKUP(A317,DataUsuario!B:D,2,FALSE)</f>
        <v>Industrial y de Mantenimiento</v>
      </c>
      <c r="E317" t="str">
        <f>VLOOKUP(A317,DataUsuario!B:D,3,FALSE)</f>
        <v>Planta y Srv Industriales</v>
      </c>
      <c r="F317" t="s">
        <v>74</v>
      </c>
    </row>
    <row r="318" spans="1:6" x14ac:dyDescent="0.3">
      <c r="A318" s="156" t="s">
        <v>254</v>
      </c>
      <c r="B318" t="s">
        <v>16</v>
      </c>
      <c r="C318" s="159">
        <v>4</v>
      </c>
      <c r="D318" t="str">
        <f>VLOOKUP(A318,DataUsuario!B:D,2,FALSE)</f>
        <v>Administración y Finanzas</v>
      </c>
      <c r="E318" t="str">
        <f>VLOOKUP(A318,DataUsuario!B:D,3,FALSE)</f>
        <v>Administración</v>
      </c>
      <c r="F318" t="s">
        <v>66</v>
      </c>
    </row>
    <row r="319" spans="1:6" x14ac:dyDescent="0.3">
      <c r="A319" s="157" t="s">
        <v>403</v>
      </c>
      <c r="B319" t="s">
        <v>16</v>
      </c>
      <c r="C319" s="160">
        <v>4</v>
      </c>
      <c r="D319" t="str">
        <f>VLOOKUP(A319,DataUsuario!B:D,2,FALSE)</f>
        <v>Administración y Finanzas</v>
      </c>
      <c r="E319" t="str">
        <f>VLOOKUP(A319,DataUsuario!B:D,3,FALSE)</f>
        <v>Control de Gestión</v>
      </c>
      <c r="F319" t="s">
        <v>66</v>
      </c>
    </row>
    <row r="320" spans="1:6" x14ac:dyDescent="0.3">
      <c r="A320" s="156" t="s">
        <v>170</v>
      </c>
      <c r="B320" t="s">
        <v>16</v>
      </c>
      <c r="C320" s="159">
        <v>5</v>
      </c>
      <c r="D320" t="str">
        <f>VLOOKUP(A320,DataUsuario!B:D,2,FALSE)</f>
        <v>Operaciones</v>
      </c>
      <c r="E320" t="str">
        <f>VLOOKUP(A320,DataUsuario!B:D,3,FALSE)</f>
        <v>Mantenimiento CAT</v>
      </c>
      <c r="F320" t="s">
        <v>70</v>
      </c>
    </row>
    <row r="321" spans="1:6" x14ac:dyDescent="0.3">
      <c r="A321" s="157" t="s">
        <v>88</v>
      </c>
      <c r="B321" t="s">
        <v>16</v>
      </c>
      <c r="C321" s="160">
        <v>5</v>
      </c>
      <c r="D321" t="str">
        <f>VLOOKUP(A321,DataUsuario!B:D,2,FALSE)</f>
        <v>Agrícola</v>
      </c>
      <c r="E321" t="str">
        <f>VLOOKUP(A321,DataUsuario!B:D,3,FALSE)</f>
        <v>Fundo Lobo</v>
      </c>
      <c r="F321" t="s">
        <v>89</v>
      </c>
    </row>
    <row r="322" spans="1:6" x14ac:dyDescent="0.3">
      <c r="A322" s="156" t="s">
        <v>242</v>
      </c>
      <c r="B322" t="s">
        <v>16</v>
      </c>
      <c r="C322" s="159">
        <v>4</v>
      </c>
      <c r="D322" t="str">
        <f>VLOOKUP(A322,DataUsuario!B:D,2,FALSE)</f>
        <v>Agrícola</v>
      </c>
      <c r="E322" t="str">
        <f>VLOOKUP(A322,DataUsuario!B:D,3,FALSE)</f>
        <v>Fundo Montelima</v>
      </c>
      <c r="F322" t="s">
        <v>89</v>
      </c>
    </row>
    <row r="323" spans="1:6" x14ac:dyDescent="0.3">
      <c r="A323" s="157" t="s">
        <v>65</v>
      </c>
      <c r="B323" t="s">
        <v>16</v>
      </c>
      <c r="C323" s="160">
        <v>5</v>
      </c>
      <c r="D323" t="str">
        <f>VLOOKUP(A323,DataUsuario!B:D,2,FALSE)</f>
        <v>Administración y Finanzas</v>
      </c>
      <c r="E323" t="str">
        <f>VLOOKUP(A323,DataUsuario!B:D,3,FALSE)</f>
        <v>Finanzas y Tesorería</v>
      </c>
      <c r="F323" t="s">
        <v>66</v>
      </c>
    </row>
    <row r="324" spans="1:6" x14ac:dyDescent="0.3">
      <c r="A324" s="156" t="s">
        <v>609</v>
      </c>
      <c r="B324" t="s">
        <v>16</v>
      </c>
      <c r="C324" s="159">
        <v>4</v>
      </c>
      <c r="D324" t="str">
        <f>VLOOKUP(A324,DataUsuario!B:D,2,FALSE)</f>
        <v>Administración y Finanzas</v>
      </c>
      <c r="E324" t="str">
        <f>VLOOKUP(A324,DataUsuario!B:D,3,FALSE)</f>
        <v>Compras</v>
      </c>
      <c r="F324" t="s">
        <v>66</v>
      </c>
    </row>
    <row r="325" spans="1:6" x14ac:dyDescent="0.3">
      <c r="A325" s="157" t="s">
        <v>85</v>
      </c>
      <c r="B325" t="s">
        <v>16</v>
      </c>
      <c r="C325" s="160">
        <v>5</v>
      </c>
      <c r="D325" t="str">
        <f>VLOOKUP(A325,DataUsuario!B:D,2,FALSE)</f>
        <v>Operaciones</v>
      </c>
      <c r="E325" t="str">
        <f>VLOOKUP(A325,DataUsuario!B:D,3,FALSE)</f>
        <v>Comercial</v>
      </c>
      <c r="F325" t="s">
        <v>70</v>
      </c>
    </row>
    <row r="326" spans="1:6" x14ac:dyDescent="0.3">
      <c r="A326" s="156" t="s">
        <v>256</v>
      </c>
      <c r="B326" t="s">
        <v>16</v>
      </c>
      <c r="C326" s="159">
        <v>4</v>
      </c>
      <c r="D326" t="str">
        <f>VLOOKUP(A326,DataUsuario!B:D,2,FALSE)</f>
        <v>Agrícola</v>
      </c>
      <c r="E326" t="str">
        <f>VLOOKUP(A326,DataUsuario!B:D,3,FALSE)</f>
        <v>Fundo Montelima</v>
      </c>
      <c r="F326" t="s">
        <v>89</v>
      </c>
    </row>
    <row r="327" spans="1:6" x14ac:dyDescent="0.3">
      <c r="A327" s="157" t="s">
        <v>611</v>
      </c>
      <c r="B327" t="s">
        <v>16</v>
      </c>
      <c r="C327" s="160">
        <v>4</v>
      </c>
      <c r="D327" t="str">
        <f>VLOOKUP(A327,DataUsuario!B:D,2,FALSE)</f>
        <v>Operaciones</v>
      </c>
      <c r="E327" t="str">
        <f>VLOOKUP(A327,DataUsuario!B:D,3,FALSE)</f>
        <v>Almacenes y Distribución PT</v>
      </c>
      <c r="F327" t="s">
        <v>70</v>
      </c>
    </row>
    <row r="328" spans="1:6" x14ac:dyDescent="0.3">
      <c r="A328" s="156" t="s">
        <v>267</v>
      </c>
      <c r="B328" t="s">
        <v>16</v>
      </c>
      <c r="C328" s="159">
        <v>5</v>
      </c>
      <c r="D328" t="str">
        <f>VLOOKUP(A328,DataUsuario!B:D,2,FALSE)</f>
        <v>Gestión Humana y Sostenibilidad</v>
      </c>
      <c r="E328" t="str">
        <f>VLOOKUP(A328,DataUsuario!B:D,3,FALSE)</f>
        <v>Sostenibilidad</v>
      </c>
      <c r="F328" t="s">
        <v>62</v>
      </c>
    </row>
    <row r="329" spans="1:6" x14ac:dyDescent="0.3">
      <c r="A329" s="157" t="s">
        <v>614</v>
      </c>
      <c r="B329" t="s">
        <v>16</v>
      </c>
      <c r="C329" s="160">
        <v>4</v>
      </c>
      <c r="D329" t="str">
        <f>VLOOKUP(A329,DataUsuario!B:D,2,FALSE)</f>
        <v>Operaciones</v>
      </c>
      <c r="E329" t="str">
        <f>VLOOKUP(A329,DataUsuario!B:D,3,FALSE)</f>
        <v>Transporte</v>
      </c>
      <c r="F329" t="s">
        <v>70</v>
      </c>
    </row>
    <row r="330" spans="1:6" x14ac:dyDescent="0.3">
      <c r="A330" s="156" t="s">
        <v>415</v>
      </c>
      <c r="B330" t="s">
        <v>16</v>
      </c>
      <c r="C330" s="159">
        <v>5</v>
      </c>
      <c r="D330" t="str">
        <f>VLOOKUP(A330,DataUsuario!B:D,2,FALSE)</f>
        <v>Administración y Finanzas</v>
      </c>
      <c r="E330" t="str">
        <f>VLOOKUP(A330,DataUsuario!B:D,3,FALSE)</f>
        <v>Administración</v>
      </c>
      <c r="F330" t="s">
        <v>66</v>
      </c>
    </row>
    <row r="331" spans="1:6" x14ac:dyDescent="0.3">
      <c r="A331" s="157" t="s">
        <v>200</v>
      </c>
      <c r="B331" t="s">
        <v>16</v>
      </c>
      <c r="C331" s="160" t="s">
        <v>627</v>
      </c>
      <c r="D331" t="str">
        <f>VLOOKUP(A331,DataUsuario!B:D,2,FALSE)</f>
        <v>Industrial y de Mantenimiento</v>
      </c>
      <c r="E331" t="str">
        <f>VLOOKUP(A331,DataUsuario!B:D,3,FALSE)</f>
        <v>Electricidad</v>
      </c>
      <c r="F331" t="s">
        <v>74</v>
      </c>
    </row>
    <row r="332" spans="1:6" x14ac:dyDescent="0.3">
      <c r="A332" s="156" t="s">
        <v>198</v>
      </c>
      <c r="B332" t="s">
        <v>16</v>
      </c>
      <c r="C332" s="159">
        <v>5</v>
      </c>
      <c r="D332" t="str">
        <f>VLOOKUP(A332,DataUsuario!B:D,2,FALSE)</f>
        <v>Agrícola</v>
      </c>
      <c r="E332" t="str">
        <f>VLOOKUP(A332,DataUsuario!B:D,3,FALSE)</f>
        <v>Fundo Lobo</v>
      </c>
      <c r="F332" t="s">
        <v>89</v>
      </c>
    </row>
    <row r="333" spans="1:6" x14ac:dyDescent="0.3">
      <c r="A333" s="157" t="s">
        <v>350</v>
      </c>
      <c r="B333" t="s">
        <v>16</v>
      </c>
      <c r="C333" s="160">
        <v>4</v>
      </c>
      <c r="D333" t="str">
        <f>VLOOKUP(A333,DataUsuario!B:D,2,FALSE)</f>
        <v>Agrícola</v>
      </c>
      <c r="E333" t="str">
        <f>VLOOKUP(A333,DataUsuario!B:D,3,FALSE)</f>
        <v>Planificador Agrícola</v>
      </c>
      <c r="F333" t="s">
        <v>89</v>
      </c>
    </row>
    <row r="334" spans="1:6" x14ac:dyDescent="0.3">
      <c r="A334" s="156" t="s">
        <v>345</v>
      </c>
      <c r="B334" t="s">
        <v>16</v>
      </c>
      <c r="C334" s="159">
        <v>4</v>
      </c>
      <c r="D334" t="str">
        <f>VLOOKUP(A334,DataUsuario!B:D,2,FALSE)</f>
        <v>Agrícola</v>
      </c>
      <c r="E334" t="str">
        <f>VLOOKUP(A334,DataUsuario!B:D,3,FALSE)</f>
        <v>Mantenimiento de Riego y Bombas</v>
      </c>
      <c r="F334" t="s">
        <v>89</v>
      </c>
    </row>
    <row r="335" spans="1:6" x14ac:dyDescent="0.3">
      <c r="A335" s="157" t="s">
        <v>314</v>
      </c>
      <c r="B335" t="s">
        <v>16</v>
      </c>
      <c r="C335" s="160">
        <v>4</v>
      </c>
      <c r="D335" t="str">
        <f>VLOOKUP(A335,DataUsuario!B:D,2,FALSE)</f>
        <v>Industrial y de Mantenimiento</v>
      </c>
      <c r="E335" t="str">
        <f>VLOOKUP(A335,DataUsuario!B:D,3,FALSE)</f>
        <v>Mantenimiento Industrial</v>
      </c>
      <c r="F335" t="s">
        <v>74</v>
      </c>
    </row>
    <row r="336" spans="1:6" x14ac:dyDescent="0.3">
      <c r="A336" s="156" t="s">
        <v>150</v>
      </c>
      <c r="B336" t="s">
        <v>16</v>
      </c>
      <c r="C336" s="159" t="s">
        <v>627</v>
      </c>
      <c r="D336" t="str">
        <f>VLOOKUP(A336,DataUsuario!B:D,2,FALSE)</f>
        <v>Industrial y de Mantenimiento</v>
      </c>
      <c r="E336" t="str">
        <f>VLOOKUP(A336,DataUsuario!B:D,3,FALSE)</f>
        <v>Producción</v>
      </c>
      <c r="F336" t="s">
        <v>74</v>
      </c>
    </row>
    <row r="337" spans="1:6" x14ac:dyDescent="0.3">
      <c r="A337" s="157" t="s">
        <v>271</v>
      </c>
      <c r="B337" t="s">
        <v>16</v>
      </c>
      <c r="C337" s="160">
        <v>4</v>
      </c>
      <c r="D337" t="str">
        <f>VLOOKUP(A337,DataUsuario!B:D,2,FALSE)</f>
        <v>Operaciones</v>
      </c>
      <c r="E337" t="str">
        <f>VLOOKUP(A337,DataUsuario!B:D,3,FALSE)</f>
        <v>Calidad</v>
      </c>
      <c r="F337" t="s">
        <v>70</v>
      </c>
    </row>
    <row r="338" spans="1:6" x14ac:dyDescent="0.3">
      <c r="A338" s="156" t="s">
        <v>156</v>
      </c>
      <c r="B338" t="s">
        <v>16</v>
      </c>
      <c r="C338" s="159" t="s">
        <v>627</v>
      </c>
      <c r="D338" t="str">
        <f>VLOOKUP(A338,DataUsuario!B:D,2,FALSE)</f>
        <v>Administración y Finanzas</v>
      </c>
      <c r="E338" t="str">
        <f>VLOOKUP(A338,DataUsuario!B:D,3,FALSE)</f>
        <v>Compras</v>
      </c>
      <c r="F338" t="s">
        <v>66</v>
      </c>
    </row>
    <row r="339" spans="1:6" x14ac:dyDescent="0.3">
      <c r="A339" s="157" t="s">
        <v>369</v>
      </c>
      <c r="B339" t="s">
        <v>16</v>
      </c>
      <c r="C339" s="160">
        <v>4</v>
      </c>
      <c r="D339" t="str">
        <f>VLOOKUP(A339,DataUsuario!B:D,2,FALSE)</f>
        <v>Agrícola</v>
      </c>
      <c r="E339" t="str">
        <f>VLOOKUP(A339,DataUsuario!B:D,3,FALSE)</f>
        <v>Sistema Integral de Gestión</v>
      </c>
      <c r="F339" t="s">
        <v>89</v>
      </c>
    </row>
    <row r="340" spans="1:6" x14ac:dyDescent="0.3">
      <c r="A340" s="156" t="s">
        <v>224</v>
      </c>
      <c r="B340" t="s">
        <v>16</v>
      </c>
      <c r="C340" s="159">
        <v>4</v>
      </c>
      <c r="D340" t="str">
        <f>VLOOKUP(A340,DataUsuario!B:D,2,FALSE)</f>
        <v>Agrícola</v>
      </c>
      <c r="E340" t="str">
        <f>VLOOKUP(A340,DataUsuario!B:D,3,FALSE)</f>
        <v>Laboratorio e Investigación Agricola</v>
      </c>
      <c r="F340" t="s">
        <v>89</v>
      </c>
    </row>
    <row r="341" spans="1:6" x14ac:dyDescent="0.3">
      <c r="A341" s="174" t="s">
        <v>618</v>
      </c>
      <c r="B341" t="s">
        <v>16</v>
      </c>
      <c r="C341" s="160">
        <v>5</v>
      </c>
      <c r="D341" t="str">
        <f>VLOOKUP(A341,DataUsuario!B:D,2,FALSE)</f>
        <v>Operaciones</v>
      </c>
      <c r="E341" t="str">
        <f>VLOOKUP(A341,DataUsuario!B:D,3,FALSE)</f>
        <v>Comercial</v>
      </c>
      <c r="F341" t="s">
        <v>70</v>
      </c>
    </row>
    <row r="342" spans="1:6" x14ac:dyDescent="0.3">
      <c r="A342" s="156" t="s">
        <v>397</v>
      </c>
      <c r="B342" t="s">
        <v>16</v>
      </c>
      <c r="C342" s="159">
        <v>4</v>
      </c>
      <c r="D342" t="str">
        <f>VLOOKUP(A342,DataUsuario!B:D,2,FALSE)</f>
        <v>Administración y Finanzas</v>
      </c>
      <c r="E342" t="str">
        <f>VLOOKUP(A342,DataUsuario!B:D,3,FALSE)</f>
        <v>Control de Gestión</v>
      </c>
      <c r="F342" t="s">
        <v>66</v>
      </c>
    </row>
    <row r="343" spans="1:6" x14ac:dyDescent="0.3">
      <c r="A343" s="157" t="s">
        <v>619</v>
      </c>
      <c r="B343" t="s">
        <v>16</v>
      </c>
      <c r="C343" s="160" t="s">
        <v>627</v>
      </c>
      <c r="D343" t="str">
        <f>VLOOKUP(A343,DataUsuario!B:D,2,FALSE)</f>
        <v>Gestión Humana y Sostenibilidad</v>
      </c>
      <c r="E343" t="str">
        <f>VLOOKUP(A343,DataUsuario!B:D,3,FALSE)</f>
        <v>Bienestar - Medico Ocupacional</v>
      </c>
      <c r="F343" t="s">
        <v>62</v>
      </c>
    </row>
    <row r="344" spans="1:6" x14ac:dyDescent="0.3">
      <c r="A344" s="156" t="s">
        <v>215</v>
      </c>
      <c r="B344" t="s">
        <v>16</v>
      </c>
      <c r="C344" s="159">
        <v>5</v>
      </c>
      <c r="D344" t="str">
        <f>VLOOKUP(A344,DataUsuario!B:D,2,FALSE)</f>
        <v>Gestión Humana y Sostenibilidad</v>
      </c>
      <c r="E344" t="str">
        <f>VLOOKUP(A344,DataUsuario!B:D,3,FALSE)</f>
        <v>Seguridad</v>
      </c>
      <c r="F344" t="s">
        <v>62</v>
      </c>
    </row>
    <row r="345" spans="1:6" x14ac:dyDescent="0.3">
      <c r="A345" s="157" t="s">
        <v>307</v>
      </c>
      <c r="B345" t="s">
        <v>16</v>
      </c>
      <c r="C345" s="160" t="s">
        <v>627</v>
      </c>
      <c r="D345" t="str">
        <f>VLOOKUP(A345,DataUsuario!B:D,2,FALSE)</f>
        <v>Gestión Humana y Sostenibilidad</v>
      </c>
      <c r="E345" t="str">
        <f>VLOOKUP(A345,DataUsuario!B:D,3,FALSE)</f>
        <v>Comunicaciones y Responsabilidad Social</v>
      </c>
      <c r="F345" t="s">
        <v>62</v>
      </c>
    </row>
    <row r="346" spans="1:6" x14ac:dyDescent="0.3">
      <c r="A346" s="156" t="s">
        <v>285</v>
      </c>
      <c r="B346" t="s">
        <v>16</v>
      </c>
      <c r="C346" s="159" t="s">
        <v>627</v>
      </c>
      <c r="D346" t="str">
        <f>VLOOKUP(A346,DataUsuario!B:D,2,FALSE)</f>
        <v>Operaciones</v>
      </c>
      <c r="E346" t="str">
        <f>VLOOKUP(A346,DataUsuario!B:D,3,FALSE)</f>
        <v>Comercial</v>
      </c>
      <c r="F346" t="s">
        <v>70</v>
      </c>
    </row>
    <row r="347" spans="1:6" x14ac:dyDescent="0.3">
      <c r="A347" s="157" t="s">
        <v>316</v>
      </c>
      <c r="B347" t="s">
        <v>16</v>
      </c>
      <c r="C347" s="160">
        <v>4</v>
      </c>
      <c r="D347" t="str">
        <f>VLOOKUP(A347,DataUsuario!B:D,2,FALSE)</f>
        <v>Administración y Finanzas</v>
      </c>
      <c r="E347" t="str">
        <f>VLOOKUP(A347,DataUsuario!B:D,3,FALSE)</f>
        <v>Compras</v>
      </c>
      <c r="F347" t="s">
        <v>66</v>
      </c>
    </row>
    <row r="348" spans="1:6" x14ac:dyDescent="0.3">
      <c r="A348" s="156" t="s">
        <v>372</v>
      </c>
      <c r="B348" t="s">
        <v>16</v>
      </c>
      <c r="C348" s="159" t="s">
        <v>627</v>
      </c>
      <c r="D348" t="str">
        <f>VLOOKUP(A348,DataUsuario!B:D,2,FALSE)</f>
        <v>Agrícola</v>
      </c>
      <c r="E348" t="str">
        <f>VLOOKUP(A348,DataUsuario!B:D,3,FALSE)</f>
        <v>Laboratorio e Investigación Agricola</v>
      </c>
      <c r="F348" t="s">
        <v>89</v>
      </c>
    </row>
    <row r="349" spans="1:6" x14ac:dyDescent="0.3">
      <c r="A349" s="157" t="s">
        <v>328</v>
      </c>
      <c r="B349" t="s">
        <v>16</v>
      </c>
      <c r="C349" s="160">
        <v>5</v>
      </c>
      <c r="D349" t="str">
        <f>VLOOKUP(A349,DataUsuario!B:D,2,FALSE)</f>
        <v>Administración y Finanzas</v>
      </c>
      <c r="E349" t="str">
        <f>VLOOKUP(A349,DataUsuario!B:D,3,FALSE)</f>
        <v>Administración</v>
      </c>
      <c r="F349" t="s">
        <v>66</v>
      </c>
    </row>
    <row r="350" spans="1:6" x14ac:dyDescent="0.3">
      <c r="A350" s="156" t="s">
        <v>376</v>
      </c>
      <c r="B350" t="s">
        <v>16</v>
      </c>
      <c r="C350" s="159">
        <v>5</v>
      </c>
      <c r="D350" t="str">
        <f>VLOOKUP(A350,DataUsuario!B:D,2,FALSE)</f>
        <v>Administración y Finanzas</v>
      </c>
      <c r="E350" t="str">
        <f>VLOOKUP(A350,DataUsuario!B:D,3,FALSE)</f>
        <v>Control de Gestión</v>
      </c>
      <c r="F350" t="s">
        <v>66</v>
      </c>
    </row>
    <row r="351" spans="1:6" x14ac:dyDescent="0.3">
      <c r="A351" s="157" t="s">
        <v>238</v>
      </c>
      <c r="B351" t="s">
        <v>16</v>
      </c>
      <c r="C351" s="160" t="s">
        <v>627</v>
      </c>
      <c r="D351" t="str">
        <f>VLOOKUP(A351,DataUsuario!B:D,2,FALSE)</f>
        <v>Industrial y de Mantenimiento</v>
      </c>
      <c r="E351" t="str">
        <f>VLOOKUP(A351,DataUsuario!B:D,3,FALSE)</f>
        <v>Producción</v>
      </c>
      <c r="F351" t="s">
        <v>74</v>
      </c>
    </row>
    <row r="352" spans="1:6" x14ac:dyDescent="0.3">
      <c r="A352" s="156" t="s">
        <v>623</v>
      </c>
      <c r="B352" t="s">
        <v>16</v>
      </c>
      <c r="C352" s="159">
        <v>5</v>
      </c>
      <c r="D352" t="str">
        <f>VLOOKUP(A352,DataUsuario!B:D,2,FALSE)</f>
        <v>Industrial y de Mantenimiento</v>
      </c>
      <c r="E352" t="str">
        <f>VLOOKUP(A352,DataUsuario!B:D,3,FALSE)</f>
        <v>Mantenimiento Industrial</v>
      </c>
      <c r="F352" t="s">
        <v>74</v>
      </c>
    </row>
    <row r="353" spans="1:6" x14ac:dyDescent="0.3">
      <c r="A353" s="157" t="s">
        <v>387</v>
      </c>
      <c r="B353" t="s">
        <v>16</v>
      </c>
      <c r="C353" s="160">
        <v>5</v>
      </c>
      <c r="D353" t="str">
        <f>VLOOKUP(A353,DataUsuario!B:D,2,FALSE)</f>
        <v>Administración y Finanzas</v>
      </c>
      <c r="E353" t="str">
        <f>VLOOKUP(A353,DataUsuario!B:D,3,FALSE)</f>
        <v>Contabilidad Tributaria</v>
      </c>
      <c r="F353" t="s">
        <v>66</v>
      </c>
    </row>
    <row r="354" spans="1:6" x14ac:dyDescent="0.3">
      <c r="A354" s="156" t="s">
        <v>413</v>
      </c>
      <c r="B354" t="s">
        <v>16</v>
      </c>
      <c r="C354" s="159">
        <v>5</v>
      </c>
      <c r="D354" t="str">
        <f>VLOOKUP(A354,DataUsuario!B:D,2,FALSE)</f>
        <v>Administración y Finanzas</v>
      </c>
      <c r="E354" t="str">
        <f>VLOOKUP(A354,DataUsuario!B:D,3,FALSE)</f>
        <v>Contabilidad Tributaria</v>
      </c>
      <c r="F354" t="s">
        <v>66</v>
      </c>
    </row>
    <row r="355" spans="1:6" x14ac:dyDescent="0.3">
      <c r="A355" s="157" t="s">
        <v>97</v>
      </c>
      <c r="B355" t="s">
        <v>16</v>
      </c>
      <c r="C355" s="160">
        <v>5</v>
      </c>
      <c r="D355" t="str">
        <f>VLOOKUP(A355,DataUsuario!B:D,2,FALSE)</f>
        <v>Gestión Humana y Sostenibilidad</v>
      </c>
      <c r="E355" t="str">
        <f>VLOOKUP(A355,DataUsuario!B:D,3,FALSE)</f>
        <v>Compensación y Nóminas</v>
      </c>
      <c r="F355" t="s">
        <v>62</v>
      </c>
    </row>
    <row r="356" spans="1:6" x14ac:dyDescent="0.3">
      <c r="A356" s="156" t="s">
        <v>352</v>
      </c>
      <c r="B356" t="s">
        <v>16</v>
      </c>
      <c r="C356" s="159">
        <v>5</v>
      </c>
      <c r="D356" t="str">
        <f>VLOOKUP(A356,DataUsuario!B:D,2,FALSE)</f>
        <v>Gestión Humana y Sostenibilidad</v>
      </c>
      <c r="E356" t="str">
        <f>VLOOKUP(A356,DataUsuario!B:D,3,FALSE)</f>
        <v>Compensación y Nóminas</v>
      </c>
      <c r="F356" t="s">
        <v>62</v>
      </c>
    </row>
    <row r="357" spans="1:6" x14ac:dyDescent="0.3">
      <c r="A357" s="157" t="s">
        <v>128</v>
      </c>
      <c r="B357" t="s">
        <v>16</v>
      </c>
      <c r="C357" s="160" t="s">
        <v>627</v>
      </c>
      <c r="D357" t="str">
        <f>VLOOKUP(A357,DataUsuario!B:D,2,FALSE)</f>
        <v>Agrícola</v>
      </c>
      <c r="E357" t="str">
        <f>VLOOKUP(A357,DataUsuario!B:D,3,FALSE)</f>
        <v>Fundo Lobo</v>
      </c>
      <c r="F357" t="s">
        <v>89</v>
      </c>
    </row>
    <row r="358" spans="1:6" x14ac:dyDescent="0.3">
      <c r="A358" s="156" t="s">
        <v>625</v>
      </c>
      <c r="B358" t="s">
        <v>16</v>
      </c>
      <c r="C358" s="159">
        <v>5</v>
      </c>
      <c r="D358" t="str">
        <f>VLOOKUP(A358,DataUsuario!B:D,2,FALSE)</f>
        <v>Administración y Finanzas</v>
      </c>
      <c r="E358" t="str">
        <f>VLOOKUP(A358,DataUsuario!B:D,3,FALSE)</f>
        <v>Finanzas y Tesorería</v>
      </c>
      <c r="F358" t="s">
        <v>66</v>
      </c>
    </row>
    <row r="359" spans="1:6" x14ac:dyDescent="0.3">
      <c r="A359" s="157" t="s">
        <v>303</v>
      </c>
      <c r="B359" t="s">
        <v>16</v>
      </c>
      <c r="C359" s="160">
        <v>3</v>
      </c>
      <c r="D359" t="str">
        <f>VLOOKUP(A359,DataUsuario!B:D,2,FALSE)</f>
        <v>Administración y Finanzas</v>
      </c>
      <c r="E359" t="str">
        <f>VLOOKUP(A359,DataUsuario!B:D,3,FALSE)</f>
        <v>Control de Gestión</v>
      </c>
      <c r="F359" t="s">
        <v>66</v>
      </c>
    </row>
    <row r="360" spans="1:6" x14ac:dyDescent="0.3">
      <c r="A360" s="156" t="s">
        <v>115</v>
      </c>
      <c r="B360" t="s">
        <v>16</v>
      </c>
      <c r="C360" s="159">
        <v>4</v>
      </c>
      <c r="D360" t="str">
        <f>VLOOKUP(A360,DataUsuario!B:D,2,FALSE)</f>
        <v>Industrial y de Mantenimiento</v>
      </c>
      <c r="E360" t="str">
        <f>VLOOKUP(A360,DataUsuario!B:D,3,FALSE)</f>
        <v>Mantenimiento de Transportes</v>
      </c>
      <c r="F360" t="s">
        <v>74</v>
      </c>
    </row>
    <row r="361" spans="1:6" x14ac:dyDescent="0.3">
      <c r="A361" s="158" t="s">
        <v>123</v>
      </c>
      <c r="B361" t="s">
        <v>16</v>
      </c>
      <c r="C361" s="161">
        <v>2</v>
      </c>
      <c r="D361" t="str">
        <f>VLOOKUP(A361,DataUsuario!B:D,2,FALSE)</f>
        <v>Administración y Finanzas</v>
      </c>
      <c r="E361" t="str">
        <f>VLOOKUP(A361,DataUsuario!B:D,3,FALSE)</f>
        <v>Gerencia Administración y Finanzas</v>
      </c>
      <c r="F361" t="s">
        <v>66</v>
      </c>
    </row>
    <row r="362" spans="1:6" x14ac:dyDescent="0.3">
      <c r="A362" s="156" t="s">
        <v>138</v>
      </c>
      <c r="B362" t="s">
        <v>17</v>
      </c>
      <c r="C362" s="162">
        <v>4</v>
      </c>
      <c r="D362" t="str">
        <f>VLOOKUP(A362,DataUsuario!B:D,2,FALSE)</f>
        <v>Gestión Humana y Sostenibilidad</v>
      </c>
      <c r="E362" t="str">
        <f>VLOOKUP(A362,DataUsuario!B:D,3,FALSE)</f>
        <v>Gestion del Talento</v>
      </c>
      <c r="F362" t="s">
        <v>62</v>
      </c>
    </row>
    <row r="363" spans="1:6" x14ac:dyDescent="0.3">
      <c r="A363" s="157" t="s">
        <v>207</v>
      </c>
      <c r="B363" t="s">
        <v>17</v>
      </c>
      <c r="C363" s="163">
        <v>5</v>
      </c>
      <c r="D363" t="str">
        <f>VLOOKUP(A363,DataUsuario!B:D,2,FALSE)</f>
        <v>Administración y Finanzas</v>
      </c>
      <c r="E363" t="str">
        <f>VLOOKUP(A363,DataUsuario!B:D,3,FALSE)</f>
        <v>Riesgos y Cumplimiento</v>
      </c>
      <c r="F363" t="s">
        <v>66</v>
      </c>
    </row>
    <row r="364" spans="1:6" x14ac:dyDescent="0.3">
      <c r="A364" s="156" t="s">
        <v>322</v>
      </c>
      <c r="B364" t="s">
        <v>17</v>
      </c>
      <c r="C364" s="162">
        <v>3</v>
      </c>
      <c r="D364" t="str">
        <f>VLOOKUP(A364,DataUsuario!B:D,2,FALSE)</f>
        <v>Administración y Finanzas</v>
      </c>
      <c r="E364" t="str">
        <f>VLOOKUP(A364,DataUsuario!B:D,3,FALSE)</f>
        <v>Finanzas y Tesorería</v>
      </c>
      <c r="F364" t="s">
        <v>66</v>
      </c>
    </row>
    <row r="365" spans="1:6" x14ac:dyDescent="0.3">
      <c r="A365" s="157" t="s">
        <v>133</v>
      </c>
      <c r="B365" t="s">
        <v>17</v>
      </c>
      <c r="C365" s="163">
        <v>4</v>
      </c>
      <c r="D365" t="str">
        <f>VLOOKUP(A365,DataUsuario!B:D,2,FALSE)</f>
        <v>Industrial y de Mantenimiento</v>
      </c>
      <c r="E365" t="str">
        <f>VLOOKUP(A365,DataUsuario!B:D,3,FALSE)</f>
        <v>Electricidad</v>
      </c>
      <c r="F365" t="s">
        <v>74</v>
      </c>
    </row>
    <row r="366" spans="1:6" x14ac:dyDescent="0.3">
      <c r="A366" s="156" t="s">
        <v>299</v>
      </c>
      <c r="B366" t="s">
        <v>17</v>
      </c>
      <c r="C366" s="162">
        <v>4</v>
      </c>
      <c r="D366" t="str">
        <f>VLOOKUP(A366,DataUsuario!B:D,2,FALSE)</f>
        <v>Administración y Finanzas</v>
      </c>
      <c r="E366" t="str">
        <f>VLOOKUP(A366,DataUsuario!B:D,3,FALSE)</f>
        <v>Legal</v>
      </c>
      <c r="F366" t="s">
        <v>66</v>
      </c>
    </row>
    <row r="367" spans="1:6" x14ac:dyDescent="0.3">
      <c r="A367" s="157" t="s">
        <v>421</v>
      </c>
      <c r="B367" t="s">
        <v>17</v>
      </c>
      <c r="C367" s="163">
        <v>4</v>
      </c>
      <c r="D367" t="str">
        <f>VLOOKUP(A367,DataUsuario!B:D,2,FALSE)</f>
        <v>Operaciones</v>
      </c>
      <c r="E367" t="str">
        <f>VLOOKUP(A367,DataUsuario!B:D,3,FALSE)</f>
        <v>Cosecha</v>
      </c>
      <c r="F367" t="s">
        <v>70</v>
      </c>
    </row>
    <row r="368" spans="1:6" x14ac:dyDescent="0.3">
      <c r="A368" s="156" t="s">
        <v>258</v>
      </c>
      <c r="B368" t="s">
        <v>17</v>
      </c>
      <c r="C368" s="162">
        <v>4</v>
      </c>
      <c r="D368" t="str">
        <f>VLOOKUP(A368,DataUsuario!B:D,2,FALSE)</f>
        <v>Operaciones</v>
      </c>
      <c r="E368" t="str">
        <f>VLOOKUP(A368,DataUsuario!B:D,3,FALSE)</f>
        <v>Calidad</v>
      </c>
      <c r="F368" t="s">
        <v>70</v>
      </c>
    </row>
    <row r="369" spans="1:6" x14ac:dyDescent="0.3">
      <c r="A369" s="157" t="s">
        <v>152</v>
      </c>
      <c r="B369" t="s">
        <v>17</v>
      </c>
      <c r="C369" s="163">
        <v>5</v>
      </c>
      <c r="D369" t="str">
        <f>VLOOKUP(A369,DataUsuario!B:D,2,FALSE)</f>
        <v>Operaciones</v>
      </c>
      <c r="E369" t="str">
        <f>VLOOKUP(A369,DataUsuario!B:D,3,FALSE)</f>
        <v>Almacenes y Distribución PT</v>
      </c>
      <c r="F369" t="s">
        <v>70</v>
      </c>
    </row>
    <row r="370" spans="1:6" x14ac:dyDescent="0.3">
      <c r="A370" s="156" t="s">
        <v>77</v>
      </c>
      <c r="B370" t="s">
        <v>17</v>
      </c>
      <c r="C370" s="162">
        <v>4</v>
      </c>
      <c r="D370" t="str">
        <f>VLOOKUP(A370,DataUsuario!B:D,2,FALSE)</f>
        <v>Operaciones</v>
      </c>
      <c r="E370" t="str">
        <f>VLOOKUP(A370,DataUsuario!B:D,3,FALSE)</f>
        <v>Comercial No Giro</v>
      </c>
      <c r="F370" t="s">
        <v>70</v>
      </c>
    </row>
    <row r="371" spans="1:6" x14ac:dyDescent="0.3">
      <c r="A371" s="157" t="s">
        <v>435</v>
      </c>
      <c r="B371" t="s">
        <v>17</v>
      </c>
      <c r="C371" s="163">
        <v>4</v>
      </c>
      <c r="D371" t="str">
        <f>VLOOKUP(A371,DataUsuario!B:D,2,FALSE)</f>
        <v>Operaciones</v>
      </c>
      <c r="E371" t="str">
        <f>VLOOKUP(A371,DataUsuario!B:D,3,FALSE)</f>
        <v>Almacenes y Distribución PT</v>
      </c>
      <c r="F371" t="s">
        <v>70</v>
      </c>
    </row>
    <row r="372" spans="1:6" x14ac:dyDescent="0.3">
      <c r="A372" s="156" t="s">
        <v>405</v>
      </c>
      <c r="B372" t="s">
        <v>17</v>
      </c>
      <c r="C372" s="162">
        <v>3</v>
      </c>
      <c r="D372" t="str">
        <f>VLOOKUP(A372,DataUsuario!B:D,2,FALSE)</f>
        <v>Administración y Finanzas</v>
      </c>
      <c r="E372" t="str">
        <f>VLOOKUP(A372,DataUsuario!B:D,3,FALSE)</f>
        <v>Finanzas y Tesorería</v>
      </c>
      <c r="F372" t="s">
        <v>66</v>
      </c>
    </row>
    <row r="373" spans="1:6" x14ac:dyDescent="0.3">
      <c r="A373" s="157" t="s">
        <v>593</v>
      </c>
      <c r="B373" t="s">
        <v>17</v>
      </c>
      <c r="C373" s="163">
        <v>4</v>
      </c>
      <c r="D373" t="str">
        <f>VLOOKUP(A373,DataUsuario!B:D,2,FALSE)</f>
        <v>Administración y Finanzas</v>
      </c>
      <c r="E373" t="str">
        <f>VLOOKUP(A373,DataUsuario!B:D,3,FALSE)</f>
        <v>Compras</v>
      </c>
      <c r="F373" t="s">
        <v>66</v>
      </c>
    </row>
    <row r="374" spans="1:6" x14ac:dyDescent="0.3">
      <c r="A374" s="156" t="s">
        <v>341</v>
      </c>
      <c r="B374" t="s">
        <v>17</v>
      </c>
      <c r="C374" s="162">
        <v>5</v>
      </c>
      <c r="D374" t="str">
        <f>VLOOKUP(A374,DataUsuario!B:D,2,FALSE)</f>
        <v>Administración y Finanzas</v>
      </c>
      <c r="E374" t="str">
        <f>VLOOKUP(A374,DataUsuario!B:D,3,FALSE)</f>
        <v>Contabilidad Tributaria</v>
      </c>
      <c r="F374" t="s">
        <v>66</v>
      </c>
    </row>
    <row r="375" spans="1:6" x14ac:dyDescent="0.3">
      <c r="A375" s="157" t="s">
        <v>289</v>
      </c>
      <c r="B375" t="s">
        <v>17</v>
      </c>
      <c r="C375" s="163">
        <v>3</v>
      </c>
      <c r="D375" t="str">
        <f>VLOOKUP(A375,DataUsuario!B:D,2,FALSE)</f>
        <v>Agrícola</v>
      </c>
      <c r="E375" t="str">
        <f>VLOOKUP(A375,DataUsuario!B:D,3,FALSE)</f>
        <v>Mantenimiento de Riego y Bombas</v>
      </c>
      <c r="F375" t="s">
        <v>89</v>
      </c>
    </row>
    <row r="376" spans="1:6" x14ac:dyDescent="0.3">
      <c r="A376" s="156" t="s">
        <v>359</v>
      </c>
      <c r="B376" t="s">
        <v>17</v>
      </c>
      <c r="C376" s="162">
        <v>3</v>
      </c>
      <c r="D376" t="str">
        <f>VLOOKUP(A376,DataUsuario!B:D,2,FALSE)</f>
        <v>Operaciones</v>
      </c>
      <c r="E376" t="str">
        <f>VLOOKUP(A376,DataUsuario!B:D,3,FALSE)</f>
        <v>Gerencia de Operaciones</v>
      </c>
      <c r="F376" t="s">
        <v>70</v>
      </c>
    </row>
    <row r="377" spans="1:6" x14ac:dyDescent="0.3">
      <c r="A377" s="157" t="s">
        <v>145</v>
      </c>
      <c r="B377" t="s">
        <v>17</v>
      </c>
      <c r="C377" s="163" t="s">
        <v>627</v>
      </c>
      <c r="D377" t="str">
        <f>VLOOKUP(A377,DataUsuario!B:D,2,FALSE)</f>
        <v>Administración y Finanzas</v>
      </c>
      <c r="E377" t="str">
        <f>VLOOKUP(A377,DataUsuario!B:D,3,FALSE)</f>
        <v>Legal</v>
      </c>
      <c r="F377" t="s">
        <v>66</v>
      </c>
    </row>
    <row r="378" spans="1:6" x14ac:dyDescent="0.3">
      <c r="A378" s="156" t="s">
        <v>596</v>
      </c>
      <c r="B378" t="s">
        <v>17</v>
      </c>
      <c r="C378" s="162">
        <v>5</v>
      </c>
      <c r="D378" t="str">
        <f>VLOOKUP(A378,DataUsuario!B:D,2,FALSE)</f>
        <v>Gestión Humana y Sostenibilidad</v>
      </c>
      <c r="E378" t="str">
        <f>VLOOKUP(A378,DataUsuario!B:D,3,FALSE)</f>
        <v>Seguridad</v>
      </c>
      <c r="F378" t="s">
        <v>62</v>
      </c>
    </row>
    <row r="379" spans="1:6" x14ac:dyDescent="0.3">
      <c r="A379" s="157" t="s">
        <v>82</v>
      </c>
      <c r="B379" t="s">
        <v>17</v>
      </c>
      <c r="C379" s="163">
        <v>4</v>
      </c>
      <c r="D379" t="str">
        <f>VLOOKUP(A379,DataUsuario!B:D,2,FALSE)</f>
        <v>Industrial y de Mantenimiento</v>
      </c>
      <c r="E379" t="str">
        <f>VLOOKUP(A379,DataUsuario!B:D,3,FALSE)</f>
        <v>Producción</v>
      </c>
      <c r="F379" t="s">
        <v>74</v>
      </c>
    </row>
    <row r="380" spans="1:6" x14ac:dyDescent="0.3">
      <c r="A380" s="156" t="s">
        <v>326</v>
      </c>
      <c r="B380" t="s">
        <v>17</v>
      </c>
      <c r="C380" s="162">
        <v>4</v>
      </c>
      <c r="D380" t="str">
        <f>VLOOKUP(A380,DataUsuario!B:D,2,FALSE)</f>
        <v>Operaciones</v>
      </c>
      <c r="E380" t="str">
        <f>VLOOKUP(A380,DataUsuario!B:D,3,FALSE)</f>
        <v>Calidad</v>
      </c>
      <c r="F380" t="s">
        <v>70</v>
      </c>
    </row>
    <row r="381" spans="1:6" x14ac:dyDescent="0.3">
      <c r="A381" s="157" t="s">
        <v>318</v>
      </c>
      <c r="B381" t="s">
        <v>17</v>
      </c>
      <c r="C381" s="163">
        <v>4</v>
      </c>
      <c r="D381" t="str">
        <f>VLOOKUP(A381,DataUsuario!B:D,2,FALSE)</f>
        <v>Operaciones</v>
      </c>
      <c r="E381" t="str">
        <f>VLOOKUP(A381,DataUsuario!B:D,3,FALSE)</f>
        <v>Cosecha</v>
      </c>
      <c r="F381" t="s">
        <v>70</v>
      </c>
    </row>
    <row r="382" spans="1:6" x14ac:dyDescent="0.3">
      <c r="A382" s="156" t="s">
        <v>391</v>
      </c>
      <c r="B382" t="s">
        <v>17</v>
      </c>
      <c r="C382" s="162">
        <v>5</v>
      </c>
      <c r="D382" t="str">
        <f>VLOOKUP(A382,DataUsuario!B:D,2,FALSE)</f>
        <v>Administración y Finanzas</v>
      </c>
      <c r="E382" t="str">
        <f>VLOOKUP(A382,DataUsuario!B:D,3,FALSE)</f>
        <v>Finanzas y Tesorería</v>
      </c>
      <c r="F382" t="s">
        <v>66</v>
      </c>
    </row>
    <row r="383" spans="1:6" x14ac:dyDescent="0.3">
      <c r="A383" s="157" t="s">
        <v>279</v>
      </c>
      <c r="B383" t="s">
        <v>17</v>
      </c>
      <c r="C383" s="163" t="s">
        <v>627</v>
      </c>
      <c r="D383" t="str">
        <f>VLOOKUP(A383,DataUsuario!B:D,2,FALSE)</f>
        <v>Operaciones</v>
      </c>
      <c r="E383" t="str">
        <f>VLOOKUP(A383,DataUsuario!B:D,3,FALSE)</f>
        <v>Transporte</v>
      </c>
      <c r="F383" t="s">
        <v>70</v>
      </c>
    </row>
    <row r="384" spans="1:6" x14ac:dyDescent="0.3">
      <c r="A384" s="156" t="s">
        <v>431</v>
      </c>
      <c r="B384" t="s">
        <v>17</v>
      </c>
      <c r="C384" s="162">
        <v>4</v>
      </c>
      <c r="D384" t="str">
        <f>VLOOKUP(A384,DataUsuario!B:D,2,FALSE)</f>
        <v>Agrícola</v>
      </c>
      <c r="E384" t="str">
        <f>VLOOKUP(A384,DataUsuario!B:D,3,FALSE)</f>
        <v>Fundo San Vicente</v>
      </c>
      <c r="F384" t="s">
        <v>89</v>
      </c>
    </row>
    <row r="385" spans="1:6" x14ac:dyDescent="0.3">
      <c r="A385" s="157" t="s">
        <v>176</v>
      </c>
      <c r="B385" t="s">
        <v>17</v>
      </c>
      <c r="C385" s="163">
        <v>5</v>
      </c>
      <c r="D385" t="str">
        <f>VLOOKUP(A385,DataUsuario!B:D,2,FALSE)</f>
        <v>Administración y Finanzas</v>
      </c>
      <c r="E385" t="str">
        <f>VLOOKUP(A385,DataUsuario!B:D,3,FALSE)</f>
        <v>Cadenas Productivas</v>
      </c>
      <c r="F385" t="s">
        <v>66</v>
      </c>
    </row>
    <row r="386" spans="1:6" x14ac:dyDescent="0.3">
      <c r="A386" s="156" t="s">
        <v>221</v>
      </c>
      <c r="B386" t="s">
        <v>17</v>
      </c>
      <c r="C386" s="162">
        <v>5</v>
      </c>
      <c r="D386" t="str">
        <f>VLOOKUP(A386,DataUsuario!B:D,2,FALSE)</f>
        <v>Administración y Finanzas</v>
      </c>
      <c r="E386" t="str">
        <f>VLOOKUP(A386,DataUsuario!B:D,3,FALSE)</f>
        <v>Sistemas y TI</v>
      </c>
      <c r="F386" t="s">
        <v>66</v>
      </c>
    </row>
    <row r="387" spans="1:6" x14ac:dyDescent="0.3">
      <c r="A387" s="157" t="s">
        <v>249</v>
      </c>
      <c r="B387" t="s">
        <v>17</v>
      </c>
      <c r="C387" s="163">
        <v>5</v>
      </c>
      <c r="D387" t="str">
        <f>VLOOKUP(A387,DataUsuario!B:D,2,FALSE)</f>
        <v>Administración y Finanzas</v>
      </c>
      <c r="E387" t="str">
        <f>VLOOKUP(A387,DataUsuario!B:D,3,FALSE)</f>
        <v>Compras</v>
      </c>
      <c r="F387" t="s">
        <v>66</v>
      </c>
    </row>
    <row r="388" spans="1:6" x14ac:dyDescent="0.3">
      <c r="A388" s="156" t="s">
        <v>600</v>
      </c>
      <c r="B388" t="s">
        <v>17</v>
      </c>
      <c r="C388" s="162">
        <v>3</v>
      </c>
      <c r="D388" t="str">
        <f>VLOOKUP(A388,DataUsuario!B:D,2,FALSE)</f>
        <v>Administración y Finanzas</v>
      </c>
      <c r="E388" t="str">
        <f>VLOOKUP(A388,DataUsuario!B:D,3,FALSE)</f>
        <v>Sistemas y TI</v>
      </c>
      <c r="F388" t="s">
        <v>66</v>
      </c>
    </row>
    <row r="389" spans="1:6" x14ac:dyDescent="0.3">
      <c r="A389" s="157" t="s">
        <v>519</v>
      </c>
      <c r="B389" t="s">
        <v>17</v>
      </c>
      <c r="C389" s="163">
        <v>5</v>
      </c>
      <c r="D389" t="str">
        <f>VLOOKUP(A389,DataUsuario!B:D,2,FALSE)</f>
        <v>Administración y Finanzas</v>
      </c>
      <c r="E389" t="str">
        <f>VLOOKUP(A389,DataUsuario!B:D,3,FALSE)</f>
        <v>Contabilidad Tributaria</v>
      </c>
      <c r="F389" t="s">
        <v>66</v>
      </c>
    </row>
    <row r="390" spans="1:6" x14ac:dyDescent="0.3">
      <c r="A390" s="156" t="s">
        <v>439</v>
      </c>
      <c r="B390" t="s">
        <v>17</v>
      </c>
      <c r="C390" s="162">
        <v>5</v>
      </c>
      <c r="D390" t="str">
        <f>VLOOKUP(A390,DataUsuario!B:D,2,FALSE)</f>
        <v>Operaciones</v>
      </c>
      <c r="E390" t="str">
        <f>VLOOKUP(A390,DataUsuario!B:D,3,FALSE)</f>
        <v>Comercial</v>
      </c>
      <c r="F390" t="s">
        <v>70</v>
      </c>
    </row>
    <row r="391" spans="1:6" x14ac:dyDescent="0.3">
      <c r="A391" s="157" t="s">
        <v>320</v>
      </c>
      <c r="B391" t="s">
        <v>17</v>
      </c>
      <c r="C391" s="163">
        <v>5</v>
      </c>
      <c r="D391" t="str">
        <f>VLOOKUP(A391,DataUsuario!B:D,2,FALSE)</f>
        <v>Gestión Humana y Sostenibilidad</v>
      </c>
      <c r="E391" t="str">
        <f>VLOOKUP(A391,DataUsuario!B:D,3,FALSE)</f>
        <v>Sostenibilidad</v>
      </c>
      <c r="F391" t="s">
        <v>62</v>
      </c>
    </row>
    <row r="392" spans="1:6" x14ac:dyDescent="0.3">
      <c r="A392" s="156" t="s">
        <v>80</v>
      </c>
      <c r="B392" t="s">
        <v>17</v>
      </c>
      <c r="C392" s="162">
        <v>5</v>
      </c>
      <c r="D392" t="str">
        <f>VLOOKUP(A392,DataUsuario!B:D,2,FALSE)</f>
        <v>Administración y Finanzas</v>
      </c>
      <c r="E392" t="str">
        <f>VLOOKUP(A392,DataUsuario!B:D,3,FALSE)</f>
        <v>Compras</v>
      </c>
      <c r="F392" t="s">
        <v>66</v>
      </c>
    </row>
    <row r="393" spans="1:6" x14ac:dyDescent="0.3">
      <c r="A393" s="157" t="s">
        <v>301</v>
      </c>
      <c r="B393" t="s">
        <v>17</v>
      </c>
      <c r="C393" s="163">
        <v>5</v>
      </c>
      <c r="D393" t="str">
        <f>VLOOKUP(A393,DataUsuario!B:D,2,FALSE)</f>
        <v>Administración y Finanzas</v>
      </c>
      <c r="E393" t="str">
        <f>VLOOKUP(A393,DataUsuario!B:D,3,FALSE)</f>
        <v>Contabilidad Tributaria</v>
      </c>
      <c r="F393" t="s">
        <v>66</v>
      </c>
    </row>
    <row r="394" spans="1:6" x14ac:dyDescent="0.3">
      <c r="A394" s="156" t="s">
        <v>343</v>
      </c>
      <c r="B394" t="s">
        <v>17</v>
      </c>
      <c r="C394" s="162">
        <v>5</v>
      </c>
      <c r="D394" t="str">
        <f>VLOOKUP(A394,DataUsuario!B:D,2,FALSE)</f>
        <v>Operaciones</v>
      </c>
      <c r="E394" t="str">
        <f>VLOOKUP(A394,DataUsuario!B:D,3,FALSE)</f>
        <v>Comercial No Giro</v>
      </c>
      <c r="F394" t="s">
        <v>70</v>
      </c>
    </row>
    <row r="395" spans="1:6" x14ac:dyDescent="0.3">
      <c r="A395" s="157" t="s">
        <v>236</v>
      </c>
      <c r="B395" t="s">
        <v>17</v>
      </c>
      <c r="C395" s="163">
        <v>3</v>
      </c>
      <c r="D395" t="str">
        <f>VLOOKUP(A395,DataUsuario!B:D,2,FALSE)</f>
        <v>Administración y Finanzas</v>
      </c>
      <c r="E395" t="str">
        <f>VLOOKUP(A395,DataUsuario!B:D,3,FALSE)</f>
        <v>Sistemas y TI</v>
      </c>
      <c r="F395" t="s">
        <v>66</v>
      </c>
    </row>
    <row r="396" spans="1:6" x14ac:dyDescent="0.3">
      <c r="A396" s="156" t="s">
        <v>205</v>
      </c>
      <c r="B396" t="s">
        <v>17</v>
      </c>
      <c r="C396" s="162">
        <v>4</v>
      </c>
      <c r="D396" t="str">
        <f>VLOOKUP(A396,DataUsuario!B:D,2,FALSE)</f>
        <v>Operaciones</v>
      </c>
      <c r="E396" t="str">
        <f>VLOOKUP(A396,DataUsuario!B:D,3,FALSE)</f>
        <v>Almacenes y Distribución PT</v>
      </c>
      <c r="F396" t="s">
        <v>70</v>
      </c>
    </row>
    <row r="397" spans="1:6" x14ac:dyDescent="0.3">
      <c r="A397" s="157" t="s">
        <v>136</v>
      </c>
      <c r="B397" t="s">
        <v>17</v>
      </c>
      <c r="C397" s="163">
        <v>4</v>
      </c>
      <c r="D397" t="str">
        <f>VLOOKUP(A397,DataUsuario!B:D,2,FALSE)</f>
        <v>Operaciones</v>
      </c>
      <c r="E397" t="str">
        <f>VLOOKUP(A397,DataUsuario!B:D,3,FALSE)</f>
        <v>Comercial</v>
      </c>
      <c r="F397" t="s">
        <v>70</v>
      </c>
    </row>
    <row r="398" spans="1:6" x14ac:dyDescent="0.3">
      <c r="A398" s="156" t="s">
        <v>602</v>
      </c>
      <c r="B398" t="s">
        <v>17</v>
      </c>
      <c r="C398" s="162">
        <v>5</v>
      </c>
      <c r="D398" t="str">
        <f>VLOOKUP(A398,DataUsuario!B:D,2,FALSE)</f>
        <v>Administración y Finanzas</v>
      </c>
      <c r="E398" t="str">
        <f>VLOOKUP(A398,DataUsuario!B:D,3,FALSE)</f>
        <v>Sistemas y TI</v>
      </c>
      <c r="F398" t="s">
        <v>66</v>
      </c>
    </row>
    <row r="399" spans="1:6" x14ac:dyDescent="0.3">
      <c r="A399" s="157" t="s">
        <v>181</v>
      </c>
      <c r="B399" t="s">
        <v>17</v>
      </c>
      <c r="C399" s="163">
        <v>4</v>
      </c>
      <c r="D399" t="str">
        <f>VLOOKUP(A399,DataUsuario!B:D,2,FALSE)</f>
        <v>Gestión Humana y Sostenibilidad</v>
      </c>
      <c r="E399" t="str">
        <f>VLOOKUP(A399,DataUsuario!B:D,3,FALSE)</f>
        <v>Compensación y Nóminas</v>
      </c>
      <c r="F399" t="s">
        <v>62</v>
      </c>
    </row>
    <row r="400" spans="1:6" x14ac:dyDescent="0.3">
      <c r="A400" s="156" t="s">
        <v>275</v>
      </c>
      <c r="B400" t="s">
        <v>17</v>
      </c>
      <c r="C400" s="162" t="s">
        <v>627</v>
      </c>
      <c r="D400" t="str">
        <f>VLOOKUP(A400,DataUsuario!B:D,2,FALSE)</f>
        <v>Administración y Finanzas</v>
      </c>
      <c r="E400" t="str">
        <f>VLOOKUP(A400,DataUsuario!B:D,3,FALSE)</f>
        <v>Compras</v>
      </c>
      <c r="F400" t="s">
        <v>66</v>
      </c>
    </row>
    <row r="401" spans="1:6" x14ac:dyDescent="0.3">
      <c r="A401" s="157" t="s">
        <v>61</v>
      </c>
      <c r="B401" t="s">
        <v>17</v>
      </c>
      <c r="C401" s="163">
        <v>4</v>
      </c>
      <c r="D401" t="str">
        <f>VLOOKUP(A401,DataUsuario!B:D,2,FALSE)</f>
        <v>Gestión Humana y Sostenibilidad</v>
      </c>
      <c r="E401" t="str">
        <f>VLOOKUP(A401,DataUsuario!B:D,3,FALSE)</f>
        <v>Compensación y Nóminas</v>
      </c>
      <c r="F401" t="s">
        <v>62</v>
      </c>
    </row>
    <row r="402" spans="1:6" x14ac:dyDescent="0.3">
      <c r="A402" s="156" t="s">
        <v>374</v>
      </c>
      <c r="B402" t="s">
        <v>17</v>
      </c>
      <c r="C402" s="162">
        <v>4</v>
      </c>
      <c r="D402" t="str">
        <f>VLOOKUP(A402,DataUsuario!B:D,2,FALSE)</f>
        <v>Agrícola</v>
      </c>
      <c r="E402" t="str">
        <f>VLOOKUP(A402,DataUsuario!B:D,3,FALSE)</f>
        <v>Mantenimiento de Riego y Bombas</v>
      </c>
      <c r="F402" t="s">
        <v>89</v>
      </c>
    </row>
    <row r="403" spans="1:6" x14ac:dyDescent="0.3">
      <c r="A403" s="157" t="s">
        <v>605</v>
      </c>
      <c r="B403" t="s">
        <v>17</v>
      </c>
      <c r="C403" s="163">
        <v>4</v>
      </c>
      <c r="D403" t="str">
        <f>VLOOKUP(A403,DataUsuario!B:D,2,FALSE)</f>
        <v>Administración y Finanzas</v>
      </c>
      <c r="E403" t="str">
        <f>VLOOKUP(A403,DataUsuario!B:D,3,FALSE)</f>
        <v>Control de Gestión</v>
      </c>
      <c r="F403" t="s">
        <v>66</v>
      </c>
    </row>
    <row r="404" spans="1:6" x14ac:dyDescent="0.3">
      <c r="A404" s="156" t="s">
        <v>92</v>
      </c>
      <c r="B404" t="s">
        <v>17</v>
      </c>
      <c r="C404" s="162">
        <v>4</v>
      </c>
      <c r="D404" t="str">
        <f>VLOOKUP(A404,DataUsuario!B:D,2,FALSE)</f>
        <v>Administración y Finanzas</v>
      </c>
      <c r="E404" t="str">
        <f>VLOOKUP(A404,DataUsuario!B:D,3,FALSE)</f>
        <v>Control de Gestión</v>
      </c>
      <c r="F404" t="s">
        <v>66</v>
      </c>
    </row>
    <row r="405" spans="1:6" x14ac:dyDescent="0.3">
      <c r="A405" s="157" t="s">
        <v>217</v>
      </c>
      <c r="B405" t="s">
        <v>17</v>
      </c>
      <c r="C405" s="163">
        <v>4</v>
      </c>
      <c r="D405" t="str">
        <f>VLOOKUP(A405,DataUsuario!B:D,2,FALSE)</f>
        <v>Agrícola</v>
      </c>
      <c r="E405" t="str">
        <f>VLOOKUP(A405,DataUsuario!B:D,3,FALSE)</f>
        <v>Mantenimiento de Riego y Bombas</v>
      </c>
      <c r="F405" t="s">
        <v>89</v>
      </c>
    </row>
    <row r="406" spans="1:6" x14ac:dyDescent="0.3">
      <c r="A406" s="156" t="s">
        <v>606</v>
      </c>
      <c r="B406" t="s">
        <v>17</v>
      </c>
      <c r="C406" s="162">
        <v>5</v>
      </c>
      <c r="D406" t="str">
        <f>VLOOKUP(A406,DataUsuario!B:D,2,FALSE)</f>
        <v>Administración y Finanzas</v>
      </c>
      <c r="E406" t="str">
        <f>VLOOKUP(A406,DataUsuario!B:D,3,FALSE)</f>
        <v>Sistemas y TI</v>
      </c>
      <c r="F406" t="s">
        <v>66</v>
      </c>
    </row>
    <row r="407" spans="1:6" x14ac:dyDescent="0.3">
      <c r="A407" s="157" t="s">
        <v>210</v>
      </c>
      <c r="B407" t="s">
        <v>17</v>
      </c>
      <c r="C407" s="163">
        <v>4</v>
      </c>
      <c r="D407" t="str">
        <f>VLOOKUP(A407,DataUsuario!B:D,2,FALSE)</f>
        <v>Industrial y de Mantenimiento</v>
      </c>
      <c r="E407" t="str">
        <f>VLOOKUP(A407,DataUsuario!B:D,3,FALSE)</f>
        <v>Planta y Srv Industriales</v>
      </c>
      <c r="F407" t="s">
        <v>74</v>
      </c>
    </row>
    <row r="408" spans="1:6" x14ac:dyDescent="0.3">
      <c r="A408" s="156" t="s">
        <v>254</v>
      </c>
      <c r="B408" t="s">
        <v>17</v>
      </c>
      <c r="C408" s="162">
        <v>4</v>
      </c>
      <c r="D408" t="str">
        <f>VLOOKUP(A408,DataUsuario!B:D,2,FALSE)</f>
        <v>Administración y Finanzas</v>
      </c>
      <c r="E408" t="str">
        <f>VLOOKUP(A408,DataUsuario!B:D,3,FALSE)</f>
        <v>Administración</v>
      </c>
      <c r="F408" t="s">
        <v>66</v>
      </c>
    </row>
    <row r="409" spans="1:6" x14ac:dyDescent="0.3">
      <c r="A409" s="157" t="s">
        <v>403</v>
      </c>
      <c r="B409" t="s">
        <v>17</v>
      </c>
      <c r="C409" s="163" t="s">
        <v>627</v>
      </c>
      <c r="D409" t="str">
        <f>VLOOKUP(A409,DataUsuario!B:D,2,FALSE)</f>
        <v>Administración y Finanzas</v>
      </c>
      <c r="E409" t="str">
        <f>VLOOKUP(A409,DataUsuario!B:D,3,FALSE)</f>
        <v>Control de Gestión</v>
      </c>
      <c r="F409" t="s">
        <v>66</v>
      </c>
    </row>
    <row r="410" spans="1:6" x14ac:dyDescent="0.3">
      <c r="A410" s="156" t="s">
        <v>170</v>
      </c>
      <c r="B410" t="s">
        <v>17</v>
      </c>
      <c r="C410" s="162">
        <v>5</v>
      </c>
      <c r="D410" t="str">
        <f>VLOOKUP(A410,DataUsuario!B:D,2,FALSE)</f>
        <v>Operaciones</v>
      </c>
      <c r="E410" t="str">
        <f>VLOOKUP(A410,DataUsuario!B:D,3,FALSE)</f>
        <v>Mantenimiento CAT</v>
      </c>
      <c r="F410" t="s">
        <v>70</v>
      </c>
    </row>
    <row r="411" spans="1:6" x14ac:dyDescent="0.3">
      <c r="A411" s="157" t="s">
        <v>88</v>
      </c>
      <c r="B411" t="s">
        <v>17</v>
      </c>
      <c r="C411" s="163">
        <v>4</v>
      </c>
      <c r="D411" t="str">
        <f>VLOOKUP(A411,DataUsuario!B:D,2,FALSE)</f>
        <v>Agrícola</v>
      </c>
      <c r="E411" t="str">
        <f>VLOOKUP(A411,DataUsuario!B:D,3,FALSE)</f>
        <v>Fundo Lobo</v>
      </c>
      <c r="F411" t="s">
        <v>89</v>
      </c>
    </row>
    <row r="412" spans="1:6" x14ac:dyDescent="0.3">
      <c r="A412" s="156" t="s">
        <v>242</v>
      </c>
      <c r="B412" t="s">
        <v>17</v>
      </c>
      <c r="C412" s="162" t="s">
        <v>627</v>
      </c>
      <c r="D412" t="str">
        <f>VLOOKUP(A412,DataUsuario!B:D,2,FALSE)</f>
        <v>Agrícola</v>
      </c>
      <c r="E412" t="str">
        <f>VLOOKUP(A412,DataUsuario!B:D,3,FALSE)</f>
        <v>Fundo Montelima</v>
      </c>
      <c r="F412" t="s">
        <v>89</v>
      </c>
    </row>
    <row r="413" spans="1:6" x14ac:dyDescent="0.3">
      <c r="A413" s="157" t="s">
        <v>65</v>
      </c>
      <c r="B413" t="s">
        <v>17</v>
      </c>
      <c r="C413" s="163">
        <v>5</v>
      </c>
      <c r="D413" t="str">
        <f>VLOOKUP(A413,DataUsuario!B:D,2,FALSE)</f>
        <v>Administración y Finanzas</v>
      </c>
      <c r="E413" t="str">
        <f>VLOOKUP(A413,DataUsuario!B:D,3,FALSE)</f>
        <v>Finanzas y Tesorería</v>
      </c>
      <c r="F413" t="s">
        <v>66</v>
      </c>
    </row>
    <row r="414" spans="1:6" x14ac:dyDescent="0.3">
      <c r="A414" s="156" t="s">
        <v>609</v>
      </c>
      <c r="B414" t="s">
        <v>17</v>
      </c>
      <c r="C414" s="162">
        <v>2</v>
      </c>
      <c r="D414" t="str">
        <f>VLOOKUP(A414,DataUsuario!B:D,2,FALSE)</f>
        <v>Administración y Finanzas</v>
      </c>
      <c r="E414" t="str">
        <f>VLOOKUP(A414,DataUsuario!B:D,3,FALSE)</f>
        <v>Compras</v>
      </c>
      <c r="F414" t="s">
        <v>66</v>
      </c>
    </row>
    <row r="415" spans="1:6" x14ac:dyDescent="0.3">
      <c r="A415" s="157" t="s">
        <v>85</v>
      </c>
      <c r="B415" t="s">
        <v>17</v>
      </c>
      <c r="C415" s="163">
        <v>5</v>
      </c>
      <c r="D415" t="str">
        <f>VLOOKUP(A415,DataUsuario!B:D,2,FALSE)</f>
        <v>Operaciones</v>
      </c>
      <c r="E415" t="str">
        <f>VLOOKUP(A415,DataUsuario!B:D,3,FALSE)</f>
        <v>Comercial</v>
      </c>
      <c r="F415" t="s">
        <v>70</v>
      </c>
    </row>
    <row r="416" spans="1:6" x14ac:dyDescent="0.3">
      <c r="A416" s="156" t="s">
        <v>256</v>
      </c>
      <c r="B416" t="s">
        <v>17</v>
      </c>
      <c r="C416" s="162">
        <v>4</v>
      </c>
      <c r="D416" t="str">
        <f>VLOOKUP(A416,DataUsuario!B:D,2,FALSE)</f>
        <v>Agrícola</v>
      </c>
      <c r="E416" t="str">
        <f>VLOOKUP(A416,DataUsuario!B:D,3,FALSE)</f>
        <v>Fundo Montelima</v>
      </c>
      <c r="F416" t="s">
        <v>89</v>
      </c>
    </row>
    <row r="417" spans="1:6" x14ac:dyDescent="0.3">
      <c r="A417" s="157" t="s">
        <v>611</v>
      </c>
      <c r="B417" t="s">
        <v>17</v>
      </c>
      <c r="C417" s="163">
        <v>4</v>
      </c>
      <c r="D417" t="str">
        <f>VLOOKUP(A417,DataUsuario!B:D,2,FALSE)</f>
        <v>Operaciones</v>
      </c>
      <c r="E417" t="str">
        <f>VLOOKUP(A417,DataUsuario!B:D,3,FALSE)</f>
        <v>Almacenes y Distribución PT</v>
      </c>
      <c r="F417" t="s">
        <v>70</v>
      </c>
    </row>
    <row r="418" spans="1:6" x14ac:dyDescent="0.3">
      <c r="A418" s="156" t="s">
        <v>267</v>
      </c>
      <c r="B418" t="s">
        <v>17</v>
      </c>
      <c r="C418" s="162">
        <v>5</v>
      </c>
      <c r="D418" t="str">
        <f>VLOOKUP(A418,DataUsuario!B:D,2,FALSE)</f>
        <v>Gestión Humana y Sostenibilidad</v>
      </c>
      <c r="E418" t="str">
        <f>VLOOKUP(A418,DataUsuario!B:D,3,FALSE)</f>
        <v>Sostenibilidad</v>
      </c>
      <c r="F418" t="s">
        <v>62</v>
      </c>
    </row>
    <row r="419" spans="1:6" x14ac:dyDescent="0.3">
      <c r="A419" s="157" t="s">
        <v>614</v>
      </c>
      <c r="B419" t="s">
        <v>17</v>
      </c>
      <c r="C419" s="163">
        <v>5</v>
      </c>
      <c r="D419" t="str">
        <f>VLOOKUP(A419,DataUsuario!B:D,2,FALSE)</f>
        <v>Operaciones</v>
      </c>
      <c r="E419" t="str">
        <f>VLOOKUP(A419,DataUsuario!B:D,3,FALSE)</f>
        <v>Transporte</v>
      </c>
      <c r="F419" t="s">
        <v>70</v>
      </c>
    </row>
    <row r="420" spans="1:6" x14ac:dyDescent="0.3">
      <c r="A420" s="156" t="s">
        <v>415</v>
      </c>
      <c r="B420" t="s">
        <v>17</v>
      </c>
      <c r="C420" s="162">
        <v>5</v>
      </c>
      <c r="D420" t="str">
        <f>VLOOKUP(A420,DataUsuario!B:D,2,FALSE)</f>
        <v>Administración y Finanzas</v>
      </c>
      <c r="E420" t="str">
        <f>VLOOKUP(A420,DataUsuario!B:D,3,FALSE)</f>
        <v>Administración</v>
      </c>
      <c r="F420" t="s">
        <v>66</v>
      </c>
    </row>
    <row r="421" spans="1:6" x14ac:dyDescent="0.3">
      <c r="A421" s="157" t="s">
        <v>200</v>
      </c>
      <c r="B421" t="s">
        <v>17</v>
      </c>
      <c r="C421" s="163">
        <v>4</v>
      </c>
      <c r="D421" t="str">
        <f>VLOOKUP(A421,DataUsuario!B:D,2,FALSE)</f>
        <v>Industrial y de Mantenimiento</v>
      </c>
      <c r="E421" t="str">
        <f>VLOOKUP(A421,DataUsuario!B:D,3,FALSE)</f>
        <v>Electricidad</v>
      </c>
      <c r="F421" t="s">
        <v>74</v>
      </c>
    </row>
    <row r="422" spans="1:6" x14ac:dyDescent="0.3">
      <c r="A422" s="156" t="s">
        <v>198</v>
      </c>
      <c r="B422" t="s">
        <v>17</v>
      </c>
      <c r="C422" s="162">
        <v>5</v>
      </c>
      <c r="D422" t="str">
        <f>VLOOKUP(A422,DataUsuario!B:D,2,FALSE)</f>
        <v>Agrícola</v>
      </c>
      <c r="E422" t="str">
        <f>VLOOKUP(A422,DataUsuario!B:D,3,FALSE)</f>
        <v>Fundo Lobo</v>
      </c>
      <c r="F422" t="s">
        <v>89</v>
      </c>
    </row>
    <row r="423" spans="1:6" x14ac:dyDescent="0.3">
      <c r="A423" s="157" t="s">
        <v>350</v>
      </c>
      <c r="B423" t="s">
        <v>17</v>
      </c>
      <c r="C423" s="163">
        <v>5</v>
      </c>
      <c r="D423" t="str">
        <f>VLOOKUP(A423,DataUsuario!B:D,2,FALSE)</f>
        <v>Agrícola</v>
      </c>
      <c r="E423" t="str">
        <f>VLOOKUP(A423,DataUsuario!B:D,3,FALSE)</f>
        <v>Planificador Agrícola</v>
      </c>
      <c r="F423" t="s">
        <v>89</v>
      </c>
    </row>
    <row r="424" spans="1:6" x14ac:dyDescent="0.3">
      <c r="A424" s="156" t="s">
        <v>345</v>
      </c>
      <c r="B424" t="s">
        <v>17</v>
      </c>
      <c r="C424" s="162" t="s">
        <v>627</v>
      </c>
      <c r="D424" t="str">
        <f>VLOOKUP(A424,DataUsuario!B:D,2,FALSE)</f>
        <v>Agrícola</v>
      </c>
      <c r="E424" t="str">
        <f>VLOOKUP(A424,DataUsuario!B:D,3,FALSE)</f>
        <v>Mantenimiento de Riego y Bombas</v>
      </c>
      <c r="F424" t="s">
        <v>89</v>
      </c>
    </row>
    <row r="425" spans="1:6" x14ac:dyDescent="0.3">
      <c r="A425" s="157" t="s">
        <v>314</v>
      </c>
      <c r="B425" t="s">
        <v>17</v>
      </c>
      <c r="C425" s="163">
        <v>4</v>
      </c>
      <c r="D425" t="str">
        <f>VLOOKUP(A425,DataUsuario!B:D,2,FALSE)</f>
        <v>Industrial y de Mantenimiento</v>
      </c>
      <c r="E425" t="str">
        <f>VLOOKUP(A425,DataUsuario!B:D,3,FALSE)</f>
        <v>Mantenimiento Industrial</v>
      </c>
      <c r="F425" t="s">
        <v>74</v>
      </c>
    </row>
    <row r="426" spans="1:6" x14ac:dyDescent="0.3">
      <c r="A426" s="156" t="s">
        <v>150</v>
      </c>
      <c r="B426" t="s">
        <v>17</v>
      </c>
      <c r="C426" s="162">
        <v>4</v>
      </c>
      <c r="D426" t="str">
        <f>VLOOKUP(A426,DataUsuario!B:D,2,FALSE)</f>
        <v>Industrial y de Mantenimiento</v>
      </c>
      <c r="E426" t="str">
        <f>VLOOKUP(A426,DataUsuario!B:D,3,FALSE)</f>
        <v>Producción</v>
      </c>
      <c r="F426" t="s">
        <v>74</v>
      </c>
    </row>
    <row r="427" spans="1:6" x14ac:dyDescent="0.3">
      <c r="A427" s="157" t="s">
        <v>271</v>
      </c>
      <c r="B427" t="s">
        <v>17</v>
      </c>
      <c r="C427" s="163">
        <v>4</v>
      </c>
      <c r="D427" t="str">
        <f>VLOOKUP(A427,DataUsuario!B:D,2,FALSE)</f>
        <v>Operaciones</v>
      </c>
      <c r="E427" t="str">
        <f>VLOOKUP(A427,DataUsuario!B:D,3,FALSE)</f>
        <v>Calidad</v>
      </c>
      <c r="F427" t="s">
        <v>70</v>
      </c>
    </row>
    <row r="428" spans="1:6" x14ac:dyDescent="0.3">
      <c r="A428" s="156" t="s">
        <v>156</v>
      </c>
      <c r="B428" t="s">
        <v>17</v>
      </c>
      <c r="C428" s="162">
        <v>5</v>
      </c>
      <c r="D428" t="str">
        <f>VLOOKUP(A428,DataUsuario!B:D,2,FALSE)</f>
        <v>Administración y Finanzas</v>
      </c>
      <c r="E428" t="str">
        <f>VLOOKUP(A428,DataUsuario!B:D,3,FALSE)</f>
        <v>Compras</v>
      </c>
      <c r="F428" t="s">
        <v>66</v>
      </c>
    </row>
    <row r="429" spans="1:6" x14ac:dyDescent="0.3">
      <c r="A429" s="157" t="s">
        <v>369</v>
      </c>
      <c r="B429" t="s">
        <v>17</v>
      </c>
      <c r="C429" s="163">
        <v>4</v>
      </c>
      <c r="D429" t="str">
        <f>VLOOKUP(A429,DataUsuario!B:D,2,FALSE)</f>
        <v>Agrícola</v>
      </c>
      <c r="E429" t="str">
        <f>VLOOKUP(A429,DataUsuario!B:D,3,FALSE)</f>
        <v>Sistema Integral de Gestión</v>
      </c>
      <c r="F429" t="s">
        <v>89</v>
      </c>
    </row>
    <row r="430" spans="1:6" x14ac:dyDescent="0.3">
      <c r="A430" s="156" t="s">
        <v>224</v>
      </c>
      <c r="B430" t="s">
        <v>17</v>
      </c>
      <c r="C430" s="162" t="s">
        <v>627</v>
      </c>
      <c r="D430" t="str">
        <f>VLOOKUP(A430,DataUsuario!B:D,2,FALSE)</f>
        <v>Agrícola</v>
      </c>
      <c r="E430" t="str">
        <f>VLOOKUP(A430,DataUsuario!B:D,3,FALSE)</f>
        <v>Laboratorio e Investigación Agricola</v>
      </c>
      <c r="F430" t="s">
        <v>89</v>
      </c>
    </row>
    <row r="431" spans="1:6" x14ac:dyDescent="0.3">
      <c r="A431" s="157" t="s">
        <v>618</v>
      </c>
      <c r="B431" t="s">
        <v>17</v>
      </c>
      <c r="C431" s="163">
        <v>5</v>
      </c>
      <c r="D431" t="str">
        <f>VLOOKUP(A431,DataUsuario!B:D,2,FALSE)</f>
        <v>Operaciones</v>
      </c>
      <c r="E431" t="str">
        <f>VLOOKUP(A431,DataUsuario!B:D,3,FALSE)</f>
        <v>Comercial</v>
      </c>
      <c r="F431" t="s">
        <v>70</v>
      </c>
    </row>
    <row r="432" spans="1:6" x14ac:dyDescent="0.3">
      <c r="A432" s="156" t="s">
        <v>397</v>
      </c>
      <c r="B432" t="s">
        <v>17</v>
      </c>
      <c r="C432" s="162">
        <v>4</v>
      </c>
      <c r="D432" t="str">
        <f>VLOOKUP(A432,DataUsuario!B:D,2,FALSE)</f>
        <v>Administración y Finanzas</v>
      </c>
      <c r="E432" t="str">
        <f>VLOOKUP(A432,DataUsuario!B:D,3,FALSE)</f>
        <v>Control de Gestión</v>
      </c>
      <c r="F432" t="s">
        <v>66</v>
      </c>
    </row>
    <row r="433" spans="1:6" x14ac:dyDescent="0.3">
      <c r="A433" s="157" t="s">
        <v>619</v>
      </c>
      <c r="B433" t="s">
        <v>17</v>
      </c>
      <c r="C433" s="163">
        <v>5</v>
      </c>
      <c r="D433" t="str">
        <f>VLOOKUP(A433,DataUsuario!B:D,2,FALSE)</f>
        <v>Gestión Humana y Sostenibilidad</v>
      </c>
      <c r="E433" t="str">
        <f>VLOOKUP(A433,DataUsuario!B:D,3,FALSE)</f>
        <v>Bienestar - Medico Ocupacional</v>
      </c>
      <c r="F433" t="s">
        <v>62</v>
      </c>
    </row>
    <row r="434" spans="1:6" x14ac:dyDescent="0.3">
      <c r="A434" s="156" t="s">
        <v>215</v>
      </c>
      <c r="B434" t="s">
        <v>17</v>
      </c>
      <c r="C434" s="162">
        <v>5</v>
      </c>
      <c r="D434" t="str">
        <f>VLOOKUP(A434,DataUsuario!B:D,2,FALSE)</f>
        <v>Gestión Humana y Sostenibilidad</v>
      </c>
      <c r="E434" t="str">
        <f>VLOOKUP(A434,DataUsuario!B:D,3,FALSE)</f>
        <v>Seguridad</v>
      </c>
      <c r="F434" t="s">
        <v>62</v>
      </c>
    </row>
    <row r="435" spans="1:6" x14ac:dyDescent="0.3">
      <c r="A435" s="157" t="s">
        <v>307</v>
      </c>
      <c r="B435" t="s">
        <v>17</v>
      </c>
      <c r="C435" s="163">
        <v>5</v>
      </c>
      <c r="D435" t="str">
        <f>VLOOKUP(A435,DataUsuario!B:D,2,FALSE)</f>
        <v>Gestión Humana y Sostenibilidad</v>
      </c>
      <c r="E435" t="str">
        <f>VLOOKUP(A435,DataUsuario!B:D,3,FALSE)</f>
        <v>Comunicaciones y Responsabilidad Social</v>
      </c>
      <c r="F435" t="s">
        <v>62</v>
      </c>
    </row>
    <row r="436" spans="1:6" x14ac:dyDescent="0.3">
      <c r="A436" s="156" t="s">
        <v>285</v>
      </c>
      <c r="B436" t="s">
        <v>17</v>
      </c>
      <c r="C436" s="162">
        <v>2</v>
      </c>
      <c r="D436" t="str">
        <f>VLOOKUP(A436,DataUsuario!B:D,2,FALSE)</f>
        <v>Operaciones</v>
      </c>
      <c r="E436" t="str">
        <f>VLOOKUP(A436,DataUsuario!B:D,3,FALSE)</f>
        <v>Comercial</v>
      </c>
      <c r="F436" t="s">
        <v>70</v>
      </c>
    </row>
    <row r="437" spans="1:6" x14ac:dyDescent="0.3">
      <c r="A437" s="157" t="s">
        <v>316</v>
      </c>
      <c r="B437" t="s">
        <v>17</v>
      </c>
      <c r="C437" s="163">
        <v>5</v>
      </c>
      <c r="D437" t="str">
        <f>VLOOKUP(A437,DataUsuario!B:D,2,FALSE)</f>
        <v>Administración y Finanzas</v>
      </c>
      <c r="E437" t="str">
        <f>VLOOKUP(A437,DataUsuario!B:D,3,FALSE)</f>
        <v>Compras</v>
      </c>
      <c r="F437" t="s">
        <v>66</v>
      </c>
    </row>
    <row r="438" spans="1:6" x14ac:dyDescent="0.3">
      <c r="A438" s="156" t="s">
        <v>372</v>
      </c>
      <c r="B438" t="s">
        <v>17</v>
      </c>
      <c r="C438" s="162">
        <v>5</v>
      </c>
      <c r="D438" t="str">
        <f>VLOOKUP(A438,DataUsuario!B:D,2,FALSE)</f>
        <v>Agrícola</v>
      </c>
      <c r="E438" t="str">
        <f>VLOOKUP(A438,DataUsuario!B:D,3,FALSE)</f>
        <v>Laboratorio e Investigación Agricola</v>
      </c>
      <c r="F438" t="s">
        <v>89</v>
      </c>
    </row>
    <row r="439" spans="1:6" x14ac:dyDescent="0.3">
      <c r="A439" s="157" t="s">
        <v>328</v>
      </c>
      <c r="B439" t="s">
        <v>17</v>
      </c>
      <c r="C439" s="163">
        <v>4</v>
      </c>
      <c r="D439" t="str">
        <f>VLOOKUP(A439,DataUsuario!B:D,2,FALSE)</f>
        <v>Administración y Finanzas</v>
      </c>
      <c r="E439" t="str">
        <f>VLOOKUP(A439,DataUsuario!B:D,3,FALSE)</f>
        <v>Administración</v>
      </c>
      <c r="F439" t="s">
        <v>66</v>
      </c>
    </row>
    <row r="440" spans="1:6" x14ac:dyDescent="0.3">
      <c r="A440" s="156" t="s">
        <v>376</v>
      </c>
      <c r="B440" t="s">
        <v>17</v>
      </c>
      <c r="C440" s="162">
        <v>5</v>
      </c>
      <c r="D440" t="str">
        <f>VLOOKUP(A440,DataUsuario!B:D,2,FALSE)</f>
        <v>Administración y Finanzas</v>
      </c>
      <c r="E440" t="str">
        <f>VLOOKUP(A440,DataUsuario!B:D,3,FALSE)</f>
        <v>Control de Gestión</v>
      </c>
      <c r="F440" t="s">
        <v>66</v>
      </c>
    </row>
    <row r="441" spans="1:6" x14ac:dyDescent="0.3">
      <c r="A441" s="157" t="s">
        <v>238</v>
      </c>
      <c r="B441" t="s">
        <v>17</v>
      </c>
      <c r="C441" s="163">
        <v>3</v>
      </c>
      <c r="D441" t="str">
        <f>VLOOKUP(A441,DataUsuario!B:D,2,FALSE)</f>
        <v>Industrial y de Mantenimiento</v>
      </c>
      <c r="E441" t="str">
        <f>VLOOKUP(A441,DataUsuario!B:D,3,FALSE)</f>
        <v>Producción</v>
      </c>
      <c r="F441" t="s">
        <v>74</v>
      </c>
    </row>
    <row r="442" spans="1:6" x14ac:dyDescent="0.3">
      <c r="A442" s="156" t="s">
        <v>623</v>
      </c>
      <c r="B442" t="s">
        <v>17</v>
      </c>
      <c r="C442" s="162" t="s">
        <v>627</v>
      </c>
      <c r="D442" t="str">
        <f>VLOOKUP(A442,DataUsuario!B:D,2,FALSE)</f>
        <v>Industrial y de Mantenimiento</v>
      </c>
      <c r="E442" t="str">
        <f>VLOOKUP(A442,DataUsuario!B:D,3,FALSE)</f>
        <v>Mantenimiento Industrial</v>
      </c>
      <c r="F442" t="s">
        <v>74</v>
      </c>
    </row>
    <row r="443" spans="1:6" x14ac:dyDescent="0.3">
      <c r="A443" s="157" t="s">
        <v>387</v>
      </c>
      <c r="B443" t="s">
        <v>17</v>
      </c>
      <c r="C443" s="163">
        <v>5</v>
      </c>
      <c r="D443" t="str">
        <f>VLOOKUP(A443,DataUsuario!B:D,2,FALSE)</f>
        <v>Administración y Finanzas</v>
      </c>
      <c r="E443" t="str">
        <f>VLOOKUP(A443,DataUsuario!B:D,3,FALSE)</f>
        <v>Contabilidad Tributaria</v>
      </c>
      <c r="F443" t="s">
        <v>66</v>
      </c>
    </row>
    <row r="444" spans="1:6" x14ac:dyDescent="0.3">
      <c r="A444" s="156" t="s">
        <v>413</v>
      </c>
      <c r="B444" t="s">
        <v>17</v>
      </c>
      <c r="C444" s="162">
        <v>5</v>
      </c>
      <c r="D444" t="str">
        <f>VLOOKUP(A444,DataUsuario!B:D,2,FALSE)</f>
        <v>Administración y Finanzas</v>
      </c>
      <c r="E444" t="str">
        <f>VLOOKUP(A444,DataUsuario!B:D,3,FALSE)</f>
        <v>Contabilidad Tributaria</v>
      </c>
      <c r="F444" t="s">
        <v>66</v>
      </c>
    </row>
    <row r="445" spans="1:6" x14ac:dyDescent="0.3">
      <c r="A445" s="157" t="s">
        <v>97</v>
      </c>
      <c r="B445" t="s">
        <v>17</v>
      </c>
      <c r="C445" s="163">
        <v>5</v>
      </c>
      <c r="D445" t="str">
        <f>VLOOKUP(A445,DataUsuario!B:D,2,FALSE)</f>
        <v>Gestión Humana y Sostenibilidad</v>
      </c>
      <c r="E445" t="str">
        <f>VLOOKUP(A445,DataUsuario!B:D,3,FALSE)</f>
        <v>Compensación y Nóminas</v>
      </c>
      <c r="F445" t="s">
        <v>62</v>
      </c>
    </row>
    <row r="446" spans="1:6" x14ac:dyDescent="0.3">
      <c r="A446" s="156" t="s">
        <v>352</v>
      </c>
      <c r="B446" t="s">
        <v>17</v>
      </c>
      <c r="C446" s="162">
        <v>5</v>
      </c>
      <c r="D446" t="str">
        <f>VLOOKUP(A446,DataUsuario!B:D,2,FALSE)</f>
        <v>Gestión Humana y Sostenibilidad</v>
      </c>
      <c r="E446" t="str">
        <f>VLOOKUP(A446,DataUsuario!B:D,3,FALSE)</f>
        <v>Compensación y Nóminas</v>
      </c>
      <c r="F446" t="s">
        <v>62</v>
      </c>
    </row>
    <row r="447" spans="1:6" x14ac:dyDescent="0.3">
      <c r="A447" s="157" t="s">
        <v>128</v>
      </c>
      <c r="B447" t="s">
        <v>17</v>
      </c>
      <c r="C447" s="163">
        <v>5</v>
      </c>
      <c r="D447" t="str">
        <f>VLOOKUP(A447,DataUsuario!B:D,2,FALSE)</f>
        <v>Agrícola</v>
      </c>
      <c r="E447" t="str">
        <f>VLOOKUP(A447,DataUsuario!B:D,3,FALSE)</f>
        <v>Fundo Lobo</v>
      </c>
      <c r="F447" t="s">
        <v>89</v>
      </c>
    </row>
    <row r="448" spans="1:6" x14ac:dyDescent="0.3">
      <c r="A448" s="156" t="s">
        <v>625</v>
      </c>
      <c r="B448" t="s">
        <v>17</v>
      </c>
      <c r="C448" s="162">
        <v>5</v>
      </c>
      <c r="D448" t="str">
        <f>VLOOKUP(A448,DataUsuario!B:D,2,FALSE)</f>
        <v>Administración y Finanzas</v>
      </c>
      <c r="E448" t="str">
        <f>VLOOKUP(A448,DataUsuario!B:D,3,FALSE)</f>
        <v>Finanzas y Tesorería</v>
      </c>
      <c r="F448" t="s">
        <v>66</v>
      </c>
    </row>
    <row r="449" spans="1:6" x14ac:dyDescent="0.3">
      <c r="A449" s="157" t="s">
        <v>303</v>
      </c>
      <c r="B449" t="s">
        <v>17</v>
      </c>
      <c r="C449" s="163">
        <v>4</v>
      </c>
      <c r="D449" t="str">
        <f>VLOOKUP(A449,DataUsuario!B:D,2,FALSE)</f>
        <v>Administración y Finanzas</v>
      </c>
      <c r="E449" t="str">
        <f>VLOOKUP(A449,DataUsuario!B:D,3,FALSE)</f>
        <v>Control de Gestión</v>
      </c>
      <c r="F449" t="s">
        <v>66</v>
      </c>
    </row>
    <row r="450" spans="1:6" x14ac:dyDescent="0.3">
      <c r="A450" s="156" t="s">
        <v>115</v>
      </c>
      <c r="B450" t="s">
        <v>17</v>
      </c>
      <c r="C450" s="162">
        <v>4</v>
      </c>
      <c r="D450" t="str">
        <f>VLOOKUP(A450,DataUsuario!B:D,2,FALSE)</f>
        <v>Industrial y de Mantenimiento</v>
      </c>
      <c r="E450" t="str">
        <f>VLOOKUP(A450,DataUsuario!B:D,3,FALSE)</f>
        <v>Mantenimiento de Transportes</v>
      </c>
      <c r="F450" t="s">
        <v>74</v>
      </c>
    </row>
    <row r="451" spans="1:6" x14ac:dyDescent="0.3">
      <c r="A451" s="158" t="s">
        <v>123</v>
      </c>
      <c r="B451" t="s">
        <v>17</v>
      </c>
      <c r="C451" s="164">
        <v>4</v>
      </c>
      <c r="D451" t="str">
        <f>VLOOKUP(A451,DataUsuario!B:D,2,FALSE)</f>
        <v>Administración y Finanzas</v>
      </c>
      <c r="E451" t="str">
        <f>VLOOKUP(A451,DataUsuario!B:D,3,FALSE)</f>
        <v>Gerencia Administración y Finanzas</v>
      </c>
      <c r="F451" t="s">
        <v>66</v>
      </c>
    </row>
  </sheetData>
  <hyperlinks>
    <hyperlink ref="A341" r:id="rId2" xr:uid="{834643D0-B9ED-4B93-AC79-FCB27ED8E106}"/>
  </hyperlinks>
  <pageMargins left="0.7" right="0.7" top="0.75" bottom="0.75" header="0.3" footer="0.3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C8EA-B5D6-4B35-BA14-49F235F31165}">
  <sheetPr codeName="Hoja6"/>
  <dimension ref="A2:M42"/>
  <sheetViews>
    <sheetView workbookViewId="0">
      <selection activeCell="A16" sqref="A16:B20"/>
    </sheetView>
  </sheetViews>
  <sheetFormatPr baseColWidth="10" defaultRowHeight="14.4" x14ac:dyDescent="0.3"/>
  <cols>
    <col min="1" max="1" width="50.44140625" bestFit="1" customWidth="1"/>
    <col min="2" max="2" width="11.44140625" bestFit="1" customWidth="1"/>
    <col min="3" max="3" width="5.5546875" bestFit="1" customWidth="1"/>
    <col min="4" max="4" width="7.6640625" bestFit="1" customWidth="1"/>
    <col min="5" max="5" width="9.88671875" bestFit="1" customWidth="1"/>
    <col min="12" max="12" width="50.44140625" bestFit="1" customWidth="1"/>
    <col min="13" max="13" width="21.88671875" bestFit="1" customWidth="1"/>
  </cols>
  <sheetData>
    <row r="2" spans="1:13" x14ac:dyDescent="0.3">
      <c r="A2" t="s">
        <v>633</v>
      </c>
      <c r="B2">
        <v>93</v>
      </c>
    </row>
    <row r="3" spans="1:13" x14ac:dyDescent="0.3">
      <c r="A3" t="s">
        <v>634</v>
      </c>
      <c r="B3">
        <v>90</v>
      </c>
    </row>
    <row r="4" spans="1:13" x14ac:dyDescent="0.3">
      <c r="A4" t="s">
        <v>635</v>
      </c>
      <c r="B4">
        <v>3</v>
      </c>
    </row>
    <row r="15" spans="1:13" x14ac:dyDescent="0.3">
      <c r="A15" t="s">
        <v>452</v>
      </c>
      <c r="B15" t="s">
        <v>630</v>
      </c>
      <c r="L15" t="s">
        <v>631</v>
      </c>
      <c r="M15" t="s">
        <v>632</v>
      </c>
    </row>
    <row r="16" spans="1:13" x14ac:dyDescent="0.3">
      <c r="A16" t="s">
        <v>13</v>
      </c>
      <c r="B16">
        <v>4.508</v>
      </c>
      <c r="L16" t="s">
        <v>62</v>
      </c>
      <c r="M16">
        <v>4.6109999999999998</v>
      </c>
    </row>
    <row r="17" spans="1:13" x14ac:dyDescent="0.3">
      <c r="A17" t="s">
        <v>15</v>
      </c>
      <c r="B17">
        <v>4.4690000000000003</v>
      </c>
      <c r="L17" t="s">
        <v>66</v>
      </c>
      <c r="M17">
        <v>4.4160000000000004</v>
      </c>
    </row>
    <row r="18" spans="1:13" x14ac:dyDescent="0.3">
      <c r="A18" t="s">
        <v>14</v>
      </c>
      <c r="B18">
        <v>4.3819999999999997</v>
      </c>
      <c r="L18" t="s">
        <v>70</v>
      </c>
      <c r="M18">
        <v>4.3609999999999998</v>
      </c>
    </row>
    <row r="19" spans="1:13" x14ac:dyDescent="0.3">
      <c r="A19" t="s">
        <v>16</v>
      </c>
      <c r="B19" s="173">
        <v>4.29</v>
      </c>
      <c r="L19" t="s">
        <v>89</v>
      </c>
      <c r="M19">
        <v>4.266</v>
      </c>
    </row>
    <row r="20" spans="1:13" x14ac:dyDescent="0.3">
      <c r="A20" t="s">
        <v>17</v>
      </c>
      <c r="B20">
        <v>4.2859999999999996</v>
      </c>
      <c r="L20" t="s">
        <v>74</v>
      </c>
      <c r="M20">
        <v>4.0869999999999997</v>
      </c>
    </row>
    <row r="34" spans="1:13" x14ac:dyDescent="0.3">
      <c r="L34" s="175" t="s">
        <v>5</v>
      </c>
      <c r="M34" t="s">
        <v>15</v>
      </c>
    </row>
    <row r="36" spans="1:13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  <c r="L36" s="175" t="s">
        <v>638</v>
      </c>
      <c r="M36" t="s">
        <v>642</v>
      </c>
    </row>
    <row r="37" spans="1:13" x14ac:dyDescent="0.3">
      <c r="A37" t="s">
        <v>13</v>
      </c>
      <c r="B37" s="12"/>
      <c r="C37" s="27">
        <v>4.1764705882352944</v>
      </c>
      <c r="D37" s="25">
        <v>4.2169999999999996</v>
      </c>
      <c r="E37" s="19">
        <v>4.508</v>
      </c>
      <c r="L37" s="146" t="s">
        <v>17</v>
      </c>
      <c r="M37" s="173">
        <v>5</v>
      </c>
    </row>
    <row r="38" spans="1:13" x14ac:dyDescent="0.3">
      <c r="A38" t="s">
        <v>15</v>
      </c>
      <c r="B38" s="31">
        <v>4.2320945945945949</v>
      </c>
      <c r="C38" s="27">
        <v>4.3283208020050132</v>
      </c>
      <c r="D38" s="27">
        <v>4.32</v>
      </c>
      <c r="E38">
        <v>4.4690000000000003</v>
      </c>
      <c r="L38" s="146" t="s">
        <v>16</v>
      </c>
      <c r="M38" s="173">
        <v>5</v>
      </c>
    </row>
    <row r="39" spans="1:13" x14ac:dyDescent="0.3">
      <c r="A39" t="s">
        <v>14</v>
      </c>
      <c r="B39" s="31">
        <v>4.0340909090909092</v>
      </c>
      <c r="C39" s="27">
        <v>4.1862170087976542</v>
      </c>
      <c r="D39" s="12">
        <v>4.2370000000000001</v>
      </c>
      <c r="E39">
        <v>4.3819999999999997</v>
      </c>
      <c r="L39" s="146" t="s">
        <v>14</v>
      </c>
      <c r="M39" s="173">
        <v>5</v>
      </c>
    </row>
    <row r="40" spans="1:13" x14ac:dyDescent="0.3">
      <c r="A40" t="s">
        <v>16</v>
      </c>
      <c r="B40" s="31">
        <v>3.8463438735177862</v>
      </c>
      <c r="C40" s="27">
        <v>4.0620192307692307</v>
      </c>
      <c r="D40" s="12">
        <v>4.0940000000000003</v>
      </c>
      <c r="E40" s="173">
        <v>4.29</v>
      </c>
      <c r="L40" s="146" t="s">
        <v>15</v>
      </c>
      <c r="M40" s="173">
        <v>5</v>
      </c>
    </row>
    <row r="41" spans="1:13" ht="15" thickBot="1" x14ac:dyDescent="0.35">
      <c r="A41" t="s">
        <v>17</v>
      </c>
      <c r="B41" s="34">
        <v>3.9649122807017543</v>
      </c>
      <c r="C41" s="29">
        <v>4.0443037974683538</v>
      </c>
      <c r="D41" s="32">
        <v>4.0949999999999998</v>
      </c>
      <c r="E41" s="18">
        <v>4.2859999999999996</v>
      </c>
      <c r="L41" s="146" t="s">
        <v>13</v>
      </c>
      <c r="M41" s="173">
        <v>5</v>
      </c>
    </row>
    <row r="42" spans="1:13" x14ac:dyDescent="0.3">
      <c r="L42" s="146" t="s">
        <v>639</v>
      </c>
      <c r="M42" s="173">
        <v>5</v>
      </c>
    </row>
  </sheetData>
  <autoFilter ref="A36:E41" xr:uid="{5630C8EA-B5D6-4B35-BA14-49F235F31165}">
    <sortState xmlns:xlrd2="http://schemas.microsoft.com/office/spreadsheetml/2017/richdata2" ref="A37:E41">
      <sortCondition descending="1" ref="E36:E41"/>
    </sortState>
  </autoFilter>
  <pageMargins left="0.7" right="0.7" top="0.75" bottom="0.75" header="0.3" footer="0.3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1FD71-190D-49EB-81A6-725920BA7FF7}">
  <sheetPr codeName="Hoja9"/>
  <dimension ref="D67:P84"/>
  <sheetViews>
    <sheetView tabSelected="1" topLeftCell="A28" workbookViewId="0">
      <selection activeCell="J37" sqref="J37"/>
    </sheetView>
  </sheetViews>
  <sheetFormatPr baseColWidth="10" defaultRowHeight="14.4" x14ac:dyDescent="0.3"/>
  <sheetData>
    <row r="67" spans="4:16" x14ac:dyDescent="0.3">
      <c r="D67" s="165"/>
      <c r="E67" s="166"/>
      <c r="F67" s="166"/>
      <c r="G67" s="166"/>
      <c r="H67" s="166"/>
      <c r="I67" s="166"/>
      <c r="J67" s="166"/>
      <c r="K67" s="166"/>
      <c r="L67" s="166"/>
      <c r="M67" s="166"/>
      <c r="N67" s="166"/>
      <c r="O67" s="166"/>
      <c r="P67" s="167"/>
    </row>
    <row r="68" spans="4:16" x14ac:dyDescent="0.3">
      <c r="D68" s="168" t="s">
        <v>636</v>
      </c>
      <c r="P68" s="169"/>
    </row>
    <row r="69" spans="4:16" x14ac:dyDescent="0.3">
      <c r="D69" s="168"/>
      <c r="P69" s="169"/>
    </row>
    <row r="70" spans="4:16" x14ac:dyDescent="0.3">
      <c r="D70" s="10" t="s">
        <v>5</v>
      </c>
      <c r="E70" s="10">
        <v>2021</v>
      </c>
      <c r="F70" s="10">
        <v>2022</v>
      </c>
      <c r="G70" s="11">
        <v>2023</v>
      </c>
      <c r="H70" s="11">
        <v>2024</v>
      </c>
      <c r="I70" s="43"/>
      <c r="P70" s="169"/>
    </row>
    <row r="71" spans="4:16" x14ac:dyDescent="0.3">
      <c r="D71" s="6" t="s">
        <v>12</v>
      </c>
      <c r="E71" s="17">
        <v>4.04</v>
      </c>
      <c r="F71" s="16">
        <v>4.0279999999999996</v>
      </c>
      <c r="G71" s="16">
        <v>4.1596872565260501</v>
      </c>
      <c r="H71" s="17">
        <v>4.2899999999999991</v>
      </c>
      <c r="P71" s="169"/>
    </row>
    <row r="72" spans="4:16" x14ac:dyDescent="0.3">
      <c r="D72" s="168"/>
      <c r="H72" s="141"/>
      <c r="P72" s="169"/>
    </row>
    <row r="73" spans="4:16" x14ac:dyDescent="0.3">
      <c r="D73" s="168"/>
      <c r="P73" s="169"/>
    </row>
    <row r="74" spans="4:16" x14ac:dyDescent="0.3">
      <c r="D74" s="168"/>
      <c r="P74" s="169"/>
    </row>
    <row r="75" spans="4:16" x14ac:dyDescent="0.3">
      <c r="D75" s="168"/>
      <c r="F75" s="141"/>
      <c r="P75" s="169"/>
    </row>
    <row r="76" spans="4:16" x14ac:dyDescent="0.3">
      <c r="D76" s="168"/>
      <c r="P76" s="169"/>
    </row>
    <row r="77" spans="4:16" x14ac:dyDescent="0.3">
      <c r="D77" s="168"/>
      <c r="P77" s="169"/>
    </row>
    <row r="78" spans="4:16" x14ac:dyDescent="0.3">
      <c r="D78" s="168"/>
      <c r="P78" s="169"/>
    </row>
    <row r="79" spans="4:16" x14ac:dyDescent="0.3">
      <c r="D79" s="168"/>
      <c r="P79" s="169"/>
    </row>
    <row r="80" spans="4:16" x14ac:dyDescent="0.3">
      <c r="D80" s="168"/>
      <c r="P80" s="169"/>
    </row>
    <row r="81" spans="4:16" x14ac:dyDescent="0.3">
      <c r="D81" s="168"/>
      <c r="P81" s="169"/>
    </row>
    <row r="82" spans="4:16" x14ac:dyDescent="0.3">
      <c r="D82" s="168"/>
      <c r="P82" s="169"/>
    </row>
    <row r="83" spans="4:16" x14ac:dyDescent="0.3">
      <c r="D83" s="168"/>
      <c r="P83" s="169"/>
    </row>
    <row r="84" spans="4:16" x14ac:dyDescent="0.3">
      <c r="D84" s="170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2024-12-30T18:19:45Z</dcterms:modified>
</cp:coreProperties>
</file>