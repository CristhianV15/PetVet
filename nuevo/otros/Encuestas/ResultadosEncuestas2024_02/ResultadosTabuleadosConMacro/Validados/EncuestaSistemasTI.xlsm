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C9C4E7A9-D6BF-4814-9D65-3F4AF15C47DC}" xr6:coauthVersionLast="47" xr6:coauthVersionMax="47" xr10:uidLastSave="{00000000-0000-0000-0000-000000000000}"/>
  <bookViews>
    <workbookView xWindow="-28920" yWindow="-120" windowWidth="29040" windowHeight="15720" firstSheet="5" activeTab="9" xr2:uid="{33B226CF-D489-4D0F-8D70-DC6CBAFC18C2}"/>
  </bookViews>
  <sheets>
    <sheet name="DataUsuario" sheetId="19" state="hidden" r:id="rId1"/>
    <sheet name="EncuestaAreas" sheetId="18" state="hidden" r:id="rId2"/>
    <sheet name="HistoricoAreas" sheetId="162" state="hidden" r:id="rId3"/>
    <sheet name="UniversoAreas" sheetId="121" state="hidden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definedNames>
    <definedName name="_xlnm._FilterDatabase" localSheetId="9" hidden="1">DataResumen!$A$36:$E$41</definedName>
  </definedNames>
  <calcPr calcId="191029"/>
  <pivotCaches>
    <pivotCache cacheId="2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03" l="1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E425" i="203"/>
  <c r="E426" i="203"/>
  <c r="E427" i="203"/>
  <c r="E428" i="203"/>
  <c r="E429" i="203"/>
  <c r="E430" i="203"/>
  <c r="E431" i="203"/>
  <c r="E432" i="203"/>
  <c r="E433" i="203"/>
  <c r="E434" i="203"/>
  <c r="E435" i="203"/>
  <c r="E436" i="203"/>
  <c r="E437" i="203"/>
  <c r="E438" i="203"/>
  <c r="E439" i="203"/>
  <c r="E440" i="203"/>
  <c r="E441" i="203"/>
  <c r="E442" i="203"/>
  <c r="E443" i="203"/>
  <c r="E444" i="203"/>
  <c r="E445" i="203"/>
  <c r="E446" i="203"/>
  <c r="E447" i="203"/>
  <c r="E448" i="203"/>
  <c r="E449" i="203"/>
  <c r="E450" i="203"/>
  <c r="E451" i="203"/>
  <c r="E452" i="203"/>
  <c r="E453" i="203"/>
  <c r="E454" i="203"/>
  <c r="E455" i="203"/>
  <c r="E456" i="203"/>
  <c r="E457" i="203"/>
  <c r="E458" i="203"/>
  <c r="E459" i="203"/>
  <c r="E460" i="203"/>
  <c r="E461" i="203"/>
  <c r="E462" i="203"/>
  <c r="E463" i="203"/>
  <c r="E464" i="203"/>
  <c r="E465" i="203"/>
  <c r="E466" i="203"/>
  <c r="E467" i="203"/>
  <c r="E468" i="203"/>
  <c r="E469" i="203"/>
  <c r="E470" i="203"/>
  <c r="E471" i="203"/>
  <c r="E472" i="203"/>
  <c r="E473" i="203"/>
  <c r="E474" i="203"/>
  <c r="E475" i="203"/>
  <c r="E476" i="203"/>
  <c r="E477" i="203"/>
  <c r="E478" i="203"/>
  <c r="E479" i="203"/>
  <c r="E480" i="203"/>
  <c r="E481" i="203"/>
  <c r="E482" i="203"/>
  <c r="E483" i="203"/>
  <c r="E484" i="203"/>
  <c r="E485" i="203"/>
  <c r="E486" i="203"/>
  <c r="E487" i="203"/>
  <c r="E488" i="203"/>
  <c r="E489" i="203"/>
  <c r="E490" i="203"/>
  <c r="E491" i="203"/>
  <c r="E492" i="203"/>
  <c r="E493" i="203"/>
  <c r="E494" i="203"/>
  <c r="E495" i="203"/>
  <c r="E496" i="203"/>
  <c r="E497" i="203"/>
  <c r="E498" i="203"/>
  <c r="E499" i="203"/>
  <c r="E500" i="203"/>
  <c r="E501" i="203"/>
  <c r="E502" i="203"/>
  <c r="E503" i="203"/>
  <c r="E504" i="203"/>
  <c r="E505" i="203"/>
  <c r="E506" i="203"/>
  <c r="E507" i="203"/>
  <c r="E508" i="203"/>
  <c r="E509" i="203"/>
  <c r="E510" i="203"/>
  <c r="E511" i="203"/>
  <c r="E512" i="203"/>
  <c r="E513" i="203"/>
  <c r="E514" i="203"/>
  <c r="E515" i="203"/>
  <c r="E516" i="203"/>
  <c r="E517" i="203"/>
  <c r="E518" i="203"/>
  <c r="E519" i="203"/>
  <c r="E520" i="203"/>
  <c r="E521" i="203"/>
  <c r="E522" i="203"/>
  <c r="E523" i="203"/>
  <c r="E524" i="203"/>
  <c r="E525" i="203"/>
  <c r="E526" i="203"/>
  <c r="E527" i="203"/>
  <c r="E528" i="203"/>
  <c r="E529" i="203"/>
  <c r="E530" i="203"/>
  <c r="E531" i="203"/>
  <c r="E532" i="203"/>
  <c r="E533" i="203"/>
  <c r="E534" i="203"/>
  <c r="E535" i="203"/>
  <c r="E536" i="203"/>
  <c r="E537" i="203"/>
  <c r="E538" i="203"/>
  <c r="E539" i="203"/>
  <c r="E540" i="203"/>
  <c r="E541" i="203"/>
  <c r="E542" i="203"/>
  <c r="E543" i="203"/>
  <c r="E544" i="203"/>
  <c r="E545" i="203"/>
  <c r="E546" i="203"/>
  <c r="E547" i="203"/>
  <c r="E548" i="203"/>
  <c r="E549" i="203"/>
  <c r="E550" i="203"/>
  <c r="E551" i="203"/>
  <c r="E552" i="203"/>
  <c r="E553" i="203"/>
  <c r="E554" i="203"/>
  <c r="E555" i="203"/>
  <c r="E556" i="203"/>
  <c r="E557" i="203"/>
  <c r="E558" i="203"/>
  <c r="E559" i="203"/>
  <c r="E560" i="203"/>
  <c r="E561" i="203"/>
  <c r="E562" i="203"/>
  <c r="E563" i="203"/>
  <c r="E564" i="203"/>
  <c r="E565" i="203"/>
  <c r="E566" i="203"/>
  <c r="E567" i="203"/>
  <c r="E568" i="203"/>
  <c r="E569" i="203"/>
  <c r="E570" i="203"/>
  <c r="E571" i="203"/>
  <c r="E572" i="203"/>
  <c r="E573" i="203"/>
  <c r="E574" i="203"/>
  <c r="E575" i="203"/>
  <c r="E576" i="203"/>
  <c r="E577" i="203"/>
  <c r="E578" i="203"/>
  <c r="E579" i="203"/>
  <c r="E580" i="203"/>
  <c r="E581" i="203"/>
  <c r="E582" i="203"/>
  <c r="E583" i="203"/>
  <c r="E584" i="203"/>
  <c r="E585" i="203"/>
  <c r="E586" i="203"/>
  <c r="E587" i="203"/>
  <c r="E588" i="203"/>
  <c r="E589" i="203"/>
  <c r="E590" i="203"/>
  <c r="E591" i="203"/>
  <c r="E592" i="203"/>
  <c r="E593" i="203"/>
  <c r="E594" i="203"/>
  <c r="E595" i="203"/>
  <c r="E596" i="203"/>
  <c r="E597" i="203"/>
  <c r="E598" i="203"/>
  <c r="E599" i="203"/>
  <c r="E600" i="203"/>
  <c r="E601" i="203"/>
  <c r="E602" i="203"/>
  <c r="E603" i="203"/>
  <c r="E604" i="203"/>
  <c r="E605" i="203"/>
  <c r="E606" i="203"/>
  <c r="E607" i="203"/>
  <c r="E608" i="203"/>
  <c r="E609" i="203"/>
  <c r="E610" i="203"/>
  <c r="E611" i="203"/>
  <c r="E612" i="203"/>
  <c r="E613" i="203"/>
  <c r="E614" i="203"/>
  <c r="E615" i="203"/>
  <c r="E616" i="203"/>
  <c r="E617" i="203"/>
  <c r="E618" i="203"/>
  <c r="E619" i="203"/>
  <c r="E620" i="203"/>
  <c r="E621" i="203"/>
  <c r="E622" i="203"/>
  <c r="E623" i="203"/>
  <c r="E624" i="203"/>
  <c r="E625" i="203"/>
  <c r="E626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D425" i="203"/>
  <c r="D426" i="203"/>
  <c r="D427" i="203"/>
  <c r="D428" i="203"/>
  <c r="D429" i="203"/>
  <c r="D430" i="203"/>
  <c r="D431" i="203"/>
  <c r="D432" i="203"/>
  <c r="D433" i="203"/>
  <c r="D434" i="203"/>
  <c r="D435" i="203"/>
  <c r="D436" i="203"/>
  <c r="D437" i="203"/>
  <c r="D438" i="203"/>
  <c r="D439" i="203"/>
  <c r="D440" i="203"/>
  <c r="D441" i="203"/>
  <c r="D442" i="203"/>
  <c r="D443" i="203"/>
  <c r="D444" i="203"/>
  <c r="D445" i="203"/>
  <c r="D446" i="203"/>
  <c r="D447" i="203"/>
  <c r="D448" i="203"/>
  <c r="D449" i="203"/>
  <c r="D450" i="203"/>
  <c r="D451" i="203"/>
  <c r="D452" i="203"/>
  <c r="D453" i="203"/>
  <c r="D454" i="203"/>
  <c r="D455" i="203"/>
  <c r="D456" i="203"/>
  <c r="D457" i="203"/>
  <c r="D458" i="203"/>
  <c r="D459" i="203"/>
  <c r="D460" i="203"/>
  <c r="D461" i="203"/>
  <c r="D462" i="203"/>
  <c r="D463" i="203"/>
  <c r="D464" i="203"/>
  <c r="D465" i="203"/>
  <c r="D466" i="203"/>
  <c r="D467" i="203"/>
  <c r="D468" i="203"/>
  <c r="D469" i="203"/>
  <c r="D470" i="203"/>
  <c r="D471" i="203"/>
  <c r="D472" i="203"/>
  <c r="D473" i="203"/>
  <c r="D474" i="203"/>
  <c r="D475" i="203"/>
  <c r="D476" i="203"/>
  <c r="D477" i="203"/>
  <c r="D478" i="203"/>
  <c r="D479" i="203"/>
  <c r="D480" i="203"/>
  <c r="D481" i="203"/>
  <c r="D482" i="203"/>
  <c r="D483" i="203"/>
  <c r="D484" i="203"/>
  <c r="D485" i="203"/>
  <c r="D486" i="203"/>
  <c r="D487" i="203"/>
  <c r="D488" i="203"/>
  <c r="D489" i="203"/>
  <c r="D490" i="203"/>
  <c r="D491" i="203"/>
  <c r="D492" i="203"/>
  <c r="D493" i="203"/>
  <c r="D494" i="203"/>
  <c r="D495" i="203"/>
  <c r="D496" i="203"/>
  <c r="D497" i="203"/>
  <c r="D498" i="203"/>
  <c r="D499" i="203"/>
  <c r="D500" i="203"/>
  <c r="D501" i="203"/>
  <c r="D502" i="203"/>
  <c r="D503" i="203"/>
  <c r="D504" i="203"/>
  <c r="D505" i="203"/>
  <c r="D506" i="203"/>
  <c r="D507" i="203"/>
  <c r="D508" i="203"/>
  <c r="D509" i="203"/>
  <c r="D510" i="203"/>
  <c r="D511" i="203"/>
  <c r="D512" i="203"/>
  <c r="D513" i="203"/>
  <c r="D514" i="203"/>
  <c r="D515" i="203"/>
  <c r="D516" i="203"/>
  <c r="D517" i="203"/>
  <c r="D518" i="203"/>
  <c r="D519" i="203"/>
  <c r="D520" i="203"/>
  <c r="D521" i="203"/>
  <c r="D522" i="203"/>
  <c r="D523" i="203"/>
  <c r="D524" i="203"/>
  <c r="D525" i="203"/>
  <c r="D526" i="203"/>
  <c r="D527" i="203"/>
  <c r="D528" i="203"/>
  <c r="D529" i="203"/>
  <c r="D530" i="203"/>
  <c r="D531" i="203"/>
  <c r="D532" i="203"/>
  <c r="D533" i="203"/>
  <c r="D534" i="203"/>
  <c r="D535" i="203"/>
  <c r="D536" i="203"/>
  <c r="D537" i="203"/>
  <c r="D538" i="203"/>
  <c r="D539" i="203"/>
  <c r="D540" i="203"/>
  <c r="D541" i="203"/>
  <c r="D542" i="203"/>
  <c r="D543" i="203"/>
  <c r="D544" i="203"/>
  <c r="D545" i="203"/>
  <c r="D546" i="203"/>
  <c r="D547" i="203"/>
  <c r="D548" i="203"/>
  <c r="D549" i="203"/>
  <c r="D550" i="203"/>
  <c r="D551" i="203"/>
  <c r="D552" i="203"/>
  <c r="D553" i="203"/>
  <c r="D554" i="203"/>
  <c r="D555" i="203"/>
  <c r="D556" i="203"/>
  <c r="D557" i="203"/>
  <c r="D558" i="203"/>
  <c r="D559" i="203"/>
  <c r="D560" i="203"/>
  <c r="D561" i="203"/>
  <c r="D562" i="203"/>
  <c r="D563" i="203"/>
  <c r="D564" i="203"/>
  <c r="D565" i="203"/>
  <c r="D566" i="203"/>
  <c r="D567" i="203"/>
  <c r="D568" i="203"/>
  <c r="D569" i="203"/>
  <c r="D570" i="203"/>
  <c r="D571" i="203"/>
  <c r="D572" i="203"/>
  <c r="D573" i="203"/>
  <c r="D574" i="203"/>
  <c r="D575" i="203"/>
  <c r="D576" i="203"/>
  <c r="D577" i="203"/>
  <c r="D578" i="203"/>
  <c r="D579" i="203"/>
  <c r="D580" i="203"/>
  <c r="D581" i="203"/>
  <c r="D582" i="203"/>
  <c r="D583" i="203"/>
  <c r="D584" i="203"/>
  <c r="D585" i="203"/>
  <c r="D586" i="203"/>
  <c r="D587" i="203"/>
  <c r="D588" i="203"/>
  <c r="D589" i="203"/>
  <c r="D590" i="203"/>
  <c r="D591" i="203"/>
  <c r="D592" i="203"/>
  <c r="D593" i="203"/>
  <c r="D594" i="203"/>
  <c r="D595" i="203"/>
  <c r="D596" i="203"/>
  <c r="D597" i="203"/>
  <c r="D598" i="203"/>
  <c r="D599" i="203"/>
  <c r="D600" i="203"/>
  <c r="D601" i="203"/>
  <c r="D602" i="203"/>
  <c r="D603" i="203"/>
  <c r="D604" i="203"/>
  <c r="D605" i="203"/>
  <c r="D606" i="203"/>
  <c r="D607" i="203"/>
  <c r="D608" i="203"/>
  <c r="D609" i="203"/>
  <c r="D610" i="203"/>
  <c r="D611" i="203"/>
  <c r="D612" i="203"/>
  <c r="D613" i="203"/>
  <c r="D614" i="203"/>
  <c r="D615" i="203"/>
  <c r="D616" i="203"/>
  <c r="D617" i="203"/>
  <c r="D618" i="203"/>
  <c r="D619" i="203"/>
  <c r="D620" i="203"/>
  <c r="D621" i="203"/>
  <c r="D622" i="203"/>
  <c r="D623" i="203"/>
  <c r="D624" i="203"/>
  <c r="D625" i="203"/>
  <c r="D626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35" i="200" l="1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<sst xmlns="http://schemas.openxmlformats.org/spreadsheetml/2006/main" count="4611" uniqueCount="680">
  <si>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</si>
  <si>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</si>
  <si>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</si>
  <si>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</si>
  <si>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</si>
  <si>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</si>
  <si>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</si>
  <si>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</si>
  <si>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</si>
  <si>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</si>
  <si>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</si>
  <si>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</si>
  <si>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</si>
  <si>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</si>
  <si>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</si>
  <si>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</si>
  <si>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</si>
  <si>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</si>
  <si>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</si>
  <si>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</si>
  <si>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</si>
  <si>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</si>
  <si>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</si>
  <si>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</si>
  <si>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</si>
  <si>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</si>
  <si>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</si>
  <si>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</si>
  <si>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</si>
  <si>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</si>
  <si>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</si>
  <si>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</si>
  <si>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</si>
  <si>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</si>
  <si>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</si>
  <si>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</si>
  <si>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</si>
  <si>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</si>
  <si>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</si>
  <si>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</si>
  <si>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</si>
  <si>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</si>
  <si>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</si>
  <si>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</si>
  <si>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</si>
  <si>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</si>
  <si>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</si>
  <si>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</si>
  <si>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</si>
  <si>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</si>
  <si>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</si>
  <si>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</si>
  <si>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</si>
  <si>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</si>
  <si>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</si>
  <si>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</si>
  <si>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</si>
  <si>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</si>
  <si>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</si>
  <si>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</si>
  <si>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</si>
  <si>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</si>
  <si>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</si>
  <si>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</si>
  <si>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</si>
  <si>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</si>
  <si>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</si>
  <si>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</si>
  <si>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</si>
  <si>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</si>
  <si>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</si>
  <si>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</si>
  <si>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</si>
  <si>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</si>
  <si>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</si>
  <si>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</si>
  <si>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</si>
  <si>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</si>
  <si>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</si>
  <si>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</si>
  <si>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</si>
  <si>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</si>
  <si>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</si>
  <si>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</si>
  <si>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</si>
  <si>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</si>
  <si>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</si>
  <si>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</si>
  <si>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</si>
  <si>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</si>
  <si>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</si>
  <si>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</si>
  <si>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</si>
  <si>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</si>
  <si>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</si>
  <si>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</si>
  <si>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</si>
  <si>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</si>
  <si>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</si>
  <si>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</si>
  <si>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</si>
  <si>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</si>
  <si>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</si>
  <si>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</si>
  <si>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</si>
  <si>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</si>
  <si>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</si>
  <si>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</si>
  <si>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</si>
  <si>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</si>
  <si>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</si>
  <si>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</si>
  <si>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</si>
  <si>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</si>
  <si>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</si>
  <si>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</si>
  <si>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</si>
  <si>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</si>
  <si>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</si>
  <si>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</si>
  <si>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</si>
  <si>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</si>
  <si>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</si>
  <si>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</si>
  <si>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</si>
  <si>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</si>
  <si>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</si>
  <si>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</si>
  <si>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</si>
  <si>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</si>
  <si>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</si>
  <si>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</si>
  <si>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</si>
  <si>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</si>
  <si>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</si>
  <si>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</si>
  <si>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</si>
  <si>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</si>
  <si>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</si>
  <si>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</si>
  <si>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</si>
  <si>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</si>
  <si>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</si>
  <si>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</si>
  <si>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</si>
  <si>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</si>
  <si>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</si>
  <si>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</si>
  <si>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</si>
  <si>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</si>
  <si>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</si>
  <si>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</si>
  <si>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</si>
  <si>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</si>
  <si>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</si>
  <si>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</si>
  <si>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</si>
  <si>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</si>
  <si>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</si>
  <si>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</si>
  <si>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</si>
  <si>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</si>
  <si>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</si>
  <si>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</si>
  <si>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</si>
  <si>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</si>
  <si>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</si>
  <si>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</si>
  <si>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</si>
  <si>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</si>
  <si>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</si>
  <si>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</si>
  <si>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</si>
  <si>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</si>
  <si>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</si>
  <si>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</si>
  <si>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</si>
  <si>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</si>
  <si>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</si>
  <si>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</si>
  <si>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</si>
  <si>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</si>
  <si>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</si>
  <si>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</si>
  <si>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</si>
  <si>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</si>
  <si>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</si>
  <si>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</si>
  <si>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</si>
  <si>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</si>
  <si>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</si>
  <si>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</si>
  <si>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</si>
  <si>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</si>
  <si>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</si>
  <si>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</si>
  <si>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</si>
  <si>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</si>
  <si>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</si>
  <si>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</si>
  <si>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</si>
  <si>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</si>
  <si>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</si>
  <si>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</si>
  <si>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</si>
  <si>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</si>
  <si>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</si>
  <si>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</si>
  <si>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</si>
  <si>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</si>
  <si>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</si>
  <si>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</si>
  <si>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</si>
  <si>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</si>
  <si>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</si>
  <si>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</si>
  <si>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</si>
  <si>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</si>
  <si>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</si>
  <si>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</si>
  <si>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</si>
  <si>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</si>
  <si>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</si>
  <si>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</si>
  <si>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</si>
  <si>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</si>
  <si>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</si>
  <si>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</si>
  <si>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</si>
  <si>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</si>
  <si>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</si>
  <si>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</si>
  <si>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</si>
  <si>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</si>
  <si>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</si>
  <si>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</si>
  <si>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</si>
  <si>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</si>
  <si>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</si>
  <si>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</si>
  <si>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</si>
  <si>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</si>
  <si>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</si>
  <si>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</si>
  <si>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</si>
  <si>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</si>
  <si>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</si>
  <si>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</si>
  <si>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</si>
  <si>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</si>
  <si>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</si>
  <si>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</si>
  <si>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</si>
  <si>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</si>
  <si>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</si>
  <si>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</si>
  <si>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</si>
  <si>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</si>
  <si>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</si>
  <si>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</si>
  <si>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</si>
  <si>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</si>
  <si>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</si>
  <si>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</si>
  <si>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</si>
  <si>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</si>
  <si>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</si>
  <si>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</si>
  <si>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</si>
  <si>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</si>
  <si>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</si>
  <si>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</si>
  <si>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</si>
  <si>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</si>
  <si>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</si>
  <si>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</si>
  <si>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</si>
  <si>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</si>
  <si>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</si>
  <si>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</si>
  <si>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</si>
  <si>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</si>
  <si>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</si>
  <si>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</si>
  <si>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</si>
  <si>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</si>
  <si>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</si>
  <si>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</si>
  <si>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</si>
  <si>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</si>
  <si>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</si>
  <si>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</si>
  <si>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</si>
  <si>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</si>
  <si>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</si>
  <si>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</si>
  <si>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</si>
  <si>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</si>
  <si>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</si>
  <si>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</si>
  <si>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</si>
  <si>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</si>
  <si>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</si>
  <si>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</si>
  <si>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</si>
  <si>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</si>
  <si>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</si>
  <si>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</si>
  <si>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</si>
  <si>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</si>
  <si>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</si>
  <si>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</si>
  <si>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</si>
  <si>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</si>
  <si>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</si>
  <si>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</si>
  <si>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</si>
  <si>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</si>
  <si>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</si>
  <si>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</si>
  <si>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</si>
  <si>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</si>
  <si>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</si>
  <si>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</si>
  <si>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</si>
  <si>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</si>
  <si>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</si>
  <si>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</si>
  <si>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</si>
  <si>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</si>
  <si>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</si>
  <si>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</si>
  <si>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</si>
  <si>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</si>
  <si>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</si>
  <si>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</si>
  <si>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</si>
  <si>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</si>
  <si>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</si>
  <si>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</si>
  <si>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</si>
  <si>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</si>
  <si>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</si>
  <si>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</si>
  <si>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</si>
  <si>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</si>
  <si>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</si>
  <si>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</si>
  <si>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</si>
  <si>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</si>
  <si>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</si>
  <si>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</si>
  <si>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</si>
  <si>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</si>
  <si>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</si>
  <si>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</si>
  <si>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</si>
  <si>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</si>
  <si>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</si>
  <si>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</si>
  <si>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</si>
  <si>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</si>
  <si>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</si>
  <si>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</si>
  <si>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</si>
  <si>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</si>
  <si>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</si>
  <si>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</si>
  <si>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</si>
  <si>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</si>
  <si>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</si>
  <si>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</si>
  <si>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</si>
  <si>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</si>
  <si>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</si>
  <si>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</si>
  <si>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</si>
  <si>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</si>
  <si>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</si>
  <si>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</si>
  <si>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</si>
  <si>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</si>
  <si>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</si>
  <si>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</si>
  <si>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</si>
  <si>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</si>
  <si>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</si>
  <si>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</si>
  <si>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</si>
  <si>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</si>
  <si>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</si>
  <si>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</si>
  <si>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</si>
  <si>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</si>
  <si>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</si>
  <si>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</si>
  <si>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</si>
  <si>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</si>
  <si>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</si>
  <si>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</si>
  <si>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</si>
  <si>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</si>
  <si>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</si>
  <si>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</si>
  <si>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</si>
  <si>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</si>
  <si>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</si>
  <si>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</si>
  <si>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</si>
  <si>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</si>
  <si>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</si>
  <si>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</si>
  <si>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</si>
  <si>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</si>
  <si>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</si>
  <si>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</si>
  <si>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</si>
  <si>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</si>
  <si>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</si>
  <si>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</si>
  <si>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</si>
  <si>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</si>
  <si>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</si>
  <si>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</si>
  <si>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</si>
  <si>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</si>
  <si>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</si>
  <si>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</si>
  <si>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</si>
  <si>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</si>
  <si>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</si>
  <si>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</si>
  <si>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</si>
  <si>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</si>
  <si>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</si>
  <si>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</si>
  <si>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</si>
  <si>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</si>
  <si>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</si>
  <si>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</si>
  <si>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</si>
  <si>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</si>
  <si>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</si>
  <si>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</si>
  <si>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</si>
  <si>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</si>
  <si>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</si>
  <si>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</si>
  <si>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</si>
  <si>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</si>
  <si>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</si>
  <si>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</si>
  <si>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</si>
  <si>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</si>
  <si>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</si>
  <si>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</si>
  <si>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</si>
  <si>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</si>
  <si>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</si>
  <si>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</si>
  <si>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</si>
  <si>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</si>
  <si>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</si>
  <si>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</si>
  <si>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</si>
  <si>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</si>
  <si>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</si>
  <si>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</si>
  <si>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</si>
  <si>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</si>
  <si>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</si>
  <si>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</si>
  <si>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</si>
  <si>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</si>
  <si>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</si>
  <si>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</si>
  <si>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</si>
  <si>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</si>
  <si>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</si>
  <si>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</si>
  <si>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</si>
  <si>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</si>
  <si>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</si>
  <si>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</si>
  <si>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</si>
  <si>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</si>
  <si>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</si>
  <si>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</si>
  <si>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</si>
  <si>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</si>
  <si>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</si>
  <si>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</si>
  <si>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</si>
  <si>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</si>
  <si>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</si>
  <si>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</si>
  <si>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</si>
  <si>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</si>
  <si>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</si>
  <si>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</si>
  <si>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</si>
  <si>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</si>
  <si>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</si>
  <si>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</si>
  <si>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</si>
  <si>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</si>
  <si>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</si>
  <si>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</si>
  <si>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</si>
  <si>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</si>
  <si>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</si>
  <si>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</si>
  <si>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</si>
  <si>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</si>
  <si>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</si>
  <si>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</si>
  <si>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</si>
  <si>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</si>
  <si>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</si>
  <si>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</si>
  <si>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</si>
  <si>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</si>
  <si>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</si>
  <si>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</si>
  <si>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</si>
  <si>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</si>
  <si>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</si>
  <si>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</si>
  <si>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</si>
  <si>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</si>
  <si>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</si>
  <si>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</si>
  <si>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</si>
  <si>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</si>
  <si>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</si>
  <si>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</si>
  <si>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</si>
  <si>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</si>
  <si>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</si>
  <si>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</si>
  <si>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</si>
  <si>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</si>
  <si>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</si>
  <si>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</si>
  <si>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</si>
  <si>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</si>
  <si>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</si>
  <si>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</si>
  <si>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</si>
  <si>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</si>
  <si>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</si>
  <si>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</si>
  <si>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</si>
  <si>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</si>
  <si>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</si>
  <si>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</si>
  <si>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</si>
  <si>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</si>
  <si>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</si>
  <si>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</si>
  <si>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</si>
  <si>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</si>
  <si>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</si>
  <si>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</si>
  <si>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</si>
  <si>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</si>
  <si>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</si>
  <si>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</si>
  <si>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</si>
  <si>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</si>
  <si>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</si>
  <si>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</si>
  <si>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</si>
  <si>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</si>
  <si>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</si>
  <si>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</si>
  <si>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</si>
  <si>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</si>
  <si>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</si>
  <si>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</si>
  <si>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</si>
  <si>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</si>
  <si>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</si>
  <si>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</si>
  <si>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</si>
  <si>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</si>
  <si>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</si>
  <si>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</si>
  <si>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</si>
  <si>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</si>
  <si>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</si>
  <si>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</si>
  <si>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Agradecemos su participación en esta encuesta, si tuviera alguna sugerencia para mejorar el servicio, por favor escríbalo en el siguiente espacio.</t>
  </si>
  <si>
    <t>Buen trabajo equipo, especial a Junior, siempre brinda su apoyo rápidamente, atento ante cualquier consulta.</t>
  </si>
  <si>
    <t>No aplica</t>
  </si>
  <si>
    <t>Se agradece y felicita la disponibilidad del equipo para resolver cualquier incidente que se presente a cualquier horario. Muchas gracias equipo!</t>
  </si>
  <si>
    <t>Excelente equipo</t>
  </si>
  <si>
    <t>Karol Ruth Zavaleta Mar</t>
  </si>
  <si>
    <t>Excelente equipo (Franshes, Josue y Wilder)</t>
  </si>
  <si>
    <t>Muy buen trabajo</t>
  </si>
  <si>
    <t xml:space="preserve">Bueno, </t>
  </si>
  <si>
    <t>CNeyraM@agricolachira.com.pe</t>
  </si>
  <si>
    <t>YMogollonG@agricolachira.com.pe</t>
  </si>
  <si>
    <t>Lo único adverso es la inestabilidad de la red que muchas veces nos afecta.</t>
  </si>
  <si>
    <t>EAmesM@agricolachira.com.pe</t>
  </si>
  <si>
    <t>EXCELENTE SERVICIO, BUENA ATENCIÓN</t>
  </si>
  <si>
    <t>JArevaloga@agricolachira.com.pe</t>
  </si>
  <si>
    <t>Sigan así equipo de TI y sistemas, siempre excelente disponibilidad.</t>
  </si>
  <si>
    <t>Evaluar cambio de red de telefonía, Movistar se corta continuamente y presenta fallas en la señal.</t>
  </si>
  <si>
    <t>ASeminarioV@agricolachira.com.pe</t>
  </si>
  <si>
    <t xml:space="preserve">Agradecimiento y reconocimiento al equipo de Jene, Wilder y Josue por su soporte incondicional cuando se les requiere. </t>
  </si>
  <si>
    <t>Felicitaciones a Franshes y su equipo!!</t>
  </si>
  <si>
    <t>PViteC@agricolachira.com.pe</t>
  </si>
  <si>
    <t>CSosaL@agricolachira.com.pe</t>
  </si>
  <si>
    <t>MNavarroN@agricolachira.com.pe</t>
  </si>
  <si>
    <t>buen equipo de trabajo</t>
  </si>
  <si>
    <t>Lenin Vasquez Pinday</t>
  </si>
  <si>
    <t>JCastilloR@agricolachira.com.pe</t>
  </si>
  <si>
    <t>VHilaresZ@agricolachira.com.pe</t>
  </si>
  <si>
    <t>Victor Hilares Zamudio</t>
  </si>
  <si>
    <t>Observo como oportunidad de mejora, en tener equipos Stand by, para cualquier emergencia</t>
  </si>
  <si>
    <t>Siempre que se tiene un problema la respuesta es inmediata, para dar solucion</t>
  </si>
  <si>
    <t>ALachiraP@agricolachira.com.pe</t>
  </si>
  <si>
    <t xml:space="preserve">- Excelente apoyo por parte de Junior Hidalgo y Fransheska Gómez. Sigan así chicos!
- Mejorar la conectividad de internet en fundo Lobo. </t>
  </si>
  <si>
    <t xml:space="preserve">Excelente equipo. </t>
  </si>
  <si>
    <t>Raul Javier Torres Silva</t>
  </si>
  <si>
    <t>MDiazTa@agricolachira.com.pe</t>
  </si>
  <si>
    <t>mantener mas equipos de backup</t>
  </si>
  <si>
    <t>Felicitaciones al equipo de TI y sistemas, por su esfuerzo y buen trabajo que se viene realizando.</t>
  </si>
  <si>
    <t>Ha mejorado mucho la velocidad de respuesta y atencion. Gracias por el apoyo!</t>
  </si>
  <si>
    <t>JLopezSi@agricolachira.com.pe</t>
  </si>
  <si>
    <t>JCheroPa@agricolachira.com.pe</t>
  </si>
  <si>
    <t>EHerediaR@agricolachira.com.pe</t>
  </si>
  <si>
    <t>YHermenegilA@agricolachira.com.pe</t>
  </si>
  <si>
    <t>DYarlequeL@agricolachira.com.pe</t>
  </si>
  <si>
    <t>Capacitación sobre uso y cuidados.</t>
  </si>
  <si>
    <t>El servicio y el equipo de sistemas siempre está presente con el soporte.</t>
  </si>
  <si>
    <t>KYamunaqueJ@agricolachira.com.pe</t>
  </si>
  <si>
    <t>Excelente servicio.</t>
  </si>
  <si>
    <t>Todo conforme.</t>
  </si>
  <si>
    <t>solucionan rápidamente los problemas</t>
  </si>
  <si>
    <t>Carlos Andrés Manayay Barrios</t>
  </si>
  <si>
    <t>Héctor Daniel Borja Torres</t>
  </si>
  <si>
    <t>VCruzC@agricolachira.com.pe</t>
  </si>
  <si>
    <t>Excelente servicio siempre con respuesta inmediata</t>
  </si>
  <si>
    <t>Jose Alexander Jimenez Caceres</t>
  </si>
  <si>
    <t>Operador Balanza</t>
  </si>
  <si>
    <t>Ninguna</t>
  </si>
  <si>
    <t>El soporte del área de TI es bueno y oportuno siempre.</t>
  </si>
  <si>
    <t>AChirinosC@agricolachira.com.pe</t>
  </si>
  <si>
    <t>Es un servicio eficaz, quizá un punto a mejorar serían responder a las consultas rápidas y breves que los usuarios hacen vía WhatsApp o Teams.</t>
  </si>
  <si>
    <t>FLopezVal@agricolachira.com.pe</t>
  </si>
  <si>
    <t>La red está muy mala. Mucho se cuelgan las PCs y cuando llamas a TI te deriban a mesa de ayuda. El servicio no es eficaz.</t>
  </si>
  <si>
    <t>AVasquezM@agricolachira.com.pe</t>
  </si>
  <si>
    <t>Informar a quien dirigirnos para soporte correspondiente sobre todo noches o feriados ante algun imprevisto, cronograma del personal</t>
  </si>
  <si>
    <t>ECortezS@agricolachira.com.pe</t>
  </si>
  <si>
    <t xml:space="preserve">No recibí servicio, por vacaciones </t>
  </si>
  <si>
    <t>LI Di Liberto Sauri</t>
  </si>
  <si>
    <t>Pedro Alejandro Trigoso Feijoo</t>
  </si>
  <si>
    <t>La conectividad en fundo ML e inclusive en oficina de Piura no es buena</t>
  </si>
  <si>
    <t>Dar seguimiento a las solicitudes.</t>
  </si>
  <si>
    <t>FFloresP@agricolachira.com.pe</t>
  </si>
  <si>
    <t>GGonzalesC@agricolachira.com.pe</t>
  </si>
  <si>
    <t>MOjedaC@agricolachira.com.pe</t>
  </si>
  <si>
    <t>JENE GERENTE DE TI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</si>
  <si>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</si>
  <si>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</si>
  <si>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</si>
  <si>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</si>
  <si>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</si>
  <si>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</si>
  <si>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</si>
  <si>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</si>
  <si>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125 personas (97.66%)</t>
  </si>
  <si>
    <t>No completaron 3 personas (2.34%)</t>
  </si>
  <si>
    <t>Manual</t>
  </si>
  <si>
    <t>Columna1</t>
  </si>
  <si>
    <t>Etiquetas de fila</t>
  </si>
  <si>
    <t>Total general</t>
  </si>
  <si>
    <t>Cuenta de Nro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</si>
</sst>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0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3" xfId="0" applyFill="1" applyBorder="1"/>
    <xf numFmtId="0" fontId="0" fillId="8" borderId="64" xfId="0" applyFill="1" applyBorder="1"/>
    <xf numFmtId="0" fontId="0" fillId="8" borderId="65" xfId="0" applyFill="1" applyBorder="1"/>
    <xf numFmtId="0" fontId="0" fillId="9" borderId="63" xfId="0" applyFill="1" applyBorder="1"/>
    <xf numFmtId="0" fontId="0" fillId="9" borderId="64" xfId="0" applyFill="1" applyBorder="1"/>
    <xf numFmtId="0" fontId="0" fillId="9" borderId="65" xfId="0" applyFill="1" applyBorder="1"/>
    <xf numFmtId="0" fontId="0" fillId="8" borderId="44" xfId="0" applyFill="1" applyBorder="1"/>
    <xf numFmtId="0" fontId="0" fillId="8" borderId="41" xfId="0" applyFill="1" applyBorder="1"/>
    <xf numFmtId="0" fontId="0" fillId="8" borderId="42" xfId="0" applyFill="1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" xfId="0" applyBorder="1"/>
    <xf numFmtId="0" fontId="0" fillId="0" borderId="70" xfId="0" applyBorder="1"/>
    <xf numFmtId="0" fontId="0" fillId="0" borderId="71" xfId="0" applyBorder="1"/>
    <xf numFmtId="0" fontId="0" fillId="0" borderId="4" xfId="0" applyBorder="1"/>
    <xf numFmtId="0" fontId="0" fillId="0" borderId="72" xfId="0" applyBorder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5" fontId="0" fillId="0" borderId="0" xfId="0" applyNumberFormat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DataResumen!$A$16:$A$20</c:f>
              <c:strCache>
                <c:ptCount val="5"/>
                <c:pt idx="0">
                  <c:v>Soporte informático y de sistemas</c:v>
                </c:pt>
                <c:pt idx="1">
                  <c:v>Desarrollo de Software</c:v>
                </c:pt>
                <c:pt idx="2">
                  <c:v>Administración de Recursos Informáticos</c:v>
                </c:pt>
                <c:pt idx="3">
                  <c:v>Administración de Comunicaciones</c:v>
                </c:pt>
                <c:pt idx="4">
                  <c:v>Infraestructura</c:v>
                </c:pt>
              </c:strCache>
            </c:strRef>
          </c:cat>
          <c:val>
            <c:numRef>
              <c:f>DataResumen!$B$16:$B$20</c:f>
              <c:numCache>
                <c:formatCode>General</c:formatCode>
                <c:ptCount val="5"/>
                <c:pt idx="0">
                  <c:v>4.5629999999999997</c:v>
                </c:pt>
                <c:pt idx="1">
                  <c:v>4.532</c:v>
                </c:pt>
                <c:pt idx="2">
                  <c:v>4.5119999999999996</c:v>
                </c:pt>
                <c:pt idx="3">
                  <c:v>4.4710000000000001</c:v>
                </c:pt>
                <c:pt idx="4">
                  <c:v>4.2880000000000003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5-4038-8220-5F44F55AB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425152"/>
        <c:axId val="221041488"/>
      </c:barChart>
      <c:catAx>
        <c:axId val="23442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1041488"/>
        <c:crosses val="autoZero"/>
        <c:auto val="1"/>
        <c:lblAlgn val="ctr"/>
        <c:lblOffset val="100"/>
        <c:noMultiLvlLbl val="0"/>
      </c:catAx>
      <c:valAx>
        <c:axId val="221041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4425152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Administración y Finanzas</c:v>
                </c:pt>
                <c:pt idx="1">
                  <c:v>Operaciones</c:v>
                </c:pt>
                <c:pt idx="2">
                  <c:v>Gestión Humana y Sostenibilidad</c:v>
                </c:pt>
                <c:pt idx="3">
                  <c:v>Agrícola</c:v>
                </c:pt>
                <c:pt idx="4">
                  <c:v>Industrial y de Mantenimiento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4.7030000000000003</c:v>
                </c:pt>
                <c:pt idx="1">
                  <c:v>4.5720000000000001</c:v>
                </c:pt>
                <c:pt idx="2">
                  <c:v>4.4720000000000004</c:v>
                </c:pt>
                <c:pt idx="3" formatCode="0.000">
                  <c:v>4.3099999999999996</c:v>
                </c:pt>
                <c:pt idx="4">
                  <c:v>4.1879999999999997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D-4480-9167-A0206533E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038128"/>
        <c:axId val="221039088"/>
      </c:barChart>
      <c:catAx>
        <c:axId val="22103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1039088"/>
        <c:crosses val="autoZero"/>
        <c:auto val="1"/>
        <c:lblAlgn val="ctr"/>
        <c:lblOffset val="100"/>
        <c:noMultiLvlLbl val="0"/>
      </c:catAx>
      <c:valAx>
        <c:axId val="221039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21038128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HistoricoAreas!$B$1:$G$1</c15:sqref>
                  </c15:fullRef>
                </c:ext>
              </c:extLst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HistoricoAreas!$B$2:$G$2</c15:sqref>
                  </c15:fullRef>
                </c:ext>
              </c:extLst>
              <c:f>HistoricoAreas!$B$2:$F$2</c:f>
              <c:numCache>
                <c:formatCode>_-* #,##0.000_-;\-* #,##0.000_-;_-* "-"??_-;_-@_-</c:formatCode>
                <c:ptCount val="5"/>
                <c:pt idx="0">
                  <c:v>4.08</c:v>
                </c:pt>
                <c:pt idx="1">
                  <c:v>4.2089999999999996</c:v>
                </c:pt>
                <c:pt idx="2">
                  <c:v>4.1479269326947801</c:v>
                </c:pt>
                <c:pt idx="3">
                  <c:v>4.459961334961335</c:v>
                </c:pt>
                <c:pt idx="4" formatCode="General">
                  <c:v>4.4729999999999999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1-42F5-8C17-3C1C52A28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045072"/>
        <c:axId val="119044112"/>
      </c:barChart>
      <c:catAx>
        <c:axId val="11904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044112"/>
        <c:crosses val="autoZero"/>
        <c:auto val="1"/>
        <c:lblAlgn val="ctr"/>
        <c:lblOffset val="100"/>
        <c:noMultiLvlLbl val="0"/>
      </c:catAx>
      <c:valAx>
        <c:axId val="119044112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19045072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Soporte informático y de sistemas</c:v>
                </c:pt>
                <c:pt idx="1">
                  <c:v>Desarrollo de Software</c:v>
                </c:pt>
                <c:pt idx="2">
                  <c:v>Administración de Recursos Informáticos</c:v>
                </c:pt>
                <c:pt idx="3">
                  <c:v>Administración de Comunicaciones</c:v>
                </c:pt>
                <c:pt idx="4">
                  <c:v>Infraestructura</c:v>
                </c:pt>
              </c:strCache>
            </c:strRef>
          </c:cat>
          <c:val>
            <c:numRef>
              <c:f>DataResumen!$B$37:$B$41</c:f>
              <c:numCache>
                <c:formatCode>_-* #,##0.000_-;\-* #,##0.000_-;_-* "-"??_-;_-@_-</c:formatCode>
                <c:ptCount val="5"/>
                <c:pt idx="0">
                  <c:v>3.7218693284936482</c:v>
                </c:pt>
                <c:pt idx="1">
                  <c:v>4.2670668953687825</c:v>
                </c:pt>
                <c:pt idx="2">
                  <c:v>3.9935141509433962</c:v>
                </c:pt>
                <c:pt idx="3">
                  <c:v>3.9239926739926738</c:v>
                </c:pt>
                <c:pt idx="4">
                  <c:v>3.7519181585677748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C-4CAE-BBD2-1E231A4E1A8C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Soporte informático y de sistemas</c:v>
                </c:pt>
                <c:pt idx="1">
                  <c:v>Desarrollo de Software</c:v>
                </c:pt>
                <c:pt idx="2">
                  <c:v>Administración de Recursos Informáticos</c:v>
                </c:pt>
                <c:pt idx="3">
                  <c:v>Administración de Comunicaciones</c:v>
                </c:pt>
                <c:pt idx="4">
                  <c:v>Infraestructura</c:v>
                </c:pt>
              </c:strCache>
            </c:strRef>
          </c:cat>
          <c:val>
            <c:numRef>
              <c:f>DataResumen!$C$37:$C$41</c:f>
              <c:numCache>
                <c:formatCode>0.000</c:formatCode>
                <c:ptCount val="5"/>
                <c:pt idx="0">
                  <c:v>4.246031746031746</c:v>
                </c:pt>
                <c:pt idx="1">
                  <c:v>4.1010101010101003</c:v>
                </c:pt>
                <c:pt idx="2">
                  <c:v>4.2103174603174605</c:v>
                </c:pt>
                <c:pt idx="3">
                  <c:v>4.1768632753084329</c:v>
                </c:pt>
                <c:pt idx="4">
                  <c:v>4.0061094819159333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FC-4CAE-BBD2-1E231A4E1A8C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spPr>
            <a:solidFill>
              <a:schemeClr val="accent6">
                <a:lumMod val="75000"/>
                <a:alpha val="93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Soporte informático y de sistemas</c:v>
                </c:pt>
                <c:pt idx="1">
                  <c:v>Desarrollo de Software</c:v>
                </c:pt>
                <c:pt idx="2">
                  <c:v>Administración de Recursos Informáticos</c:v>
                </c:pt>
                <c:pt idx="3">
                  <c:v>Administración de Comunicaciones</c:v>
                </c:pt>
                <c:pt idx="4">
                  <c:v>Infraestructura</c:v>
                </c:pt>
              </c:strCache>
            </c:strRef>
          </c:cat>
          <c:val>
            <c:numRef>
              <c:f>DataResumen!$D$37:$D$41</c:f>
              <c:numCache>
                <c:formatCode>General</c:formatCode>
                <c:ptCount val="5"/>
                <c:pt idx="0">
                  <c:v>4.5369999999999999</c:v>
                </c:pt>
                <c:pt idx="1">
                  <c:v>4.4809999999999999</c:v>
                </c:pt>
                <c:pt idx="2">
                  <c:v>4.4820000000000002</c:v>
                </c:pt>
                <c:pt idx="3">
                  <c:v>4.4720000000000004</c:v>
                </c:pt>
                <c:pt idx="4">
                  <c:v>4.327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FC-4CAE-BBD2-1E231A4E1A8C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Soporte informático y de sistemas</c:v>
                </c:pt>
                <c:pt idx="1">
                  <c:v>Desarrollo de Software</c:v>
                </c:pt>
                <c:pt idx="2">
                  <c:v>Administración de Recursos Informáticos</c:v>
                </c:pt>
                <c:pt idx="3">
                  <c:v>Administración de Comunicaciones</c:v>
                </c:pt>
                <c:pt idx="4">
                  <c:v>Infraestructura</c:v>
                </c:pt>
              </c:strCache>
            </c:strRef>
          </c:cat>
          <c:val>
            <c:numRef>
              <c:f>DataResumen!$E$37:$E$41</c:f>
              <c:numCache>
                <c:formatCode>General</c:formatCode>
                <c:ptCount val="5"/>
                <c:pt idx="0">
                  <c:v>4.5629999999999997</c:v>
                </c:pt>
                <c:pt idx="1">
                  <c:v>4.532</c:v>
                </c:pt>
                <c:pt idx="2">
                  <c:v>4.5119999999999996</c:v>
                </c:pt>
                <c:pt idx="3">
                  <c:v>4.4710000000000001</c:v>
                </c:pt>
                <c:pt idx="4">
                  <c:v>4.2880000000000003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FC-4CAE-BBD2-1E231A4E1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7"/>
        <c:overlap val="-47"/>
        <c:axId val="278431680"/>
        <c:axId val="278427840"/>
      </c:barChart>
      <c:catAx>
        <c:axId val="27843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s-PE"/>
          </a:p>
        </c:txPr>
        <c:crossAx val="278427840"/>
        <c:crosses val="autoZero"/>
        <c:auto val="1"/>
        <c:lblAlgn val="ctr"/>
        <c:lblOffset val="100"/>
        <c:noMultiLvlLbl val="0"/>
      </c:catAx>
      <c:valAx>
        <c:axId val="278427840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278431680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128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dLbl>
              <c:idx val="0"/>
              <c:layout>
                <c:manualLayout>
                  <c:x val="-7.7684278688922234E-2"/>
                  <c:y val="-1.3606530563267593E-2"/>
                </c:manualLayout>
              </c:layout>
              <c:tx>
                <c:rich>
                  <a:bodyPr wrap="square" lIns="38100" tIns="19050" rIns="38100" bIns="19050" anchor="ctr" anchorCtr="0">
                    <a:spAutoFit/>
                  </a:bodyPr>
                  <a:lstStyle/>
                  <a:p>
                    <a:pPr marL="0" marR="0" lvl="0" indent="0" algn="ctr" defTabSz="914400" rtl="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 sz="10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EF2755A-137D-470B-BD88-1A5E58D0EE71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 marL="0" marR="0" lvl="0" indent="0" algn="ctr" defTabSz="914400" rtl="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 sz="10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86F7-47AC-868E-D8FCBAAF948D}"/>
                </c:ext>
              </c:extLst>
            </c:dLbl>
            <c:dLbl>
              <c:idx val="1"/>
              <c:layout>
                <c:manualLayout>
                  <c:x val="7.5005510458269753E-2"/>
                  <c:y val="-2.2677550938779267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/>
                    </a:pPr>
                    <a:fld id="{8DD4D88C-8C33-4168-822F-BDCF7403572F}" type="CATEGORYNAME">
                      <a:rPr lang="en-US" sz="1000" b="0" i="0" u="none" strike="noStrike" kern="1200" baseline="0">
                        <a:solidFill>
                          <a:sysClr val="windowText" lastClr="000000"/>
                        </a:solidFill>
                      </a:rPr>
                      <a:pPr>
                        <a:defRPr/>
                      </a:pPr>
                      <a:t>[NOMBRE DE CATEGORÍA]</a:t>
                    </a:fld>
                    <a:endParaRPr lang="es-PE"/>
                  </a:p>
                </c:rich>
              </c:tx>
              <c:spPr>
                <a:solidFill>
                  <a:sysClr val="window" lastClr="FFFFFF"/>
                </a:solidFill>
                <a:ln>
                  <a:noFill/>
                </a:ln>
                <a:effectLst>
                  <a:softEdge rad="0"/>
                </a:effectLst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6F7-47AC-868E-D8FCBAAF948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DataResumen!$A$3:$A$4</c:f>
              <c:strCache>
                <c:ptCount val="2"/>
                <c:pt idx="0">
                  <c:v>Completaron 125 personas (97.66%)</c:v>
                </c:pt>
                <c:pt idx="1">
                  <c:v>No completaron 3 personas (2.34%)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125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F7-47AC-868E-D8FCBAAF9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7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400" b="1" i="0" u="none" strike="noStrike" kern="1200" cap="none" spc="0" normalizeH="0" baseline="0">
                <a:solidFill>
                  <a:schemeClr val="tx1"/>
                </a:solidFill>
              </a:rPr>
              <a:t>Satisfacción Histórica Sistemas y TI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Graficos!$C$72:$F$72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765800315052781E-2"/>
                  <c:y val="7.2649578761152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FF-4F21-BB65-25FF3DEF2DC5}"/>
                </c:ext>
              </c:extLst>
            </c:dLbl>
            <c:dLbl>
              <c:idx val="1"/>
              <c:layout>
                <c:manualLayout>
                  <c:x val="-6.9119167104239973E-2"/>
                  <c:y val="-7.26495787611531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FF-4F21-BB65-25FF3DEF2DC5}"/>
                </c:ext>
              </c:extLst>
            </c:dLbl>
            <c:dLbl>
              <c:idx val="2"/>
              <c:layout>
                <c:manualLayout>
                  <c:x val="-4.4236266946713683E-2"/>
                  <c:y val="5.9027782743436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FF-4F21-BB65-25FF3DEF2DC5}"/>
                </c:ext>
              </c:extLst>
            </c:dLbl>
            <c:dLbl>
              <c:idx val="3"/>
              <c:layout>
                <c:manualLayout>
                  <c:x val="-2.4882900157526595E-2"/>
                  <c:y val="7.7190177433725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2FF-4F21-BB65-25FF3DEF2D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Graficos!$C$72:$F$72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Graficos!$C$73:$F$73</c:f>
              <c:numCache>
                <c:formatCode>_-* #,##0.000_-;\-* #,##0.000_-;_-* "-"??_-;_-@_-</c:formatCode>
                <c:ptCount val="4"/>
                <c:pt idx="0">
                  <c:v>4.08</c:v>
                </c:pt>
                <c:pt idx="1">
                  <c:v>4.2089999999999996</c:v>
                </c:pt>
                <c:pt idx="2">
                  <c:v>4.1479269326947801</c:v>
                </c:pt>
                <c:pt idx="3">
                  <c:v>4.466480667480667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F-4F21-BB65-25FF3DEF2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74864"/>
        <c:axId val="1461838543"/>
      </c:lineChart>
      <c:catAx>
        <c:axId val="1968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461838543"/>
        <c:crosses val="autoZero"/>
        <c:auto val="1"/>
        <c:lblAlgn val="ctr"/>
        <c:lblOffset val="100"/>
        <c:noMultiLvlLbl val="0"/>
      </c:catAx>
      <c:valAx>
        <c:axId val="1461838543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6874864"/>
        <c:crosses val="autoZero"/>
        <c:crossBetween val="between"/>
      </c:valAx>
      <c:spPr>
        <a:pattFill prst="pct5">
          <a:fgClr>
            <a:schemeClr val="tx1">
              <a:lumMod val="65000"/>
              <a:lumOff val="3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12</xdr:row>
          <xdr:rowOff>114300</xdr:rowOff>
        </xdr:from>
        <xdr:to>
          <xdr:col>18</xdr:col>
          <xdr:colOff>365760</xdr:colOff>
          <xdr:row>15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9</xdr:col>
      <xdr:colOff>88604</xdr:colOff>
      <xdr:row>9</xdr:row>
      <xdr:rowOff>175152</xdr:rowOff>
    </xdr:from>
    <xdr:to>
      <xdr:col>15</xdr:col>
      <xdr:colOff>8860</xdr:colOff>
      <xdr:row>14</xdr:row>
      <xdr:rowOff>88605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D3929AB-664F-BAC3-120D-AA66D1E8C4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38686" b="40164"/>
        <a:stretch/>
      </xdr:blipFill>
      <xdr:spPr>
        <a:xfrm>
          <a:off x="4997302" y="1902943"/>
          <a:ext cx="2950535" cy="843802"/>
        </a:xfrm>
        <a:prstGeom prst="rect">
          <a:avLst/>
        </a:prstGeom>
      </xdr:spPr>
    </xdr:pic>
    <xdr:clientData/>
  </xdr:twoCellAnchor>
  <xdr:twoCellAnchor editAs="oneCell">
    <xdr:from>
      <xdr:col>15</xdr:col>
      <xdr:colOff>203790</xdr:colOff>
      <xdr:row>9</xdr:row>
      <xdr:rowOff>139406</xdr:rowOff>
    </xdr:from>
    <xdr:to>
      <xdr:col>21</xdr:col>
      <xdr:colOff>79744</xdr:colOff>
      <xdr:row>14</xdr:row>
      <xdr:rowOff>35443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7AE0F11-2DA0-B265-DA37-7B6E83DD86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7670" b="61983"/>
        <a:stretch/>
      </xdr:blipFill>
      <xdr:spPr>
        <a:xfrm>
          <a:off x="8142767" y="1867197"/>
          <a:ext cx="3003698" cy="826386"/>
        </a:xfrm>
        <a:prstGeom prst="rect">
          <a:avLst/>
        </a:prstGeom>
      </xdr:spPr>
    </xdr:pic>
    <xdr:clientData/>
  </xdr:twoCellAnchor>
  <xdr:twoCellAnchor editAs="oneCell">
    <xdr:from>
      <xdr:col>21</xdr:col>
      <xdr:colOff>115186</xdr:colOff>
      <xdr:row>9</xdr:row>
      <xdr:rowOff>184794</xdr:rowOff>
    </xdr:from>
    <xdr:to>
      <xdr:col>27</xdr:col>
      <xdr:colOff>79744</xdr:colOff>
      <xdr:row>13</xdr:row>
      <xdr:rowOff>150628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D8AFE5EC-E4CD-C00A-C2D4-CB401615D7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82464"/>
        <a:stretch/>
      </xdr:blipFill>
      <xdr:spPr>
        <a:xfrm>
          <a:off x="11181907" y="1912585"/>
          <a:ext cx="2994837" cy="710113"/>
        </a:xfrm>
        <a:prstGeom prst="rect">
          <a:avLst/>
        </a:prstGeom>
      </xdr:spPr>
    </xdr:pic>
    <xdr:clientData/>
  </xdr:twoCellAnchor>
  <xdr:twoCellAnchor editAs="oneCell">
    <xdr:from>
      <xdr:col>27</xdr:col>
      <xdr:colOff>88605</xdr:colOff>
      <xdr:row>9</xdr:row>
      <xdr:rowOff>180140</xdr:rowOff>
    </xdr:from>
    <xdr:to>
      <xdr:col>33</xdr:col>
      <xdr:colOff>53162</xdr:colOff>
      <xdr:row>14</xdr:row>
      <xdr:rowOff>70884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25B85FF-DB44-EB32-EE22-AA62D76A74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58900" b="19816"/>
        <a:stretch/>
      </xdr:blipFill>
      <xdr:spPr>
        <a:xfrm>
          <a:off x="14185605" y="1907931"/>
          <a:ext cx="2853069" cy="821093"/>
        </a:xfrm>
        <a:prstGeom prst="rect">
          <a:avLst/>
        </a:prstGeom>
      </xdr:spPr>
    </xdr:pic>
    <xdr:clientData/>
  </xdr:twoCellAnchor>
  <xdr:twoCellAnchor editAs="oneCell">
    <xdr:from>
      <xdr:col>33</xdr:col>
      <xdr:colOff>239231</xdr:colOff>
      <xdr:row>10</xdr:row>
      <xdr:rowOff>36097</xdr:rowOff>
    </xdr:from>
    <xdr:to>
      <xdr:col>39</xdr:col>
      <xdr:colOff>53162</xdr:colOff>
      <xdr:row>13</xdr:row>
      <xdr:rowOff>168629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DF60EFF-3D07-F48F-D236-2BCECFC4D8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0050"/>
        <a:stretch/>
      </xdr:blipFill>
      <xdr:spPr>
        <a:xfrm>
          <a:off x="17224743" y="1949957"/>
          <a:ext cx="2560675" cy="6907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  <xdr:twoCellAnchor editAs="oneCell">
    <xdr:from>
      <xdr:col>9</xdr:col>
      <xdr:colOff>177207</xdr:colOff>
      <xdr:row>0</xdr:row>
      <xdr:rowOff>121708</xdr:rowOff>
    </xdr:from>
    <xdr:to>
      <xdr:col>15</xdr:col>
      <xdr:colOff>18142</xdr:colOff>
      <xdr:row>3</xdr:row>
      <xdr:rowOff>44301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5AB2A7-F8CC-FCA3-270C-353209F7B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148" t="36358" r="-647" b="45284"/>
        <a:stretch/>
      </xdr:blipFill>
      <xdr:spPr>
        <a:xfrm>
          <a:off x="5085905" y="121708"/>
          <a:ext cx="2977539" cy="525105"/>
        </a:xfrm>
        <a:prstGeom prst="rect">
          <a:avLst/>
        </a:prstGeom>
      </xdr:spPr>
    </xdr:pic>
    <xdr:clientData/>
  </xdr:twoCellAnchor>
  <xdr:twoCellAnchor editAs="oneCell">
    <xdr:from>
      <xdr:col>15</xdr:col>
      <xdr:colOff>132908</xdr:colOff>
      <xdr:row>0</xdr:row>
      <xdr:rowOff>150628</xdr:rowOff>
    </xdr:from>
    <xdr:to>
      <xdr:col>20</xdr:col>
      <xdr:colOff>372140</xdr:colOff>
      <xdr:row>2</xdr:row>
      <xdr:rowOff>115807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61467F0A-9DB3-B6CC-E09E-71B40442BF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3236" t="22992" b="62572"/>
        <a:stretch/>
      </xdr:blipFill>
      <xdr:spPr>
        <a:xfrm>
          <a:off x="8178210" y="150628"/>
          <a:ext cx="2817628" cy="381621"/>
        </a:xfrm>
        <a:prstGeom prst="rect">
          <a:avLst/>
        </a:prstGeom>
      </xdr:spPr>
    </xdr:pic>
    <xdr:clientData/>
  </xdr:twoCellAnchor>
  <xdr:twoCellAnchor editAs="oneCell">
    <xdr:from>
      <xdr:col>21</xdr:col>
      <xdr:colOff>62023</xdr:colOff>
      <xdr:row>0</xdr:row>
      <xdr:rowOff>59947</xdr:rowOff>
    </xdr:from>
    <xdr:to>
      <xdr:col>27</xdr:col>
      <xdr:colOff>8861</xdr:colOff>
      <xdr:row>3</xdr:row>
      <xdr:rowOff>97464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BB49CC06-0A1B-C814-9639-629FC5CD1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913" b="77009"/>
        <a:stretch/>
      </xdr:blipFill>
      <xdr:spPr>
        <a:xfrm>
          <a:off x="11190767" y="59947"/>
          <a:ext cx="2977117" cy="640029"/>
        </a:xfrm>
        <a:prstGeom prst="rect">
          <a:avLst/>
        </a:prstGeom>
      </xdr:spPr>
    </xdr:pic>
    <xdr:clientData/>
  </xdr:twoCellAnchor>
  <xdr:twoCellAnchor editAs="oneCell">
    <xdr:from>
      <xdr:col>27</xdr:col>
      <xdr:colOff>70884</xdr:colOff>
      <xdr:row>0</xdr:row>
      <xdr:rowOff>0</xdr:rowOff>
    </xdr:from>
    <xdr:to>
      <xdr:col>32</xdr:col>
      <xdr:colOff>239232</xdr:colOff>
      <xdr:row>2</xdr:row>
      <xdr:rowOff>169678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8FD80B1-B649-9B64-E800-EB6B8D33A5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310" t="55250" b="22293"/>
        <a:stretch/>
      </xdr:blipFill>
      <xdr:spPr>
        <a:xfrm>
          <a:off x="14229907" y="0"/>
          <a:ext cx="2693581" cy="586120"/>
        </a:xfrm>
        <a:prstGeom prst="rect">
          <a:avLst/>
        </a:prstGeom>
      </xdr:spPr>
    </xdr:pic>
    <xdr:clientData/>
  </xdr:twoCellAnchor>
  <xdr:twoCellAnchor editAs="oneCell">
    <xdr:from>
      <xdr:col>32</xdr:col>
      <xdr:colOff>106326</xdr:colOff>
      <xdr:row>0</xdr:row>
      <xdr:rowOff>0</xdr:rowOff>
    </xdr:from>
    <xdr:to>
      <xdr:col>38</xdr:col>
      <xdr:colOff>310538</xdr:colOff>
      <xdr:row>2</xdr:row>
      <xdr:rowOff>180770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AE82F279-99BC-9034-34B9-26754FB847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77707"/>
        <a:stretch/>
      </xdr:blipFill>
      <xdr:spPr>
        <a:xfrm>
          <a:off x="16790582" y="0"/>
          <a:ext cx="2950956" cy="5972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21</xdr:row>
      <xdr:rowOff>0</xdr:rowOff>
    </xdr:from>
    <xdr:to>
      <xdr:col>9</xdr:col>
      <xdr:colOff>510540</xdr:colOff>
      <xdr:row>35</xdr:row>
      <xdr:rowOff>170180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67C4A27-677D-C301-19C4-7DD5EDE9C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19</xdr:col>
      <xdr:colOff>510540</xdr:colOff>
      <xdr:row>35</xdr:row>
      <xdr:rowOff>170180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B1F65C6-EA5E-A54E-3E33-1CAA5B3666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518160</xdr:colOff>
      <xdr:row>40</xdr:row>
      <xdr:rowOff>160020</xdr:rowOff>
    </xdr:from>
    <xdr:to>
      <xdr:col>9</xdr:col>
      <xdr:colOff>50800</xdr:colOff>
      <xdr:row>61</xdr:row>
      <xdr:rowOff>129540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4F87C9E-43B9-5F9E-FA92-B0A4219345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449580</xdr:colOff>
      <xdr:row>40</xdr:row>
      <xdr:rowOff>106680</xdr:rowOff>
    </xdr:from>
    <xdr:to>
      <xdr:col>18</xdr:col>
      <xdr:colOff>556260</xdr:colOff>
      <xdr:row>61</xdr:row>
      <xdr:rowOff>4482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1938064-C132-4EC6-BF2A-E3CAFE586F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739140</xdr:colOff>
      <xdr:row>2</xdr:row>
      <xdr:rowOff>175260</xdr:rowOff>
    </xdr:from>
    <xdr:to>
      <xdr:col>8</xdr:col>
      <xdr:colOff>725245</xdr:colOff>
      <xdr:row>18</xdr:row>
      <xdr:rowOff>49306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6EACB1F-8C1D-4127-BC46-EB6AE5057A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7172</xdr:colOff>
      <xdr:row>69</xdr:row>
      <xdr:rowOff>147470</xdr:rowOff>
    </xdr:from>
    <xdr:to>
      <xdr:col>12</xdr:col>
      <xdr:colOff>638288</xdr:colOff>
      <xdr:row>85</xdr:row>
      <xdr:rowOff>18378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C8001946-CF58-4772-851E-E5D2AAC58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hian Martin Valladolid Chero" refreshedDate="45656.344120486108" createdVersion="8" refreshedVersion="8" minRefreshableVersion="3" recordCount="625" xr:uid="{D75C4B94-FB41-4F4E-AEA4-F36F7901FC46}">
  <cacheSource type="worksheet">
    <worksheetSource name="Resumen2"/>
  </cacheSource>
  <cacheFields count="6">
    <cacheField name="Correo electrónico" numFmtId="0">
      <sharedItems/>
    </cacheField>
    <cacheField name="Servicios" numFmtId="0">
      <sharedItems count="5">
        <s v="Desarrollo de Software"/>
        <s v="Administración de Recursos Informáticos"/>
        <s v="Administración de Comunicaciones"/>
        <s v="Infraestructura"/>
        <s v="Soporte informático y de sistemas"/>
      </sharedItems>
    </cacheField>
    <cacheField name="Nro" numFmtId="0">
      <sharedItems containsMixedTypes="1" containsNumber="1" containsInteger="1" minValue="2" maxValue="5" count="5">
        <n v="4"/>
        <n v="5"/>
        <s v="X"/>
        <n v="2"/>
        <n v="3"/>
      </sharedItems>
    </cacheField>
    <cacheField name="Gerencia" numFmtId="0">
      <sharedItems count="5">
        <s v="Industrial y de Mantenimiento"/>
        <s v="Administración y Finanzas"/>
        <s v="Gestión Humana y Sostenibilidad"/>
        <s v="Operaciones"/>
        <s v="Agrícola"/>
      </sharedItems>
    </cacheField>
    <cacheField name="Area" numFmtId="0">
      <sharedItems/>
    </cacheField>
    <cacheField name="Columna1" numFmtId="0">
      <sharedItems count="5">
        <s v="Industrial y de Mantenimiento"/>
        <s v="Administración y Finanzas"/>
        <s v="Gestión Humana y Sostenibilidad"/>
        <s v="Operaciones"/>
        <s v="Agrícol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5">
  <r>
    <s v="CCarrilloR@agricolachira.com.pe"/>
    <x v="0"/>
    <x v="0"/>
    <x v="0"/>
    <s v="Electricidad"/>
    <x v="0"/>
  </r>
  <r>
    <s v="SSanchezV@agricolachira.com.pe"/>
    <x v="0"/>
    <x v="1"/>
    <x v="1"/>
    <s v="Control de Gestión"/>
    <x v="1"/>
  </r>
  <r>
    <s v="ABurneoL@agricolachira.com.pe"/>
    <x v="0"/>
    <x v="2"/>
    <x v="1"/>
    <s v="Control de Gestión"/>
    <x v="1"/>
  </r>
  <r>
    <s v="IVasquezP@agricolachira.com.pe"/>
    <x v="0"/>
    <x v="0"/>
    <x v="2"/>
    <s v="Seguridad"/>
    <x v="2"/>
  </r>
  <r>
    <s v="KZavaletaM@agricolachira.com.pe"/>
    <x v="0"/>
    <x v="1"/>
    <x v="1"/>
    <s v="Contabilidad Tributaria"/>
    <x v="1"/>
  </r>
  <r>
    <s v="DZuritaF@agricolachira.com.pe"/>
    <x v="0"/>
    <x v="2"/>
    <x v="1"/>
    <s v="Legal"/>
    <x v="1"/>
  </r>
  <r>
    <s v="HMocarroC@agricolachira.com.pe"/>
    <x v="0"/>
    <x v="1"/>
    <x v="1"/>
    <s v="Riesgos y Cumplimiento"/>
    <x v="1"/>
  </r>
  <r>
    <s v="creyesy@agricolachira.com.pe"/>
    <x v="0"/>
    <x v="0"/>
    <x v="0"/>
    <s v="Mantenimiento de Transportes"/>
    <x v="0"/>
  </r>
  <r>
    <s v="jquevedoa@agricolachira.com.pe"/>
    <x v="0"/>
    <x v="0"/>
    <x v="1"/>
    <s v="Administración"/>
    <x v="1"/>
  </r>
  <r>
    <s v="CNeyraM@agricolachira.com.pe"/>
    <x v="0"/>
    <x v="0"/>
    <x v="3"/>
    <s v="Almacenes y Distribución PT"/>
    <x v="3"/>
  </r>
  <r>
    <s v="JPichilinguP@agricolachira.com.pe"/>
    <x v="0"/>
    <x v="2"/>
    <x v="3"/>
    <s v="Comercial"/>
    <x v="3"/>
  </r>
  <r>
    <s v="YMogollonG@agricolachira.com.pe"/>
    <x v="0"/>
    <x v="1"/>
    <x v="3"/>
    <s v="Cosecha"/>
    <x v="3"/>
  </r>
  <r>
    <s v="WChavezS@agricolachira.com.pe"/>
    <x v="0"/>
    <x v="3"/>
    <x v="4"/>
    <s v="Fundo San Vicente"/>
    <x v="4"/>
  </r>
  <r>
    <s v="LGarciaC@agricolachira.com.pe"/>
    <x v="0"/>
    <x v="2"/>
    <x v="3"/>
    <s v="Cosecha"/>
    <x v="3"/>
  </r>
  <r>
    <s v="EArevaloJ@agricolachira.com.pe"/>
    <x v="0"/>
    <x v="2"/>
    <x v="1"/>
    <s v="Cadenas Productivas"/>
    <x v="1"/>
  </r>
  <r>
    <s v="LRuizMu@agricolachira.com.pe"/>
    <x v="0"/>
    <x v="2"/>
    <x v="3"/>
    <s v="Calidad"/>
    <x v="3"/>
  </r>
  <r>
    <s v="EAmesM@agricolachira.com.pe"/>
    <x v="0"/>
    <x v="1"/>
    <x v="2"/>
    <s v="Bienestar - Medico Ocupacional"/>
    <x v="2"/>
  </r>
  <r>
    <s v="AAdanaqueE@agricolachira.com.pe"/>
    <x v="0"/>
    <x v="2"/>
    <x v="2"/>
    <s v="Compensación y Nóminas"/>
    <x v="2"/>
  </r>
  <r>
    <s v="KOtinianoP@agricolachira.com.pe"/>
    <x v="0"/>
    <x v="2"/>
    <x v="1"/>
    <s v="Legal"/>
    <x v="1"/>
  </r>
  <r>
    <s v="JArevaloga@agricolachira.com.pe"/>
    <x v="0"/>
    <x v="1"/>
    <x v="2"/>
    <s v="Seguridad"/>
    <x v="2"/>
  </r>
  <r>
    <s v="MVegaY@agricolachira.com.pe"/>
    <x v="0"/>
    <x v="1"/>
    <x v="3"/>
    <s v="Calidad"/>
    <x v="3"/>
  </r>
  <r>
    <s v="ASeminarioV@agricolachira.com.pe"/>
    <x v="0"/>
    <x v="0"/>
    <x v="4"/>
    <s v="Mantenimiento de Riego y Bombas"/>
    <x v="4"/>
  </r>
  <r>
    <s v="JVillegasP@agricolachira.com.pe"/>
    <x v="0"/>
    <x v="1"/>
    <x v="2"/>
    <s v="Compensación y Nóminas"/>
    <x v="2"/>
  </r>
  <r>
    <s v="JOrdinolaZ@agricolachira.com.pe"/>
    <x v="0"/>
    <x v="1"/>
    <x v="3"/>
    <s v="Calidad"/>
    <x v="3"/>
  </r>
  <r>
    <s v="YMoscolC@agricolachira.com.pe"/>
    <x v="0"/>
    <x v="2"/>
    <x v="3"/>
    <s v="Comercial"/>
    <x v="3"/>
  </r>
  <r>
    <s v="AGarciaPac@agricolachira.com.pe"/>
    <x v="0"/>
    <x v="0"/>
    <x v="1"/>
    <s v="Legal"/>
    <x v="1"/>
  </r>
  <r>
    <s v="MVillegasJ@agricolachira.com.pe"/>
    <x v="0"/>
    <x v="1"/>
    <x v="1"/>
    <s v="Administración"/>
    <x v="1"/>
  </r>
  <r>
    <s v="LOlayaLe@agricolachira.com.pe"/>
    <x v="0"/>
    <x v="1"/>
    <x v="1"/>
    <s v="Finanzas y Tesorería"/>
    <x v="1"/>
  </r>
  <r>
    <s v="PViteC@agricolachira.com.pe"/>
    <x v="0"/>
    <x v="1"/>
    <x v="3"/>
    <s v="Mantenimiento CAT"/>
    <x v="3"/>
  </r>
  <r>
    <s v="CSosaL@agricolachira.com.pe"/>
    <x v="0"/>
    <x v="1"/>
    <x v="1"/>
    <s v="Control de Gestión"/>
    <x v="1"/>
  </r>
  <r>
    <s v="RMoncadaP@agricolachira.com.pe"/>
    <x v="0"/>
    <x v="1"/>
    <x v="1"/>
    <s v="Control de Gestión"/>
    <x v="1"/>
  </r>
  <r>
    <s v="VAbadP@agricolachira.com.pe"/>
    <x v="0"/>
    <x v="1"/>
    <x v="1"/>
    <s v="Contabilidad Tributaria"/>
    <x v="1"/>
  </r>
  <r>
    <s v="MNavarroN@agricolachira.com.pe"/>
    <x v="0"/>
    <x v="2"/>
    <x v="2"/>
    <s v="Gestor de Recursos Humanos"/>
    <x v="2"/>
  </r>
  <r>
    <s v="AVilelaJ@agricolachira.com.pe"/>
    <x v="0"/>
    <x v="1"/>
    <x v="1"/>
    <s v="Finanzas y Tesorería"/>
    <x v="1"/>
  </r>
  <r>
    <s v="AGutierrezR@agricolachira.com.pe"/>
    <x v="0"/>
    <x v="1"/>
    <x v="3"/>
    <s v="Comercial"/>
    <x v="3"/>
  </r>
  <r>
    <s v="ovasquezp@agricolachira.com.pe"/>
    <x v="0"/>
    <x v="1"/>
    <x v="4"/>
    <s v="Planificador Agrícola"/>
    <x v="4"/>
  </r>
  <r>
    <s v="CMendozaM@agricolachira.com.pe"/>
    <x v="0"/>
    <x v="0"/>
    <x v="4"/>
    <s v="Fundo Montelima"/>
    <x v="4"/>
  </r>
  <r>
    <s v="JCastilloR@agricolachira.com.pe"/>
    <x v="0"/>
    <x v="2"/>
    <x v="4"/>
    <s v="Mantenimiento de Riego y Bombas"/>
    <x v="4"/>
  </r>
  <r>
    <s v="NHansenG@agricolachira.com.pe"/>
    <x v="0"/>
    <x v="2"/>
    <x v="4"/>
    <s v="Mantenimiento de Riego y Bombas"/>
    <x v="4"/>
  </r>
  <r>
    <s v="VHilaresZ@agricolachira.com.pe"/>
    <x v="0"/>
    <x v="0"/>
    <x v="4"/>
    <s v="Fundo San Vicente"/>
    <x v="4"/>
  </r>
  <r>
    <s v="ereyesp@agricolachira.com.pe"/>
    <x v="0"/>
    <x v="2"/>
    <x v="4"/>
    <s v="Planificador Agrícola"/>
    <x v="4"/>
  </r>
  <r>
    <s v="AFloresD@agricolachira.com.pe"/>
    <x v="0"/>
    <x v="0"/>
    <x v="0"/>
    <s v="Producción"/>
    <x v="0"/>
  </r>
  <r>
    <s v="jbacilioh@agricolachira.com.pe"/>
    <x v="0"/>
    <x v="2"/>
    <x v="4"/>
    <s v="Laboratorio e Investigación Agricola"/>
    <x v="4"/>
  </r>
  <r>
    <s v="DCheroN@agricolachira.com.pe"/>
    <x v="0"/>
    <x v="1"/>
    <x v="3"/>
    <s v="Almacenes y Distribución PT"/>
    <x v="3"/>
  </r>
  <r>
    <s v="ALachiraP@agricolachira.com.pe"/>
    <x v="0"/>
    <x v="1"/>
    <x v="3"/>
    <s v="Almacenes y Distribución PT"/>
    <x v="3"/>
  </r>
  <r>
    <s v="PArcelaC@agricolachira.com.pe"/>
    <x v="0"/>
    <x v="0"/>
    <x v="3"/>
    <s v="Cosecha"/>
    <x v="3"/>
  </r>
  <r>
    <s v="JMendozaG@agricolachira.com.pe"/>
    <x v="0"/>
    <x v="1"/>
    <x v="2"/>
    <s v="Seguridad"/>
    <x v="2"/>
  </r>
  <r>
    <s v="RTorresS@agricolachira.com.pe"/>
    <x v="0"/>
    <x v="0"/>
    <x v="4"/>
    <s v="Mantenimiento de Riego y Bombas"/>
    <x v="4"/>
  </r>
  <r>
    <s v="LTimanaT@agricolachira.com.pe"/>
    <x v="0"/>
    <x v="2"/>
    <x v="1"/>
    <s v="Compras"/>
    <x v="1"/>
  </r>
  <r>
    <s v="MDiazTa@agricolachira.com.pe"/>
    <x v="0"/>
    <x v="2"/>
    <x v="1"/>
    <s v="Finanzas y Tesorería"/>
    <x v="1"/>
  </r>
  <r>
    <s v="WFacundoF@agricolachira.com.pe"/>
    <x v="0"/>
    <x v="0"/>
    <x v="0"/>
    <s v="Producción"/>
    <x v="0"/>
  </r>
  <r>
    <s v="RGarciaFe@agricolachira.com.pe"/>
    <x v="0"/>
    <x v="2"/>
    <x v="1"/>
    <s v="Contabilidad Tributaria"/>
    <x v="1"/>
  </r>
  <r>
    <s v="LPadillaSa@agricolachira.com.pe"/>
    <x v="0"/>
    <x v="2"/>
    <x v="0"/>
    <s v="Producción"/>
    <x v="0"/>
  </r>
  <r>
    <s v="LOcanaP@agricolachira.com.pe"/>
    <x v="0"/>
    <x v="0"/>
    <x v="1"/>
    <s v="Control de Gestión"/>
    <x v="1"/>
  </r>
  <r>
    <s v="JCalderonChu@agricolachira.com.pe"/>
    <x v="0"/>
    <x v="0"/>
    <x v="0"/>
    <s v="Producción"/>
    <x v="0"/>
  </r>
  <r>
    <s v="JLopezSi@agricolachira.com.pe"/>
    <x v="0"/>
    <x v="1"/>
    <x v="0"/>
    <s v="Mantenimiento Industrial"/>
    <x v="0"/>
  </r>
  <r>
    <s v="LChanduviT@agricolachira.com.pe"/>
    <x v="0"/>
    <x v="1"/>
    <x v="1"/>
    <s v="Contabilidad Tributaria"/>
    <x v="1"/>
  </r>
  <r>
    <s v="YGarridoS@agricolachira.com.pe"/>
    <x v="0"/>
    <x v="1"/>
    <x v="3"/>
    <s v="Almacenes y Distribución PT"/>
    <x v="3"/>
  </r>
  <r>
    <s v="RSacramentoL@agricolachira.com.pe"/>
    <x v="0"/>
    <x v="0"/>
    <x v="4"/>
    <s v="Fundo Lobo"/>
    <x v="4"/>
  </r>
  <r>
    <s v="LRodriguezC@agricolachira.com.pe"/>
    <x v="0"/>
    <x v="1"/>
    <x v="2"/>
    <s v="Comunicaciones y Responsabilidad Social"/>
    <x v="2"/>
  </r>
  <r>
    <s v="JCheroPa@agricolachira.com.pe"/>
    <x v="0"/>
    <x v="2"/>
    <x v="1"/>
    <s v="Compras"/>
    <x v="1"/>
  </r>
  <r>
    <s v="VAntezanaM@agricolachira.com.pe"/>
    <x v="0"/>
    <x v="1"/>
    <x v="1"/>
    <s v="Administración"/>
    <x v="1"/>
  </r>
  <r>
    <s v="CLupucheV@agricolachira.com.pe"/>
    <x v="0"/>
    <x v="1"/>
    <x v="4"/>
    <s v="Fundo Lobo"/>
    <x v="4"/>
  </r>
  <r>
    <s v="EHerediaR@agricolachira.com.pe"/>
    <x v="0"/>
    <x v="0"/>
    <x v="2"/>
    <s v="Gestor de Recursos Humanos"/>
    <x v="2"/>
  </r>
  <r>
    <s v="HCruzA@agricolachira.com.pe"/>
    <x v="0"/>
    <x v="1"/>
    <x v="3"/>
    <s v="Almacenes y Distribución PT"/>
    <x v="3"/>
  </r>
  <r>
    <s v="YHermenegilA@agricolachira.com.pe"/>
    <x v="0"/>
    <x v="1"/>
    <x v="2"/>
    <s v="Bienestar - Medico Ocupacional"/>
    <x v="2"/>
  </r>
  <r>
    <s v="DYarlequeL@agricolachira.com.pe"/>
    <x v="0"/>
    <x v="0"/>
    <x v="0"/>
    <s v="Producción"/>
    <x v="0"/>
  </r>
  <r>
    <s v="FValladaresC@agricolachira.com.pe"/>
    <x v="0"/>
    <x v="1"/>
    <x v="4"/>
    <s v="Mantenimiento de Riego y Bombas"/>
    <x v="4"/>
  </r>
  <r>
    <s v="DGameroS@agricolachira.com.pe"/>
    <x v="0"/>
    <x v="1"/>
    <x v="0"/>
    <s v="Producción"/>
    <x v="0"/>
  </r>
  <r>
    <s v="EMartinezG@agricolachira.com.pe"/>
    <x v="0"/>
    <x v="0"/>
    <x v="2"/>
    <s v="Compensación y Nóminas"/>
    <x v="2"/>
  </r>
  <r>
    <s v="MCulqueC@agricolachira.com.pe"/>
    <x v="0"/>
    <x v="1"/>
    <x v="4"/>
    <s v="Fundo San Vicente"/>
    <x v="4"/>
  </r>
  <r>
    <s v="PMarroquinR@agricolachira.com.pe"/>
    <x v="0"/>
    <x v="2"/>
    <x v="4"/>
    <s v="Sistema Integral de Gestión"/>
    <x v="4"/>
  </r>
  <r>
    <s v="KYamunaqueJ@agricolachira.com.pe"/>
    <x v="0"/>
    <x v="1"/>
    <x v="3"/>
    <s v="Almacenes y Distribución PT"/>
    <x v="3"/>
  </r>
  <r>
    <s v="PHernandezH@agricolachira.com.pe"/>
    <x v="0"/>
    <x v="1"/>
    <x v="4"/>
    <s v="Fundo Lobo"/>
    <x v="4"/>
  </r>
  <r>
    <s v="GPenaP@agricolachira.com.pe"/>
    <x v="0"/>
    <x v="0"/>
    <x v="4"/>
    <s v="Fundo Lobo"/>
    <x v="4"/>
  </r>
  <r>
    <s v="JAquijeD@agricolachira.com.pe"/>
    <x v="0"/>
    <x v="2"/>
    <x v="4"/>
    <s v="Fundo Montelima"/>
    <x v="4"/>
  </r>
  <r>
    <s v="VLopezS@agricolachira.com.pe"/>
    <x v="0"/>
    <x v="0"/>
    <x v="3"/>
    <s v="Cosecha"/>
    <x v="3"/>
  </r>
  <r>
    <s v="CManayayB@agricolachira.com.pe"/>
    <x v="0"/>
    <x v="2"/>
    <x v="4"/>
    <s v="Fundo Lobo"/>
    <x v="4"/>
  </r>
  <r>
    <s v="PSuncionZ@agricolachira.com.pe"/>
    <x v="0"/>
    <x v="1"/>
    <x v="2"/>
    <s v="Compensación y Nóminas"/>
    <x v="2"/>
  </r>
  <r>
    <s v="EMijahuancaG@agricolachira.com.pe"/>
    <x v="0"/>
    <x v="1"/>
    <x v="3"/>
    <s v="Mantenimiento CAT"/>
    <x v="3"/>
  </r>
  <r>
    <s v="HBorjaT@agricolachira.com.pe"/>
    <x v="0"/>
    <x v="1"/>
    <x v="0"/>
    <s v="Electricidad"/>
    <x v="0"/>
  </r>
  <r>
    <s v="MMartinezP@agricolachira.com.pe"/>
    <x v="0"/>
    <x v="2"/>
    <x v="1"/>
    <s v="Contabilidad Tributaria"/>
    <x v="1"/>
  </r>
  <r>
    <s v="VCruzC@agricolachira.com.pe"/>
    <x v="0"/>
    <x v="1"/>
    <x v="2"/>
    <s v="Gestor de Recursos Humanos"/>
    <x v="2"/>
  </r>
  <r>
    <s v="JNegronC@agricolachira.com.pe"/>
    <x v="0"/>
    <x v="0"/>
    <x v="4"/>
    <s v="Mantenimiento de Riego y Bombas"/>
    <x v="4"/>
  </r>
  <r>
    <s v="jjimenezc@agricolachira.com.pe"/>
    <x v="0"/>
    <x v="1"/>
    <x v="2"/>
    <s v="Sostenibilidad"/>
    <x v="2"/>
  </r>
  <r>
    <s v="operadordebalanza@agricolachira.com.pe"/>
    <x v="0"/>
    <x v="1"/>
    <x v="3"/>
    <s v="Almacenes y Distribución PT"/>
    <x v="3"/>
  </r>
  <r>
    <s v="balanzapt@agricolachira.com.pe"/>
    <x v="0"/>
    <x v="1"/>
    <x v="3"/>
    <s v="Almacenes y Distribución PT"/>
    <x v="3"/>
  </r>
  <r>
    <s v="JChaparroB@agricolachira.com.pe"/>
    <x v="0"/>
    <x v="1"/>
    <x v="1"/>
    <s v="Compras"/>
    <x v="1"/>
  </r>
  <r>
    <s v="VSanchezA@agricolachira.com.pe"/>
    <x v="0"/>
    <x v="0"/>
    <x v="4"/>
    <s v="Fundo Lobo"/>
    <x v="4"/>
  </r>
  <r>
    <s v="cfreym@agricolachira.com.pe"/>
    <x v="0"/>
    <x v="0"/>
    <x v="3"/>
    <s v="Comercial"/>
    <x v="3"/>
  </r>
  <r>
    <s v="AChirinosC@agricolachira.com.pe"/>
    <x v="0"/>
    <x v="2"/>
    <x v="2"/>
    <s v="Control Presupuestal"/>
    <x v="2"/>
  </r>
  <r>
    <s v="FLopezVal@agricolachira.com.pe"/>
    <x v="0"/>
    <x v="0"/>
    <x v="3"/>
    <s v="Almacenes y Distribución PT"/>
    <x v="3"/>
  </r>
  <r>
    <s v="lsipiona@agricolachira.com.pe"/>
    <x v="0"/>
    <x v="1"/>
    <x v="2"/>
    <s v="Sostenibilidad"/>
    <x v="2"/>
  </r>
  <r>
    <s v="JUrbinaP@agricolachira.com.pe"/>
    <x v="0"/>
    <x v="0"/>
    <x v="4"/>
    <s v="Fundo Lobo"/>
    <x v="4"/>
  </r>
  <r>
    <s v="LVillarF@agricolachira.com.pe"/>
    <x v="0"/>
    <x v="0"/>
    <x v="0"/>
    <s v="Mantenimiento Industrial"/>
    <x v="0"/>
  </r>
  <r>
    <s v="ASernaqueV@agricolachira.com.pe"/>
    <x v="0"/>
    <x v="1"/>
    <x v="2"/>
    <s v="Gestor de Recursos Humanos"/>
    <x v="2"/>
  </r>
  <r>
    <s v="SMerinoV@agricolachira.com.pe"/>
    <x v="0"/>
    <x v="1"/>
    <x v="1"/>
    <s v="Finanzas y Tesorería"/>
    <x v="1"/>
  </r>
  <r>
    <s v="RLupucheQ@agricolachira.com.pe"/>
    <x v="0"/>
    <x v="1"/>
    <x v="4"/>
    <s v="Laboratorio e Investigación Agricola"/>
    <x v="4"/>
  </r>
  <r>
    <s v="DFloreanoP@agricolachira.com.pe"/>
    <x v="0"/>
    <x v="2"/>
    <x v="1"/>
    <s v="Compras"/>
    <x v="1"/>
  </r>
  <r>
    <s v="JCobenasS@agricolachira.com.pe"/>
    <x v="0"/>
    <x v="0"/>
    <x v="3"/>
    <s v="Calidad"/>
    <x v="3"/>
  </r>
  <r>
    <s v="AColomaL@agricolachira.com.pe"/>
    <x v="0"/>
    <x v="0"/>
    <x v="2"/>
    <s v="Compensación y Nóminas"/>
    <x v="2"/>
  </r>
  <r>
    <s v="JMioA@agricolachira.com.pe"/>
    <x v="0"/>
    <x v="1"/>
    <x v="4"/>
    <s v="Mantenimiento de Riego y Bombas"/>
    <x v="4"/>
  </r>
  <r>
    <s v="DAlbercaS@agricolachira.com.pe"/>
    <x v="0"/>
    <x v="2"/>
    <x v="3"/>
    <s v="Calidad"/>
    <x v="3"/>
  </r>
  <r>
    <s v="JMazaV@agricolachira.com.pe"/>
    <x v="0"/>
    <x v="2"/>
    <x v="0"/>
    <s v="Automatización"/>
    <x v="0"/>
  </r>
  <r>
    <s v="AVasquezM@agricolachira.com.pe"/>
    <x v="0"/>
    <x v="1"/>
    <x v="0"/>
    <s v="Mantenimiento Industrial"/>
    <x v="0"/>
  </r>
  <r>
    <s v="JMogollonC@agricolachira.com.pe"/>
    <x v="0"/>
    <x v="0"/>
    <x v="3"/>
    <s v="Transporte"/>
    <x v="3"/>
  </r>
  <r>
    <s v="ECortezS@agricolachira.com.pe"/>
    <x v="0"/>
    <x v="1"/>
    <x v="3"/>
    <s v="Almacenes y Distribución PT"/>
    <x v="3"/>
  </r>
  <r>
    <s v="HMatiasZ@agricolachira.com.pe"/>
    <x v="0"/>
    <x v="2"/>
    <x v="4"/>
    <s v="Fundo La Huaca"/>
    <x v="4"/>
  </r>
  <r>
    <s v="DCruzC@agricolachira.com.pe"/>
    <x v="0"/>
    <x v="0"/>
    <x v="0"/>
    <s v="Mantenimiento Industrial"/>
    <x v="0"/>
  </r>
  <r>
    <s v="MDilibertoS@agricolachira.com.pe"/>
    <x v="0"/>
    <x v="3"/>
    <x v="4"/>
    <s v="Gerencia Agrícola"/>
    <x v="4"/>
  </r>
  <r>
    <s v="ptrigoso@agricolachira.com.pe"/>
    <x v="0"/>
    <x v="0"/>
    <x v="3"/>
    <s v="Gerencia de Operaciones"/>
    <x v="3"/>
  </r>
  <r>
    <s v="EGironA@agricolachira.com.pe"/>
    <x v="0"/>
    <x v="4"/>
    <x v="2"/>
    <s v="Gestor de Recursos Humanos"/>
    <x v="2"/>
  </r>
  <r>
    <s v="JSeminarioA@agricolachira.com.pe"/>
    <x v="0"/>
    <x v="3"/>
    <x v="0"/>
    <s v="Producción"/>
    <x v="0"/>
  </r>
  <r>
    <s v="JRojasBarr@agricolachira.com.pe"/>
    <x v="0"/>
    <x v="0"/>
    <x v="4"/>
    <s v="Fundo Montelima"/>
    <x v="4"/>
  </r>
  <r>
    <s v="FFloresP@agricolachira.com.pe"/>
    <x v="0"/>
    <x v="1"/>
    <x v="2"/>
    <s v="Gestión Humana"/>
    <x v="2"/>
  </r>
  <r>
    <s v="CRamosG@agricolachira.com.pe"/>
    <x v="0"/>
    <x v="1"/>
    <x v="2"/>
    <s v="Gestion del Talento"/>
    <x v="2"/>
  </r>
  <r>
    <s v="GGonzalesC@agricolachira.com.pe"/>
    <x v="0"/>
    <x v="1"/>
    <x v="2"/>
    <s v="Relaciones Laborales"/>
    <x v="2"/>
  </r>
  <r>
    <s v="MOjedaC@agricolachira.com.pe"/>
    <x v="0"/>
    <x v="1"/>
    <x v="1"/>
    <s v="Contabilidad Tributaria"/>
    <x v="1"/>
  </r>
  <r>
    <s v="JAlbujarC@agricolachira.com.pe"/>
    <x v="0"/>
    <x v="1"/>
    <x v="0"/>
    <s v="Mantenimiento Industrial"/>
    <x v="0"/>
  </r>
  <r>
    <s v="JEstelaF@agricolachira.com.pe"/>
    <x v="0"/>
    <x v="1"/>
    <x v="3"/>
    <s v="Calidad"/>
    <x v="3"/>
  </r>
  <r>
    <s v="JMonteroV@agricolachira.com.pe"/>
    <x v="0"/>
    <x v="2"/>
    <x v="2"/>
    <s v="Gerencia Gestión Humana y Sostenibilidad"/>
    <x v="2"/>
  </r>
  <r>
    <s v="AAguilarMo@agricolachira.com.pe"/>
    <x v="0"/>
    <x v="2"/>
    <x v="1"/>
    <s v="Compras"/>
    <x v="1"/>
  </r>
  <r>
    <s v="AGuldenG@agricolachira.com.pe"/>
    <x v="0"/>
    <x v="1"/>
    <x v="4"/>
    <s v="Fundo Lobo"/>
    <x v="4"/>
  </r>
  <r>
    <s v="adelchira_transporte@agricolachira.com.pe"/>
    <x v="0"/>
    <x v="1"/>
    <x v="3"/>
    <s v="Transporte"/>
    <x v="3"/>
  </r>
  <r>
    <s v="CVivancoM@agricolachira.com.pe"/>
    <x v="0"/>
    <x v="2"/>
    <x v="1"/>
    <s v="Gerencia Administración y Finanzas"/>
    <x v="1"/>
  </r>
  <r>
    <s v="CCarrilloR@agricolachira.com.pe"/>
    <x v="1"/>
    <x v="1"/>
    <x v="0"/>
    <s v="Electricidad"/>
    <x v="0"/>
  </r>
  <r>
    <s v="SSanchezV@agricolachira.com.pe"/>
    <x v="1"/>
    <x v="1"/>
    <x v="1"/>
    <s v="Control de Gestión"/>
    <x v="1"/>
  </r>
  <r>
    <s v="ABurneoL@agricolachira.com.pe"/>
    <x v="1"/>
    <x v="1"/>
    <x v="1"/>
    <s v="Control de Gestión"/>
    <x v="1"/>
  </r>
  <r>
    <s v="IVasquezP@agricolachira.com.pe"/>
    <x v="1"/>
    <x v="0"/>
    <x v="2"/>
    <s v="Seguridad"/>
    <x v="2"/>
  </r>
  <r>
    <s v="KZavaletaM@agricolachira.com.pe"/>
    <x v="1"/>
    <x v="1"/>
    <x v="1"/>
    <s v="Contabilidad Tributaria"/>
    <x v="1"/>
  </r>
  <r>
    <s v="DZuritaF@agricolachira.com.pe"/>
    <x v="1"/>
    <x v="1"/>
    <x v="1"/>
    <s v="Legal"/>
    <x v="1"/>
  </r>
  <r>
    <s v="HMocarroC@agricolachira.com.pe"/>
    <x v="1"/>
    <x v="1"/>
    <x v="1"/>
    <s v="Riesgos y Cumplimiento"/>
    <x v="1"/>
  </r>
  <r>
    <s v="creyesy@agricolachira.com.pe"/>
    <x v="1"/>
    <x v="1"/>
    <x v="0"/>
    <s v="Mantenimiento de Transportes"/>
    <x v="0"/>
  </r>
  <r>
    <s v="jquevedoa@agricolachira.com.pe"/>
    <x v="1"/>
    <x v="1"/>
    <x v="1"/>
    <s v="Administración"/>
    <x v="1"/>
  </r>
  <r>
    <s v="CNeyraM@agricolachira.com.pe"/>
    <x v="1"/>
    <x v="0"/>
    <x v="3"/>
    <s v="Almacenes y Distribución PT"/>
    <x v="3"/>
  </r>
  <r>
    <s v="JPichilinguP@agricolachira.com.pe"/>
    <x v="1"/>
    <x v="0"/>
    <x v="3"/>
    <s v="Comercial"/>
    <x v="3"/>
  </r>
  <r>
    <s v="YMogollonG@agricolachira.com.pe"/>
    <x v="1"/>
    <x v="1"/>
    <x v="3"/>
    <s v="Cosecha"/>
    <x v="3"/>
  </r>
  <r>
    <s v="WChavezS@agricolachira.com.pe"/>
    <x v="1"/>
    <x v="0"/>
    <x v="4"/>
    <s v="Fundo San Vicente"/>
    <x v="4"/>
  </r>
  <r>
    <s v="LGarciaC@agricolachira.com.pe"/>
    <x v="1"/>
    <x v="1"/>
    <x v="3"/>
    <s v="Cosecha"/>
    <x v="3"/>
  </r>
  <r>
    <s v="EArevaloJ@agricolachira.com.pe"/>
    <x v="1"/>
    <x v="1"/>
    <x v="1"/>
    <s v="Cadenas Productivas"/>
    <x v="1"/>
  </r>
  <r>
    <s v="LRuizMu@agricolachira.com.pe"/>
    <x v="1"/>
    <x v="1"/>
    <x v="3"/>
    <s v="Calidad"/>
    <x v="3"/>
  </r>
  <r>
    <s v="EAmesM@agricolachira.com.pe"/>
    <x v="1"/>
    <x v="4"/>
    <x v="2"/>
    <s v="Bienestar - Medico Ocupacional"/>
    <x v="2"/>
  </r>
  <r>
    <s v="AAdanaqueE@agricolachira.com.pe"/>
    <x v="1"/>
    <x v="1"/>
    <x v="2"/>
    <s v="Compensación y Nóminas"/>
    <x v="2"/>
  </r>
  <r>
    <s v="KOtinianoP@agricolachira.com.pe"/>
    <x v="1"/>
    <x v="0"/>
    <x v="1"/>
    <s v="Legal"/>
    <x v="1"/>
  </r>
  <r>
    <s v="JArevaloga@agricolachira.com.pe"/>
    <x v="1"/>
    <x v="0"/>
    <x v="2"/>
    <s v="Seguridad"/>
    <x v="2"/>
  </r>
  <r>
    <s v="MVegaY@agricolachira.com.pe"/>
    <x v="1"/>
    <x v="0"/>
    <x v="3"/>
    <s v="Calidad"/>
    <x v="3"/>
  </r>
  <r>
    <s v="ASeminarioV@agricolachira.com.pe"/>
    <x v="1"/>
    <x v="0"/>
    <x v="4"/>
    <s v="Mantenimiento de Riego y Bombas"/>
    <x v="4"/>
  </r>
  <r>
    <s v="JVillegasP@agricolachira.com.pe"/>
    <x v="1"/>
    <x v="1"/>
    <x v="2"/>
    <s v="Compensación y Nóminas"/>
    <x v="2"/>
  </r>
  <r>
    <s v="JOrdinolaZ@agricolachira.com.pe"/>
    <x v="1"/>
    <x v="1"/>
    <x v="3"/>
    <s v="Calidad"/>
    <x v="3"/>
  </r>
  <r>
    <s v="YMoscolC@agricolachira.com.pe"/>
    <x v="1"/>
    <x v="1"/>
    <x v="3"/>
    <s v="Comercial"/>
    <x v="3"/>
  </r>
  <r>
    <s v="AGarciaPac@agricolachira.com.pe"/>
    <x v="1"/>
    <x v="1"/>
    <x v="1"/>
    <s v="Legal"/>
    <x v="1"/>
  </r>
  <r>
    <s v="MVillegasJ@agricolachira.com.pe"/>
    <x v="1"/>
    <x v="1"/>
    <x v="1"/>
    <s v="Administración"/>
    <x v="1"/>
  </r>
  <r>
    <s v="LOlayaLe@agricolachira.com.pe"/>
    <x v="1"/>
    <x v="1"/>
    <x v="1"/>
    <s v="Finanzas y Tesorería"/>
    <x v="1"/>
  </r>
  <r>
    <s v="PViteC@agricolachira.com.pe"/>
    <x v="1"/>
    <x v="0"/>
    <x v="3"/>
    <s v="Mantenimiento CAT"/>
    <x v="3"/>
  </r>
  <r>
    <s v="CSosaL@agricolachira.com.pe"/>
    <x v="1"/>
    <x v="1"/>
    <x v="1"/>
    <s v="Control de Gestión"/>
    <x v="1"/>
  </r>
  <r>
    <s v="RMoncadaP@agricolachira.com.pe"/>
    <x v="1"/>
    <x v="1"/>
    <x v="1"/>
    <s v="Control de Gestión"/>
    <x v="1"/>
  </r>
  <r>
    <s v="VAbadP@agricolachira.com.pe"/>
    <x v="1"/>
    <x v="1"/>
    <x v="1"/>
    <s v="Contabilidad Tributaria"/>
    <x v="1"/>
  </r>
  <r>
    <s v="MNavarroN@agricolachira.com.pe"/>
    <x v="1"/>
    <x v="1"/>
    <x v="2"/>
    <s v="Gestor de Recursos Humanos"/>
    <x v="2"/>
  </r>
  <r>
    <s v="AVilelaJ@agricolachira.com.pe"/>
    <x v="1"/>
    <x v="0"/>
    <x v="1"/>
    <s v="Finanzas y Tesorería"/>
    <x v="1"/>
  </r>
  <r>
    <s v="AGutierrezR@agricolachira.com.pe"/>
    <x v="1"/>
    <x v="1"/>
    <x v="3"/>
    <s v="Comercial"/>
    <x v="3"/>
  </r>
  <r>
    <s v="ovasquezp@agricolachira.com.pe"/>
    <x v="1"/>
    <x v="0"/>
    <x v="4"/>
    <s v="Planificador Agrícola"/>
    <x v="4"/>
  </r>
  <r>
    <s v="CMendozaM@agricolachira.com.pe"/>
    <x v="1"/>
    <x v="0"/>
    <x v="4"/>
    <s v="Fundo Montelima"/>
    <x v="4"/>
  </r>
  <r>
    <s v="JCastilloR@agricolachira.com.pe"/>
    <x v="1"/>
    <x v="0"/>
    <x v="4"/>
    <s v="Mantenimiento de Riego y Bombas"/>
    <x v="4"/>
  </r>
  <r>
    <s v="NHansenG@agricolachira.com.pe"/>
    <x v="1"/>
    <x v="0"/>
    <x v="4"/>
    <s v="Mantenimiento de Riego y Bombas"/>
    <x v="4"/>
  </r>
  <r>
    <s v="VHilaresZ@agricolachira.com.pe"/>
    <x v="1"/>
    <x v="0"/>
    <x v="4"/>
    <s v="Fundo San Vicente"/>
    <x v="4"/>
  </r>
  <r>
    <s v="ereyesp@agricolachira.com.pe"/>
    <x v="1"/>
    <x v="1"/>
    <x v="4"/>
    <s v="Planificador Agrícola"/>
    <x v="4"/>
  </r>
  <r>
    <s v="AFloresD@agricolachira.com.pe"/>
    <x v="1"/>
    <x v="0"/>
    <x v="0"/>
    <s v="Producción"/>
    <x v="0"/>
  </r>
  <r>
    <s v="jbacilioh@agricolachira.com.pe"/>
    <x v="1"/>
    <x v="1"/>
    <x v="4"/>
    <s v="Laboratorio e Investigación Agricola"/>
    <x v="4"/>
  </r>
  <r>
    <s v="DCheroN@agricolachira.com.pe"/>
    <x v="1"/>
    <x v="1"/>
    <x v="3"/>
    <s v="Almacenes y Distribución PT"/>
    <x v="3"/>
  </r>
  <r>
    <s v="ALachiraP@agricolachira.com.pe"/>
    <x v="1"/>
    <x v="0"/>
    <x v="3"/>
    <s v="Almacenes y Distribución PT"/>
    <x v="3"/>
  </r>
  <r>
    <s v="PArcelaC@agricolachira.com.pe"/>
    <x v="1"/>
    <x v="0"/>
    <x v="3"/>
    <s v="Cosecha"/>
    <x v="3"/>
  </r>
  <r>
    <s v="JMendozaG@agricolachira.com.pe"/>
    <x v="1"/>
    <x v="1"/>
    <x v="2"/>
    <s v="Seguridad"/>
    <x v="2"/>
  </r>
  <r>
    <s v="RTorresS@agricolachira.com.pe"/>
    <x v="1"/>
    <x v="0"/>
    <x v="4"/>
    <s v="Mantenimiento de Riego y Bombas"/>
    <x v="4"/>
  </r>
  <r>
    <s v="LTimanaT@agricolachira.com.pe"/>
    <x v="1"/>
    <x v="1"/>
    <x v="1"/>
    <s v="Compras"/>
    <x v="1"/>
  </r>
  <r>
    <s v="MDiazTa@agricolachira.com.pe"/>
    <x v="1"/>
    <x v="0"/>
    <x v="1"/>
    <s v="Finanzas y Tesorería"/>
    <x v="1"/>
  </r>
  <r>
    <s v="WFacundoF@agricolachira.com.pe"/>
    <x v="1"/>
    <x v="0"/>
    <x v="0"/>
    <s v="Producción"/>
    <x v="0"/>
  </r>
  <r>
    <s v="RGarciaFe@agricolachira.com.pe"/>
    <x v="1"/>
    <x v="0"/>
    <x v="1"/>
    <s v="Contabilidad Tributaria"/>
    <x v="1"/>
  </r>
  <r>
    <s v="LPadillaSa@agricolachira.com.pe"/>
    <x v="1"/>
    <x v="4"/>
    <x v="0"/>
    <s v="Producción"/>
    <x v="0"/>
  </r>
  <r>
    <s v="LOcanaP@agricolachira.com.pe"/>
    <x v="1"/>
    <x v="1"/>
    <x v="1"/>
    <s v="Control de Gestión"/>
    <x v="1"/>
  </r>
  <r>
    <s v="JCalderonChu@agricolachira.com.pe"/>
    <x v="1"/>
    <x v="0"/>
    <x v="0"/>
    <s v="Producción"/>
    <x v="0"/>
  </r>
  <r>
    <s v="JLopezSi@agricolachira.com.pe"/>
    <x v="1"/>
    <x v="1"/>
    <x v="0"/>
    <s v="Mantenimiento Industrial"/>
    <x v="0"/>
  </r>
  <r>
    <s v="LChanduviT@agricolachira.com.pe"/>
    <x v="1"/>
    <x v="1"/>
    <x v="1"/>
    <s v="Contabilidad Tributaria"/>
    <x v="1"/>
  </r>
  <r>
    <s v="YGarridoS@agricolachira.com.pe"/>
    <x v="1"/>
    <x v="1"/>
    <x v="3"/>
    <s v="Almacenes y Distribución PT"/>
    <x v="3"/>
  </r>
  <r>
    <s v="RSacramentoL@agricolachira.com.pe"/>
    <x v="1"/>
    <x v="0"/>
    <x v="4"/>
    <s v="Fundo Lobo"/>
    <x v="4"/>
  </r>
  <r>
    <s v="LRodriguezC@agricolachira.com.pe"/>
    <x v="1"/>
    <x v="1"/>
    <x v="2"/>
    <s v="Comunicaciones y Responsabilidad Social"/>
    <x v="2"/>
  </r>
  <r>
    <s v="JCheroPa@agricolachira.com.pe"/>
    <x v="1"/>
    <x v="0"/>
    <x v="1"/>
    <s v="Compras"/>
    <x v="1"/>
  </r>
  <r>
    <s v="VAntezanaM@agricolachira.com.pe"/>
    <x v="1"/>
    <x v="1"/>
    <x v="1"/>
    <s v="Administración"/>
    <x v="1"/>
  </r>
  <r>
    <s v="CLupucheV@agricolachira.com.pe"/>
    <x v="1"/>
    <x v="1"/>
    <x v="4"/>
    <s v="Fundo Lobo"/>
    <x v="4"/>
  </r>
  <r>
    <s v="EHerediaR@agricolachira.com.pe"/>
    <x v="1"/>
    <x v="0"/>
    <x v="2"/>
    <s v="Gestor de Recursos Humanos"/>
    <x v="2"/>
  </r>
  <r>
    <s v="HCruzA@agricolachira.com.pe"/>
    <x v="1"/>
    <x v="0"/>
    <x v="3"/>
    <s v="Almacenes y Distribución PT"/>
    <x v="3"/>
  </r>
  <r>
    <s v="YHermenegilA@agricolachira.com.pe"/>
    <x v="1"/>
    <x v="1"/>
    <x v="2"/>
    <s v="Bienestar - Medico Ocupacional"/>
    <x v="2"/>
  </r>
  <r>
    <s v="DYarlequeL@agricolachira.com.pe"/>
    <x v="1"/>
    <x v="0"/>
    <x v="0"/>
    <s v="Producción"/>
    <x v="0"/>
  </r>
  <r>
    <s v="FValladaresC@agricolachira.com.pe"/>
    <x v="1"/>
    <x v="1"/>
    <x v="4"/>
    <s v="Mantenimiento de Riego y Bombas"/>
    <x v="4"/>
  </r>
  <r>
    <s v="DGameroS@agricolachira.com.pe"/>
    <x v="1"/>
    <x v="1"/>
    <x v="0"/>
    <s v="Producción"/>
    <x v="0"/>
  </r>
  <r>
    <s v="EMartinezG@agricolachira.com.pe"/>
    <x v="1"/>
    <x v="0"/>
    <x v="2"/>
    <s v="Compensación y Nóminas"/>
    <x v="2"/>
  </r>
  <r>
    <s v="MCulqueC@agricolachira.com.pe"/>
    <x v="1"/>
    <x v="1"/>
    <x v="4"/>
    <s v="Fundo San Vicente"/>
    <x v="4"/>
  </r>
  <r>
    <s v="PMarroquinR@agricolachira.com.pe"/>
    <x v="1"/>
    <x v="0"/>
    <x v="4"/>
    <s v="Sistema Integral de Gestión"/>
    <x v="4"/>
  </r>
  <r>
    <s v="KYamunaqueJ@agricolachira.com.pe"/>
    <x v="1"/>
    <x v="1"/>
    <x v="3"/>
    <s v="Almacenes y Distribución PT"/>
    <x v="3"/>
  </r>
  <r>
    <s v="PHernandezH@agricolachira.com.pe"/>
    <x v="1"/>
    <x v="1"/>
    <x v="4"/>
    <s v="Fundo Lobo"/>
    <x v="4"/>
  </r>
  <r>
    <s v="GPenaP@agricolachira.com.pe"/>
    <x v="1"/>
    <x v="1"/>
    <x v="4"/>
    <s v="Fundo Lobo"/>
    <x v="4"/>
  </r>
  <r>
    <s v="JAquijeD@agricolachira.com.pe"/>
    <x v="1"/>
    <x v="0"/>
    <x v="4"/>
    <s v="Fundo Montelima"/>
    <x v="4"/>
  </r>
  <r>
    <s v="VLopezS@agricolachira.com.pe"/>
    <x v="1"/>
    <x v="0"/>
    <x v="3"/>
    <s v="Cosecha"/>
    <x v="3"/>
  </r>
  <r>
    <s v="CManayayB@agricolachira.com.pe"/>
    <x v="1"/>
    <x v="1"/>
    <x v="4"/>
    <s v="Fundo Lobo"/>
    <x v="4"/>
  </r>
  <r>
    <s v="PSuncionZ@agricolachira.com.pe"/>
    <x v="1"/>
    <x v="0"/>
    <x v="2"/>
    <s v="Compensación y Nóminas"/>
    <x v="2"/>
  </r>
  <r>
    <s v="EMijahuancaG@agricolachira.com.pe"/>
    <x v="1"/>
    <x v="1"/>
    <x v="3"/>
    <s v="Mantenimiento CAT"/>
    <x v="3"/>
  </r>
  <r>
    <s v="HBorjaT@agricolachira.com.pe"/>
    <x v="1"/>
    <x v="1"/>
    <x v="0"/>
    <s v="Electricidad"/>
    <x v="0"/>
  </r>
  <r>
    <s v="MMartinezP@agricolachira.com.pe"/>
    <x v="1"/>
    <x v="1"/>
    <x v="1"/>
    <s v="Contabilidad Tributaria"/>
    <x v="1"/>
  </r>
  <r>
    <s v="VCruzC@agricolachira.com.pe"/>
    <x v="1"/>
    <x v="1"/>
    <x v="2"/>
    <s v="Gestor de Recursos Humanos"/>
    <x v="2"/>
  </r>
  <r>
    <s v="JNegronC@agricolachira.com.pe"/>
    <x v="1"/>
    <x v="0"/>
    <x v="4"/>
    <s v="Mantenimiento de Riego y Bombas"/>
    <x v="4"/>
  </r>
  <r>
    <s v="jjimenezc@agricolachira.com.pe"/>
    <x v="1"/>
    <x v="1"/>
    <x v="2"/>
    <s v="Sostenibilidad"/>
    <x v="2"/>
  </r>
  <r>
    <s v="operadordebalanza@agricolachira.com.pe"/>
    <x v="1"/>
    <x v="1"/>
    <x v="3"/>
    <s v="Almacenes y Distribución PT"/>
    <x v="3"/>
  </r>
  <r>
    <s v="balanzapt@agricolachira.com.pe"/>
    <x v="1"/>
    <x v="1"/>
    <x v="3"/>
    <s v="Almacenes y Distribución PT"/>
    <x v="3"/>
  </r>
  <r>
    <s v="JChaparroB@agricolachira.com.pe"/>
    <x v="1"/>
    <x v="1"/>
    <x v="1"/>
    <s v="Compras"/>
    <x v="1"/>
  </r>
  <r>
    <s v="VSanchezA@agricolachira.com.pe"/>
    <x v="1"/>
    <x v="0"/>
    <x v="4"/>
    <s v="Fundo Lobo"/>
    <x v="4"/>
  </r>
  <r>
    <s v="cfreym@agricolachira.com.pe"/>
    <x v="1"/>
    <x v="1"/>
    <x v="3"/>
    <s v="Comercial"/>
    <x v="3"/>
  </r>
  <r>
    <s v="AChirinosC@agricolachira.com.pe"/>
    <x v="1"/>
    <x v="0"/>
    <x v="2"/>
    <s v="Control Presupuestal"/>
    <x v="2"/>
  </r>
  <r>
    <s v="FLopezVal@agricolachira.com.pe"/>
    <x v="1"/>
    <x v="0"/>
    <x v="3"/>
    <s v="Almacenes y Distribución PT"/>
    <x v="3"/>
  </r>
  <r>
    <s v="lsipiona@agricolachira.com.pe"/>
    <x v="1"/>
    <x v="1"/>
    <x v="2"/>
    <s v="Sostenibilidad"/>
    <x v="2"/>
  </r>
  <r>
    <s v="JUrbinaP@agricolachira.com.pe"/>
    <x v="1"/>
    <x v="0"/>
    <x v="4"/>
    <s v="Fundo Lobo"/>
    <x v="4"/>
  </r>
  <r>
    <s v="LVillarF@agricolachira.com.pe"/>
    <x v="1"/>
    <x v="0"/>
    <x v="0"/>
    <s v="Mantenimiento Industrial"/>
    <x v="0"/>
  </r>
  <r>
    <s v="ASernaqueV@agricolachira.com.pe"/>
    <x v="1"/>
    <x v="1"/>
    <x v="2"/>
    <s v="Gestor de Recursos Humanos"/>
    <x v="2"/>
  </r>
  <r>
    <s v="SMerinoV@agricolachira.com.pe"/>
    <x v="1"/>
    <x v="1"/>
    <x v="1"/>
    <s v="Finanzas y Tesorería"/>
    <x v="1"/>
  </r>
  <r>
    <s v="RLupucheQ@agricolachira.com.pe"/>
    <x v="1"/>
    <x v="1"/>
    <x v="4"/>
    <s v="Laboratorio e Investigación Agricola"/>
    <x v="4"/>
  </r>
  <r>
    <s v="DFloreanoP@agricolachira.com.pe"/>
    <x v="1"/>
    <x v="1"/>
    <x v="1"/>
    <s v="Compras"/>
    <x v="1"/>
  </r>
  <r>
    <s v="JCobenasS@agricolachira.com.pe"/>
    <x v="1"/>
    <x v="0"/>
    <x v="3"/>
    <s v="Calidad"/>
    <x v="3"/>
  </r>
  <r>
    <s v="AColomaL@agricolachira.com.pe"/>
    <x v="1"/>
    <x v="0"/>
    <x v="2"/>
    <s v="Compensación y Nóminas"/>
    <x v="2"/>
  </r>
  <r>
    <s v="JMioA@agricolachira.com.pe"/>
    <x v="1"/>
    <x v="1"/>
    <x v="4"/>
    <s v="Mantenimiento de Riego y Bombas"/>
    <x v="4"/>
  </r>
  <r>
    <s v="DAlbercaS@agricolachira.com.pe"/>
    <x v="1"/>
    <x v="0"/>
    <x v="3"/>
    <s v="Calidad"/>
    <x v="3"/>
  </r>
  <r>
    <s v="JMazaV@agricolachira.com.pe"/>
    <x v="1"/>
    <x v="2"/>
    <x v="0"/>
    <s v="Automatización"/>
    <x v="0"/>
  </r>
  <r>
    <s v="AVasquezM@agricolachira.com.pe"/>
    <x v="1"/>
    <x v="1"/>
    <x v="0"/>
    <s v="Mantenimiento Industrial"/>
    <x v="0"/>
  </r>
  <r>
    <s v="JMogollonC@agricolachira.com.pe"/>
    <x v="1"/>
    <x v="0"/>
    <x v="3"/>
    <s v="Transporte"/>
    <x v="3"/>
  </r>
  <r>
    <s v="ECortezS@agricolachira.com.pe"/>
    <x v="1"/>
    <x v="1"/>
    <x v="3"/>
    <s v="Almacenes y Distribución PT"/>
    <x v="3"/>
  </r>
  <r>
    <s v="HMatiasZ@agricolachira.com.pe"/>
    <x v="1"/>
    <x v="2"/>
    <x v="4"/>
    <s v="Fundo La Huaca"/>
    <x v="4"/>
  </r>
  <r>
    <s v="DCruzC@agricolachira.com.pe"/>
    <x v="1"/>
    <x v="0"/>
    <x v="0"/>
    <s v="Mantenimiento Industrial"/>
    <x v="0"/>
  </r>
  <r>
    <s v="MDilibertoS@agricolachira.com.pe"/>
    <x v="1"/>
    <x v="1"/>
    <x v="4"/>
    <s v="Gerencia Agrícola"/>
    <x v="4"/>
  </r>
  <r>
    <s v="ptrigoso@agricolachira.com.pe"/>
    <x v="1"/>
    <x v="0"/>
    <x v="3"/>
    <s v="Gerencia de Operaciones"/>
    <x v="3"/>
  </r>
  <r>
    <s v="EGironA@agricolachira.com.pe"/>
    <x v="1"/>
    <x v="4"/>
    <x v="2"/>
    <s v="Gestor de Recursos Humanos"/>
    <x v="2"/>
  </r>
  <r>
    <s v="JSeminarioA@agricolachira.com.pe"/>
    <x v="1"/>
    <x v="4"/>
    <x v="0"/>
    <s v="Producción"/>
    <x v="0"/>
  </r>
  <r>
    <s v="JRojasBarr@agricolachira.com.pe"/>
    <x v="1"/>
    <x v="0"/>
    <x v="4"/>
    <s v="Fundo Montelima"/>
    <x v="4"/>
  </r>
  <r>
    <s v="FFloresP@agricolachira.com.pe"/>
    <x v="1"/>
    <x v="0"/>
    <x v="2"/>
    <s v="Gestión Humana"/>
    <x v="2"/>
  </r>
  <r>
    <s v="CRamosG@agricolachira.com.pe"/>
    <x v="1"/>
    <x v="3"/>
    <x v="2"/>
    <s v="Gestion del Talento"/>
    <x v="2"/>
  </r>
  <r>
    <s v="GGonzalesC@agricolachira.com.pe"/>
    <x v="1"/>
    <x v="1"/>
    <x v="2"/>
    <s v="Relaciones Laborales"/>
    <x v="2"/>
  </r>
  <r>
    <s v="MOjedaC@agricolachira.com.pe"/>
    <x v="1"/>
    <x v="1"/>
    <x v="1"/>
    <s v="Contabilidad Tributaria"/>
    <x v="1"/>
  </r>
  <r>
    <s v="JAlbujarC@agricolachira.com.pe"/>
    <x v="1"/>
    <x v="1"/>
    <x v="0"/>
    <s v="Mantenimiento Industrial"/>
    <x v="0"/>
  </r>
  <r>
    <s v="JEstelaF@agricolachira.com.pe"/>
    <x v="1"/>
    <x v="1"/>
    <x v="3"/>
    <s v="Calidad"/>
    <x v="3"/>
  </r>
  <r>
    <s v="JMonteroV@agricolachira.com.pe"/>
    <x v="1"/>
    <x v="1"/>
    <x v="2"/>
    <s v="Gerencia Gestión Humana y Sostenibilidad"/>
    <x v="2"/>
  </r>
  <r>
    <s v="AAguilarMo@agricolachira.com.pe"/>
    <x v="1"/>
    <x v="0"/>
    <x v="1"/>
    <s v="Compras"/>
    <x v="1"/>
  </r>
  <r>
    <s v="AGuldenG@agricolachira.com.pe"/>
    <x v="1"/>
    <x v="1"/>
    <x v="4"/>
    <s v="Fundo Lobo"/>
    <x v="4"/>
  </r>
  <r>
    <s v="adelchira_transporte@agricolachira.com.pe"/>
    <x v="1"/>
    <x v="1"/>
    <x v="3"/>
    <s v="Transporte"/>
    <x v="3"/>
  </r>
  <r>
    <s v="CVivancoM@agricolachira.com.pe"/>
    <x v="1"/>
    <x v="0"/>
    <x v="1"/>
    <s v="Gerencia Administración y Finanzas"/>
    <x v="1"/>
  </r>
  <r>
    <s v="CCarrilloR@agricolachira.com.pe"/>
    <x v="2"/>
    <x v="1"/>
    <x v="0"/>
    <s v="Electricidad"/>
    <x v="0"/>
  </r>
  <r>
    <s v="SSanchezV@agricolachira.com.pe"/>
    <x v="2"/>
    <x v="0"/>
    <x v="1"/>
    <s v="Control de Gestión"/>
    <x v="1"/>
  </r>
  <r>
    <s v="ABurneoL@agricolachira.com.pe"/>
    <x v="2"/>
    <x v="1"/>
    <x v="1"/>
    <s v="Control de Gestión"/>
    <x v="1"/>
  </r>
  <r>
    <s v="IVasquezP@agricolachira.com.pe"/>
    <x v="2"/>
    <x v="0"/>
    <x v="2"/>
    <s v="Seguridad"/>
    <x v="2"/>
  </r>
  <r>
    <s v="KZavaletaM@agricolachira.com.pe"/>
    <x v="2"/>
    <x v="2"/>
    <x v="1"/>
    <s v="Contabilidad Tributaria"/>
    <x v="1"/>
  </r>
  <r>
    <s v="DZuritaF@agricolachira.com.pe"/>
    <x v="2"/>
    <x v="2"/>
    <x v="1"/>
    <s v="Legal"/>
    <x v="1"/>
  </r>
  <r>
    <s v="HMocarroC@agricolachira.com.pe"/>
    <x v="2"/>
    <x v="1"/>
    <x v="1"/>
    <s v="Riesgos y Cumplimiento"/>
    <x v="1"/>
  </r>
  <r>
    <s v="creyesy@agricolachira.com.pe"/>
    <x v="2"/>
    <x v="2"/>
    <x v="0"/>
    <s v="Mantenimiento de Transportes"/>
    <x v="0"/>
  </r>
  <r>
    <s v="jquevedoa@agricolachira.com.pe"/>
    <x v="2"/>
    <x v="0"/>
    <x v="1"/>
    <s v="Administración"/>
    <x v="1"/>
  </r>
  <r>
    <s v="CNeyraM@agricolachira.com.pe"/>
    <x v="2"/>
    <x v="0"/>
    <x v="3"/>
    <s v="Almacenes y Distribución PT"/>
    <x v="3"/>
  </r>
  <r>
    <s v="JPichilinguP@agricolachira.com.pe"/>
    <x v="2"/>
    <x v="1"/>
    <x v="3"/>
    <s v="Comercial"/>
    <x v="3"/>
  </r>
  <r>
    <s v="YMogollonG@agricolachira.com.pe"/>
    <x v="2"/>
    <x v="1"/>
    <x v="3"/>
    <s v="Cosecha"/>
    <x v="3"/>
  </r>
  <r>
    <s v="WChavezS@agricolachira.com.pe"/>
    <x v="2"/>
    <x v="0"/>
    <x v="4"/>
    <s v="Fundo San Vicente"/>
    <x v="4"/>
  </r>
  <r>
    <s v="LGarciaC@agricolachira.com.pe"/>
    <x v="2"/>
    <x v="1"/>
    <x v="3"/>
    <s v="Cosecha"/>
    <x v="3"/>
  </r>
  <r>
    <s v="EArevaloJ@agricolachira.com.pe"/>
    <x v="2"/>
    <x v="1"/>
    <x v="1"/>
    <s v="Cadenas Productivas"/>
    <x v="1"/>
  </r>
  <r>
    <s v="LRuizMu@agricolachira.com.pe"/>
    <x v="2"/>
    <x v="1"/>
    <x v="3"/>
    <s v="Calidad"/>
    <x v="3"/>
  </r>
  <r>
    <s v="EAmesM@agricolachira.com.pe"/>
    <x v="2"/>
    <x v="1"/>
    <x v="2"/>
    <s v="Bienestar - Medico Ocupacional"/>
    <x v="2"/>
  </r>
  <r>
    <s v="AAdanaqueE@agricolachira.com.pe"/>
    <x v="2"/>
    <x v="1"/>
    <x v="2"/>
    <s v="Compensación y Nóminas"/>
    <x v="2"/>
  </r>
  <r>
    <s v="KOtinianoP@agricolachira.com.pe"/>
    <x v="2"/>
    <x v="0"/>
    <x v="1"/>
    <s v="Legal"/>
    <x v="1"/>
  </r>
  <r>
    <s v="JArevaloga@agricolachira.com.pe"/>
    <x v="2"/>
    <x v="0"/>
    <x v="2"/>
    <s v="Seguridad"/>
    <x v="2"/>
  </r>
  <r>
    <s v="MVegaY@agricolachira.com.pe"/>
    <x v="2"/>
    <x v="0"/>
    <x v="3"/>
    <s v="Calidad"/>
    <x v="3"/>
  </r>
  <r>
    <s v="ASeminarioV@agricolachira.com.pe"/>
    <x v="2"/>
    <x v="0"/>
    <x v="4"/>
    <s v="Mantenimiento de Riego y Bombas"/>
    <x v="4"/>
  </r>
  <r>
    <s v="JVillegasP@agricolachira.com.pe"/>
    <x v="2"/>
    <x v="1"/>
    <x v="2"/>
    <s v="Compensación y Nóminas"/>
    <x v="2"/>
  </r>
  <r>
    <s v="JOrdinolaZ@agricolachira.com.pe"/>
    <x v="2"/>
    <x v="1"/>
    <x v="3"/>
    <s v="Calidad"/>
    <x v="3"/>
  </r>
  <r>
    <s v="YMoscolC@agricolachira.com.pe"/>
    <x v="2"/>
    <x v="1"/>
    <x v="3"/>
    <s v="Comercial"/>
    <x v="3"/>
  </r>
  <r>
    <s v="AGarciaPac@agricolachira.com.pe"/>
    <x v="2"/>
    <x v="0"/>
    <x v="1"/>
    <s v="Legal"/>
    <x v="1"/>
  </r>
  <r>
    <s v="MVillegasJ@agricolachira.com.pe"/>
    <x v="2"/>
    <x v="1"/>
    <x v="1"/>
    <s v="Administración"/>
    <x v="1"/>
  </r>
  <r>
    <s v="LOlayaLe@agricolachira.com.pe"/>
    <x v="2"/>
    <x v="1"/>
    <x v="1"/>
    <s v="Finanzas y Tesorería"/>
    <x v="1"/>
  </r>
  <r>
    <s v="PViteC@agricolachira.com.pe"/>
    <x v="2"/>
    <x v="1"/>
    <x v="3"/>
    <s v="Mantenimiento CAT"/>
    <x v="3"/>
  </r>
  <r>
    <s v="CSosaL@agricolachira.com.pe"/>
    <x v="2"/>
    <x v="0"/>
    <x v="1"/>
    <s v="Control de Gestión"/>
    <x v="1"/>
  </r>
  <r>
    <s v="RMoncadaP@agricolachira.com.pe"/>
    <x v="2"/>
    <x v="1"/>
    <x v="1"/>
    <s v="Control de Gestión"/>
    <x v="1"/>
  </r>
  <r>
    <s v="VAbadP@agricolachira.com.pe"/>
    <x v="2"/>
    <x v="1"/>
    <x v="1"/>
    <s v="Contabilidad Tributaria"/>
    <x v="1"/>
  </r>
  <r>
    <s v="MNavarroN@agricolachira.com.pe"/>
    <x v="2"/>
    <x v="1"/>
    <x v="2"/>
    <s v="Gestor de Recursos Humanos"/>
    <x v="2"/>
  </r>
  <r>
    <s v="AVilelaJ@agricolachira.com.pe"/>
    <x v="2"/>
    <x v="1"/>
    <x v="1"/>
    <s v="Finanzas y Tesorería"/>
    <x v="1"/>
  </r>
  <r>
    <s v="AGutierrezR@agricolachira.com.pe"/>
    <x v="2"/>
    <x v="1"/>
    <x v="3"/>
    <s v="Comercial"/>
    <x v="3"/>
  </r>
  <r>
    <s v="ovasquezp@agricolachira.com.pe"/>
    <x v="2"/>
    <x v="0"/>
    <x v="4"/>
    <s v="Planificador Agrícola"/>
    <x v="4"/>
  </r>
  <r>
    <s v="CMendozaM@agricolachira.com.pe"/>
    <x v="2"/>
    <x v="0"/>
    <x v="4"/>
    <s v="Fundo Montelima"/>
    <x v="4"/>
  </r>
  <r>
    <s v="JCastilloR@agricolachira.com.pe"/>
    <x v="2"/>
    <x v="0"/>
    <x v="4"/>
    <s v="Mantenimiento de Riego y Bombas"/>
    <x v="4"/>
  </r>
  <r>
    <s v="NHansenG@agricolachira.com.pe"/>
    <x v="2"/>
    <x v="0"/>
    <x v="4"/>
    <s v="Mantenimiento de Riego y Bombas"/>
    <x v="4"/>
  </r>
  <r>
    <s v="VHilaresZ@agricolachira.com.pe"/>
    <x v="2"/>
    <x v="0"/>
    <x v="4"/>
    <s v="Fundo San Vicente"/>
    <x v="4"/>
  </r>
  <r>
    <s v="ereyesp@agricolachira.com.pe"/>
    <x v="2"/>
    <x v="1"/>
    <x v="4"/>
    <s v="Planificador Agrícola"/>
    <x v="4"/>
  </r>
  <r>
    <s v="AFloresD@agricolachira.com.pe"/>
    <x v="2"/>
    <x v="4"/>
    <x v="0"/>
    <s v="Producción"/>
    <x v="0"/>
  </r>
  <r>
    <s v="jbacilioh@agricolachira.com.pe"/>
    <x v="2"/>
    <x v="1"/>
    <x v="4"/>
    <s v="Laboratorio e Investigación Agricola"/>
    <x v="4"/>
  </r>
  <r>
    <s v="DCheroN@agricolachira.com.pe"/>
    <x v="2"/>
    <x v="1"/>
    <x v="3"/>
    <s v="Almacenes y Distribución PT"/>
    <x v="3"/>
  </r>
  <r>
    <s v="ALachiraP@agricolachira.com.pe"/>
    <x v="2"/>
    <x v="1"/>
    <x v="3"/>
    <s v="Almacenes y Distribución PT"/>
    <x v="3"/>
  </r>
  <r>
    <s v="PArcelaC@agricolachira.com.pe"/>
    <x v="2"/>
    <x v="0"/>
    <x v="3"/>
    <s v="Cosecha"/>
    <x v="3"/>
  </r>
  <r>
    <s v="JMendozaG@agricolachira.com.pe"/>
    <x v="2"/>
    <x v="1"/>
    <x v="2"/>
    <s v="Seguridad"/>
    <x v="2"/>
  </r>
  <r>
    <s v="RTorresS@agricolachira.com.pe"/>
    <x v="2"/>
    <x v="0"/>
    <x v="4"/>
    <s v="Mantenimiento de Riego y Bombas"/>
    <x v="4"/>
  </r>
  <r>
    <s v="LTimanaT@agricolachira.com.pe"/>
    <x v="2"/>
    <x v="1"/>
    <x v="1"/>
    <s v="Compras"/>
    <x v="1"/>
  </r>
  <r>
    <s v="MDiazTa@agricolachira.com.pe"/>
    <x v="2"/>
    <x v="0"/>
    <x v="1"/>
    <s v="Finanzas y Tesorería"/>
    <x v="1"/>
  </r>
  <r>
    <s v="WFacundoF@agricolachira.com.pe"/>
    <x v="2"/>
    <x v="1"/>
    <x v="0"/>
    <s v="Producción"/>
    <x v="0"/>
  </r>
  <r>
    <s v="RGarciaFe@agricolachira.com.pe"/>
    <x v="2"/>
    <x v="0"/>
    <x v="1"/>
    <s v="Contabilidad Tributaria"/>
    <x v="1"/>
  </r>
  <r>
    <s v="LPadillaSa@agricolachira.com.pe"/>
    <x v="2"/>
    <x v="4"/>
    <x v="0"/>
    <s v="Producción"/>
    <x v="0"/>
  </r>
  <r>
    <s v="LOcanaP@agricolachira.com.pe"/>
    <x v="2"/>
    <x v="0"/>
    <x v="1"/>
    <s v="Control de Gestión"/>
    <x v="1"/>
  </r>
  <r>
    <s v="JCalderonChu@agricolachira.com.pe"/>
    <x v="2"/>
    <x v="1"/>
    <x v="0"/>
    <s v="Producción"/>
    <x v="0"/>
  </r>
  <r>
    <s v="JLopezSi@agricolachira.com.pe"/>
    <x v="2"/>
    <x v="1"/>
    <x v="0"/>
    <s v="Mantenimiento Industrial"/>
    <x v="0"/>
  </r>
  <r>
    <s v="LChanduviT@agricolachira.com.pe"/>
    <x v="2"/>
    <x v="1"/>
    <x v="1"/>
    <s v="Contabilidad Tributaria"/>
    <x v="1"/>
  </r>
  <r>
    <s v="YGarridoS@agricolachira.com.pe"/>
    <x v="2"/>
    <x v="1"/>
    <x v="3"/>
    <s v="Almacenes y Distribución PT"/>
    <x v="3"/>
  </r>
  <r>
    <s v="RSacramentoL@agricolachira.com.pe"/>
    <x v="2"/>
    <x v="0"/>
    <x v="4"/>
    <s v="Fundo Lobo"/>
    <x v="4"/>
  </r>
  <r>
    <s v="LRodriguezC@agricolachira.com.pe"/>
    <x v="2"/>
    <x v="1"/>
    <x v="2"/>
    <s v="Comunicaciones y Responsabilidad Social"/>
    <x v="2"/>
  </r>
  <r>
    <s v="JCheroPa@agricolachira.com.pe"/>
    <x v="2"/>
    <x v="0"/>
    <x v="1"/>
    <s v="Compras"/>
    <x v="1"/>
  </r>
  <r>
    <s v="VAntezanaM@agricolachira.com.pe"/>
    <x v="2"/>
    <x v="1"/>
    <x v="1"/>
    <s v="Administración"/>
    <x v="1"/>
  </r>
  <r>
    <s v="CLupucheV@agricolachira.com.pe"/>
    <x v="2"/>
    <x v="1"/>
    <x v="4"/>
    <s v="Fundo Lobo"/>
    <x v="4"/>
  </r>
  <r>
    <s v="EHerediaR@agricolachira.com.pe"/>
    <x v="2"/>
    <x v="0"/>
    <x v="2"/>
    <s v="Gestor de Recursos Humanos"/>
    <x v="2"/>
  </r>
  <r>
    <s v="HCruzA@agricolachira.com.pe"/>
    <x v="2"/>
    <x v="0"/>
    <x v="3"/>
    <s v="Almacenes y Distribución PT"/>
    <x v="3"/>
  </r>
  <r>
    <s v="YHermenegilA@agricolachira.com.pe"/>
    <x v="2"/>
    <x v="0"/>
    <x v="2"/>
    <s v="Bienestar - Medico Ocupacional"/>
    <x v="2"/>
  </r>
  <r>
    <s v="DYarlequeL@agricolachira.com.pe"/>
    <x v="2"/>
    <x v="0"/>
    <x v="0"/>
    <s v="Producción"/>
    <x v="0"/>
  </r>
  <r>
    <s v="FValladaresC@agricolachira.com.pe"/>
    <x v="2"/>
    <x v="1"/>
    <x v="4"/>
    <s v="Mantenimiento de Riego y Bombas"/>
    <x v="4"/>
  </r>
  <r>
    <s v="DGameroS@agricolachira.com.pe"/>
    <x v="2"/>
    <x v="0"/>
    <x v="0"/>
    <s v="Producción"/>
    <x v="0"/>
  </r>
  <r>
    <s v="EMartinezG@agricolachira.com.pe"/>
    <x v="2"/>
    <x v="0"/>
    <x v="2"/>
    <s v="Compensación y Nóminas"/>
    <x v="2"/>
  </r>
  <r>
    <s v="MCulqueC@agricolachira.com.pe"/>
    <x v="2"/>
    <x v="1"/>
    <x v="4"/>
    <s v="Fundo San Vicente"/>
    <x v="4"/>
  </r>
  <r>
    <s v="PMarroquinR@agricolachira.com.pe"/>
    <x v="2"/>
    <x v="0"/>
    <x v="4"/>
    <s v="Sistema Integral de Gestión"/>
    <x v="4"/>
  </r>
  <r>
    <s v="KYamunaqueJ@agricolachira.com.pe"/>
    <x v="2"/>
    <x v="1"/>
    <x v="3"/>
    <s v="Almacenes y Distribución PT"/>
    <x v="3"/>
  </r>
  <r>
    <s v="PHernandezH@agricolachira.com.pe"/>
    <x v="2"/>
    <x v="1"/>
    <x v="4"/>
    <s v="Fundo Lobo"/>
    <x v="4"/>
  </r>
  <r>
    <s v="GPenaP@agricolachira.com.pe"/>
    <x v="2"/>
    <x v="1"/>
    <x v="4"/>
    <s v="Fundo Lobo"/>
    <x v="4"/>
  </r>
  <r>
    <s v="JAquijeD@agricolachira.com.pe"/>
    <x v="2"/>
    <x v="0"/>
    <x v="4"/>
    <s v="Fundo Montelima"/>
    <x v="4"/>
  </r>
  <r>
    <s v="VLopezS@agricolachira.com.pe"/>
    <x v="2"/>
    <x v="0"/>
    <x v="3"/>
    <s v="Cosecha"/>
    <x v="3"/>
  </r>
  <r>
    <s v="CManayayB@agricolachira.com.pe"/>
    <x v="2"/>
    <x v="1"/>
    <x v="4"/>
    <s v="Fundo Lobo"/>
    <x v="4"/>
  </r>
  <r>
    <s v="PSuncionZ@agricolachira.com.pe"/>
    <x v="2"/>
    <x v="0"/>
    <x v="2"/>
    <s v="Compensación y Nóminas"/>
    <x v="2"/>
  </r>
  <r>
    <s v="EMijahuancaG@agricolachira.com.pe"/>
    <x v="2"/>
    <x v="1"/>
    <x v="3"/>
    <s v="Mantenimiento CAT"/>
    <x v="3"/>
  </r>
  <r>
    <s v="HBorjaT@agricolachira.com.pe"/>
    <x v="2"/>
    <x v="1"/>
    <x v="0"/>
    <s v="Electricidad"/>
    <x v="0"/>
  </r>
  <r>
    <s v="MMartinezP@agricolachira.com.pe"/>
    <x v="2"/>
    <x v="1"/>
    <x v="1"/>
    <s v="Contabilidad Tributaria"/>
    <x v="1"/>
  </r>
  <r>
    <s v="VCruzC@agricolachira.com.pe"/>
    <x v="2"/>
    <x v="1"/>
    <x v="2"/>
    <s v="Gestor de Recursos Humanos"/>
    <x v="2"/>
  </r>
  <r>
    <s v="JNegronC@agricolachira.com.pe"/>
    <x v="2"/>
    <x v="0"/>
    <x v="4"/>
    <s v="Mantenimiento de Riego y Bombas"/>
    <x v="4"/>
  </r>
  <r>
    <s v="jjimenezc@agricolachira.com.pe"/>
    <x v="2"/>
    <x v="1"/>
    <x v="2"/>
    <s v="Sostenibilidad"/>
    <x v="2"/>
  </r>
  <r>
    <s v="operadordebalanza@agricolachira.com.pe"/>
    <x v="2"/>
    <x v="1"/>
    <x v="3"/>
    <s v="Almacenes y Distribución PT"/>
    <x v="3"/>
  </r>
  <r>
    <s v="balanzapt@agricolachira.com.pe"/>
    <x v="2"/>
    <x v="1"/>
    <x v="3"/>
    <s v="Almacenes y Distribución PT"/>
    <x v="3"/>
  </r>
  <r>
    <s v="JChaparroB@agricolachira.com.pe"/>
    <x v="2"/>
    <x v="1"/>
    <x v="1"/>
    <s v="Compras"/>
    <x v="1"/>
  </r>
  <r>
    <s v="VSanchezA@agricolachira.com.pe"/>
    <x v="2"/>
    <x v="0"/>
    <x v="4"/>
    <s v="Fundo Lobo"/>
    <x v="4"/>
  </r>
  <r>
    <s v="cfreym@agricolachira.com.pe"/>
    <x v="2"/>
    <x v="1"/>
    <x v="3"/>
    <s v="Comercial"/>
    <x v="3"/>
  </r>
  <r>
    <s v="AChirinosC@agricolachira.com.pe"/>
    <x v="2"/>
    <x v="0"/>
    <x v="2"/>
    <s v="Control Presupuestal"/>
    <x v="2"/>
  </r>
  <r>
    <s v="FLopezVal@agricolachira.com.pe"/>
    <x v="2"/>
    <x v="0"/>
    <x v="3"/>
    <s v="Almacenes y Distribución PT"/>
    <x v="3"/>
  </r>
  <r>
    <s v="lsipiona@agricolachira.com.pe"/>
    <x v="2"/>
    <x v="1"/>
    <x v="2"/>
    <s v="Sostenibilidad"/>
    <x v="2"/>
  </r>
  <r>
    <s v="JUrbinaP@agricolachira.com.pe"/>
    <x v="2"/>
    <x v="0"/>
    <x v="4"/>
    <s v="Fundo Lobo"/>
    <x v="4"/>
  </r>
  <r>
    <s v="LVillarF@agricolachira.com.pe"/>
    <x v="2"/>
    <x v="0"/>
    <x v="0"/>
    <s v="Mantenimiento Industrial"/>
    <x v="0"/>
  </r>
  <r>
    <s v="ASernaqueV@agricolachira.com.pe"/>
    <x v="2"/>
    <x v="1"/>
    <x v="2"/>
    <s v="Gestor de Recursos Humanos"/>
    <x v="2"/>
  </r>
  <r>
    <s v="SMerinoV@agricolachira.com.pe"/>
    <x v="2"/>
    <x v="1"/>
    <x v="1"/>
    <s v="Finanzas y Tesorería"/>
    <x v="1"/>
  </r>
  <r>
    <s v="RLupucheQ@agricolachira.com.pe"/>
    <x v="2"/>
    <x v="1"/>
    <x v="4"/>
    <s v="Laboratorio e Investigación Agricola"/>
    <x v="4"/>
  </r>
  <r>
    <s v="DFloreanoP@agricolachira.com.pe"/>
    <x v="2"/>
    <x v="1"/>
    <x v="1"/>
    <s v="Compras"/>
    <x v="1"/>
  </r>
  <r>
    <s v="JCobenasS@agricolachira.com.pe"/>
    <x v="2"/>
    <x v="0"/>
    <x v="3"/>
    <s v="Calidad"/>
    <x v="3"/>
  </r>
  <r>
    <s v="AColomaL@agricolachira.com.pe"/>
    <x v="2"/>
    <x v="0"/>
    <x v="2"/>
    <s v="Compensación y Nóminas"/>
    <x v="2"/>
  </r>
  <r>
    <s v="JMioA@agricolachira.com.pe"/>
    <x v="2"/>
    <x v="0"/>
    <x v="4"/>
    <s v="Mantenimiento de Riego y Bombas"/>
    <x v="4"/>
  </r>
  <r>
    <s v="DAlbercaS@agricolachira.com.pe"/>
    <x v="2"/>
    <x v="1"/>
    <x v="3"/>
    <s v="Calidad"/>
    <x v="3"/>
  </r>
  <r>
    <s v="JMazaV@agricolachira.com.pe"/>
    <x v="2"/>
    <x v="4"/>
    <x v="0"/>
    <s v="Automatización"/>
    <x v="0"/>
  </r>
  <r>
    <s v="AVasquezM@agricolachira.com.pe"/>
    <x v="2"/>
    <x v="1"/>
    <x v="0"/>
    <s v="Mantenimiento Industrial"/>
    <x v="0"/>
  </r>
  <r>
    <s v="JMogollonC@agricolachira.com.pe"/>
    <x v="2"/>
    <x v="0"/>
    <x v="3"/>
    <s v="Transporte"/>
    <x v="3"/>
  </r>
  <r>
    <s v="ECortezS@agricolachira.com.pe"/>
    <x v="2"/>
    <x v="1"/>
    <x v="3"/>
    <s v="Almacenes y Distribución PT"/>
    <x v="3"/>
  </r>
  <r>
    <s v="HMatiasZ@agricolachira.com.pe"/>
    <x v="2"/>
    <x v="2"/>
    <x v="4"/>
    <s v="Fundo La Huaca"/>
    <x v="4"/>
  </r>
  <r>
    <s v="DCruzC@agricolachira.com.pe"/>
    <x v="2"/>
    <x v="0"/>
    <x v="0"/>
    <s v="Mantenimiento Industrial"/>
    <x v="0"/>
  </r>
  <r>
    <s v="MDilibertoS@agricolachira.com.pe"/>
    <x v="2"/>
    <x v="0"/>
    <x v="4"/>
    <s v="Gerencia Agrícola"/>
    <x v="4"/>
  </r>
  <r>
    <s v="ptrigoso@agricolachira.com.pe"/>
    <x v="2"/>
    <x v="0"/>
    <x v="3"/>
    <s v="Gerencia de Operaciones"/>
    <x v="3"/>
  </r>
  <r>
    <s v="EGironA@agricolachira.com.pe"/>
    <x v="2"/>
    <x v="4"/>
    <x v="2"/>
    <s v="Gestor de Recursos Humanos"/>
    <x v="2"/>
  </r>
  <r>
    <s v="JSeminarioA@agricolachira.com.pe"/>
    <x v="2"/>
    <x v="4"/>
    <x v="0"/>
    <s v="Producción"/>
    <x v="0"/>
  </r>
  <r>
    <s v="JRojasBarr@agricolachira.com.pe"/>
    <x v="2"/>
    <x v="0"/>
    <x v="4"/>
    <s v="Fundo Montelima"/>
    <x v="4"/>
  </r>
  <r>
    <s v="FFloresP@agricolachira.com.pe"/>
    <x v="2"/>
    <x v="0"/>
    <x v="2"/>
    <s v="Gestión Humana"/>
    <x v="2"/>
  </r>
  <r>
    <s v="CRamosG@agricolachira.com.pe"/>
    <x v="2"/>
    <x v="4"/>
    <x v="2"/>
    <s v="Gestion del Talento"/>
    <x v="2"/>
  </r>
  <r>
    <s v="GGonzalesC@agricolachira.com.pe"/>
    <x v="2"/>
    <x v="1"/>
    <x v="2"/>
    <s v="Relaciones Laborales"/>
    <x v="2"/>
  </r>
  <r>
    <s v="MOjedaC@agricolachira.com.pe"/>
    <x v="2"/>
    <x v="1"/>
    <x v="1"/>
    <s v="Contabilidad Tributaria"/>
    <x v="1"/>
  </r>
  <r>
    <s v="JAlbujarC@agricolachira.com.pe"/>
    <x v="2"/>
    <x v="0"/>
    <x v="0"/>
    <s v="Mantenimiento Industrial"/>
    <x v="0"/>
  </r>
  <r>
    <s v="JEstelaF@agricolachira.com.pe"/>
    <x v="2"/>
    <x v="1"/>
    <x v="3"/>
    <s v="Calidad"/>
    <x v="3"/>
  </r>
  <r>
    <s v="JMonteroV@agricolachira.com.pe"/>
    <x v="2"/>
    <x v="0"/>
    <x v="2"/>
    <s v="Gerencia Gestión Humana y Sostenibilidad"/>
    <x v="2"/>
  </r>
  <r>
    <s v="AAguilarMo@agricolachira.com.pe"/>
    <x v="2"/>
    <x v="0"/>
    <x v="1"/>
    <s v="Compras"/>
    <x v="1"/>
  </r>
  <r>
    <s v="AGuldenG@agricolachira.com.pe"/>
    <x v="2"/>
    <x v="1"/>
    <x v="4"/>
    <s v="Fundo Lobo"/>
    <x v="4"/>
  </r>
  <r>
    <s v="adelchira_transporte@agricolachira.com.pe"/>
    <x v="2"/>
    <x v="1"/>
    <x v="3"/>
    <s v="Transporte"/>
    <x v="3"/>
  </r>
  <r>
    <s v="CVivancoM@agricolachira.com.pe"/>
    <x v="2"/>
    <x v="0"/>
    <x v="1"/>
    <s v="Gerencia Administración y Finanzas"/>
    <x v="1"/>
  </r>
  <r>
    <s v="CCarrilloR@agricolachira.com.pe"/>
    <x v="3"/>
    <x v="1"/>
    <x v="0"/>
    <s v="Electricidad"/>
    <x v="0"/>
  </r>
  <r>
    <s v="SSanchezV@agricolachira.com.pe"/>
    <x v="3"/>
    <x v="0"/>
    <x v="1"/>
    <s v="Control de Gestión"/>
    <x v="1"/>
  </r>
  <r>
    <s v="ABurneoL@agricolachira.com.pe"/>
    <x v="3"/>
    <x v="1"/>
    <x v="1"/>
    <s v="Control de Gestión"/>
    <x v="1"/>
  </r>
  <r>
    <s v="IVasquezP@agricolachira.com.pe"/>
    <x v="3"/>
    <x v="0"/>
    <x v="2"/>
    <s v="Seguridad"/>
    <x v="2"/>
  </r>
  <r>
    <s v="KZavaletaM@agricolachira.com.pe"/>
    <x v="3"/>
    <x v="1"/>
    <x v="1"/>
    <s v="Contabilidad Tributaria"/>
    <x v="1"/>
  </r>
  <r>
    <s v="DZuritaF@agricolachira.com.pe"/>
    <x v="3"/>
    <x v="2"/>
    <x v="1"/>
    <s v="Legal"/>
    <x v="1"/>
  </r>
  <r>
    <s v="HMocarroC@agricolachira.com.pe"/>
    <x v="3"/>
    <x v="1"/>
    <x v="1"/>
    <s v="Riesgos y Cumplimiento"/>
    <x v="1"/>
  </r>
  <r>
    <s v="creyesy@agricolachira.com.pe"/>
    <x v="3"/>
    <x v="0"/>
    <x v="0"/>
    <s v="Mantenimiento de Transportes"/>
    <x v="0"/>
  </r>
  <r>
    <s v="jquevedoa@agricolachira.com.pe"/>
    <x v="3"/>
    <x v="0"/>
    <x v="1"/>
    <s v="Administración"/>
    <x v="1"/>
  </r>
  <r>
    <s v="CNeyraM@agricolachira.com.pe"/>
    <x v="3"/>
    <x v="4"/>
    <x v="3"/>
    <s v="Almacenes y Distribución PT"/>
    <x v="3"/>
  </r>
  <r>
    <s v="JPichilinguP@agricolachira.com.pe"/>
    <x v="3"/>
    <x v="2"/>
    <x v="3"/>
    <s v="Comercial"/>
    <x v="3"/>
  </r>
  <r>
    <s v="YMogollonG@agricolachira.com.pe"/>
    <x v="3"/>
    <x v="1"/>
    <x v="3"/>
    <s v="Cosecha"/>
    <x v="3"/>
  </r>
  <r>
    <s v="WChavezS@agricolachira.com.pe"/>
    <x v="3"/>
    <x v="0"/>
    <x v="4"/>
    <s v="Fundo San Vicente"/>
    <x v="4"/>
  </r>
  <r>
    <s v="LGarciaC@agricolachira.com.pe"/>
    <x v="3"/>
    <x v="4"/>
    <x v="3"/>
    <s v="Cosecha"/>
    <x v="3"/>
  </r>
  <r>
    <s v="EArevaloJ@agricolachira.com.pe"/>
    <x v="3"/>
    <x v="1"/>
    <x v="1"/>
    <s v="Cadenas Productivas"/>
    <x v="1"/>
  </r>
  <r>
    <s v="LRuizMu@agricolachira.com.pe"/>
    <x v="3"/>
    <x v="4"/>
    <x v="3"/>
    <s v="Calidad"/>
    <x v="3"/>
  </r>
  <r>
    <s v="EAmesM@agricolachira.com.pe"/>
    <x v="3"/>
    <x v="0"/>
    <x v="2"/>
    <s v="Bienestar - Medico Ocupacional"/>
    <x v="2"/>
  </r>
  <r>
    <s v="AAdanaqueE@agricolachira.com.pe"/>
    <x v="3"/>
    <x v="1"/>
    <x v="2"/>
    <s v="Compensación y Nóminas"/>
    <x v="2"/>
  </r>
  <r>
    <s v="KOtinianoP@agricolachira.com.pe"/>
    <x v="3"/>
    <x v="4"/>
    <x v="1"/>
    <s v="Legal"/>
    <x v="1"/>
  </r>
  <r>
    <s v="JArevaloga@agricolachira.com.pe"/>
    <x v="3"/>
    <x v="0"/>
    <x v="2"/>
    <s v="Seguridad"/>
    <x v="2"/>
  </r>
  <r>
    <s v="MVegaY@agricolachira.com.pe"/>
    <x v="3"/>
    <x v="4"/>
    <x v="3"/>
    <s v="Calidad"/>
    <x v="3"/>
  </r>
  <r>
    <s v="ASeminarioV@agricolachira.com.pe"/>
    <x v="3"/>
    <x v="0"/>
    <x v="4"/>
    <s v="Mantenimiento de Riego y Bombas"/>
    <x v="4"/>
  </r>
  <r>
    <s v="JVillegasP@agricolachira.com.pe"/>
    <x v="3"/>
    <x v="1"/>
    <x v="2"/>
    <s v="Compensación y Nóminas"/>
    <x v="2"/>
  </r>
  <r>
    <s v="JOrdinolaZ@agricolachira.com.pe"/>
    <x v="3"/>
    <x v="0"/>
    <x v="3"/>
    <s v="Calidad"/>
    <x v="3"/>
  </r>
  <r>
    <s v="YMoscolC@agricolachira.com.pe"/>
    <x v="3"/>
    <x v="1"/>
    <x v="3"/>
    <s v="Comercial"/>
    <x v="3"/>
  </r>
  <r>
    <s v="AGarciaPac@agricolachira.com.pe"/>
    <x v="3"/>
    <x v="0"/>
    <x v="1"/>
    <s v="Legal"/>
    <x v="1"/>
  </r>
  <r>
    <s v="MVillegasJ@agricolachira.com.pe"/>
    <x v="3"/>
    <x v="1"/>
    <x v="1"/>
    <s v="Administración"/>
    <x v="1"/>
  </r>
  <r>
    <s v="LOlayaLe@agricolachira.com.pe"/>
    <x v="3"/>
    <x v="1"/>
    <x v="1"/>
    <s v="Finanzas y Tesorería"/>
    <x v="1"/>
  </r>
  <r>
    <s v="PViteC@agricolachira.com.pe"/>
    <x v="3"/>
    <x v="0"/>
    <x v="3"/>
    <s v="Mantenimiento CAT"/>
    <x v="3"/>
  </r>
  <r>
    <s v="CSosaL@agricolachira.com.pe"/>
    <x v="3"/>
    <x v="0"/>
    <x v="1"/>
    <s v="Control de Gestión"/>
    <x v="1"/>
  </r>
  <r>
    <s v="RMoncadaP@agricolachira.com.pe"/>
    <x v="3"/>
    <x v="1"/>
    <x v="1"/>
    <s v="Control de Gestión"/>
    <x v="1"/>
  </r>
  <r>
    <s v="VAbadP@agricolachira.com.pe"/>
    <x v="3"/>
    <x v="1"/>
    <x v="1"/>
    <s v="Contabilidad Tributaria"/>
    <x v="1"/>
  </r>
  <r>
    <s v="MNavarroN@agricolachira.com.pe"/>
    <x v="3"/>
    <x v="1"/>
    <x v="2"/>
    <s v="Gestor de Recursos Humanos"/>
    <x v="2"/>
  </r>
  <r>
    <s v="AVilelaJ@agricolachira.com.pe"/>
    <x v="3"/>
    <x v="1"/>
    <x v="1"/>
    <s v="Finanzas y Tesorería"/>
    <x v="1"/>
  </r>
  <r>
    <s v="AGutierrezR@agricolachira.com.pe"/>
    <x v="3"/>
    <x v="1"/>
    <x v="3"/>
    <s v="Comercial"/>
    <x v="3"/>
  </r>
  <r>
    <s v="ovasquezp@agricolachira.com.pe"/>
    <x v="3"/>
    <x v="0"/>
    <x v="4"/>
    <s v="Planificador Agrícola"/>
    <x v="4"/>
  </r>
  <r>
    <s v="CMendozaM@agricolachira.com.pe"/>
    <x v="3"/>
    <x v="0"/>
    <x v="4"/>
    <s v="Fundo Montelima"/>
    <x v="4"/>
  </r>
  <r>
    <s v="JCastilloR@agricolachira.com.pe"/>
    <x v="3"/>
    <x v="0"/>
    <x v="4"/>
    <s v="Mantenimiento de Riego y Bombas"/>
    <x v="4"/>
  </r>
  <r>
    <s v="NHansenG@agricolachira.com.pe"/>
    <x v="3"/>
    <x v="0"/>
    <x v="4"/>
    <s v="Mantenimiento de Riego y Bombas"/>
    <x v="4"/>
  </r>
  <r>
    <s v="VHilaresZ@agricolachira.com.pe"/>
    <x v="3"/>
    <x v="0"/>
    <x v="4"/>
    <s v="Fundo San Vicente"/>
    <x v="4"/>
  </r>
  <r>
    <s v="ereyesp@agricolachira.com.pe"/>
    <x v="3"/>
    <x v="0"/>
    <x v="4"/>
    <s v="Planificador Agrícola"/>
    <x v="4"/>
  </r>
  <r>
    <s v="AFloresD@agricolachira.com.pe"/>
    <x v="3"/>
    <x v="0"/>
    <x v="0"/>
    <s v="Producción"/>
    <x v="0"/>
  </r>
  <r>
    <s v="jbacilioh@agricolachira.com.pe"/>
    <x v="3"/>
    <x v="0"/>
    <x v="4"/>
    <s v="Laboratorio e Investigación Agricola"/>
    <x v="4"/>
  </r>
  <r>
    <s v="DCheroN@agricolachira.com.pe"/>
    <x v="3"/>
    <x v="1"/>
    <x v="3"/>
    <s v="Almacenes y Distribución PT"/>
    <x v="3"/>
  </r>
  <r>
    <s v="ALachiraP@agricolachira.com.pe"/>
    <x v="3"/>
    <x v="0"/>
    <x v="3"/>
    <s v="Almacenes y Distribución PT"/>
    <x v="3"/>
  </r>
  <r>
    <s v="PArcelaC@agricolachira.com.pe"/>
    <x v="3"/>
    <x v="0"/>
    <x v="3"/>
    <s v="Cosecha"/>
    <x v="3"/>
  </r>
  <r>
    <s v="JMendozaG@agricolachira.com.pe"/>
    <x v="3"/>
    <x v="0"/>
    <x v="2"/>
    <s v="Seguridad"/>
    <x v="2"/>
  </r>
  <r>
    <s v="RTorresS@agricolachira.com.pe"/>
    <x v="3"/>
    <x v="0"/>
    <x v="4"/>
    <s v="Mantenimiento de Riego y Bombas"/>
    <x v="4"/>
  </r>
  <r>
    <s v="LTimanaT@agricolachira.com.pe"/>
    <x v="3"/>
    <x v="1"/>
    <x v="1"/>
    <s v="Compras"/>
    <x v="1"/>
  </r>
  <r>
    <s v="MDiazTa@agricolachira.com.pe"/>
    <x v="3"/>
    <x v="0"/>
    <x v="1"/>
    <s v="Finanzas y Tesorería"/>
    <x v="1"/>
  </r>
  <r>
    <s v="WFacundoF@agricolachira.com.pe"/>
    <x v="3"/>
    <x v="0"/>
    <x v="0"/>
    <s v="Producción"/>
    <x v="0"/>
  </r>
  <r>
    <s v="RGarciaFe@agricolachira.com.pe"/>
    <x v="3"/>
    <x v="0"/>
    <x v="1"/>
    <s v="Contabilidad Tributaria"/>
    <x v="1"/>
  </r>
  <r>
    <s v="LPadillaSa@agricolachira.com.pe"/>
    <x v="3"/>
    <x v="4"/>
    <x v="0"/>
    <s v="Producción"/>
    <x v="0"/>
  </r>
  <r>
    <s v="LOcanaP@agricolachira.com.pe"/>
    <x v="3"/>
    <x v="0"/>
    <x v="1"/>
    <s v="Control de Gestión"/>
    <x v="1"/>
  </r>
  <r>
    <s v="JCalderonChu@agricolachira.com.pe"/>
    <x v="3"/>
    <x v="0"/>
    <x v="0"/>
    <s v="Producción"/>
    <x v="0"/>
  </r>
  <r>
    <s v="JLopezSi@agricolachira.com.pe"/>
    <x v="3"/>
    <x v="1"/>
    <x v="0"/>
    <s v="Mantenimiento Industrial"/>
    <x v="0"/>
  </r>
  <r>
    <s v="LChanduviT@agricolachira.com.pe"/>
    <x v="3"/>
    <x v="1"/>
    <x v="1"/>
    <s v="Contabilidad Tributaria"/>
    <x v="1"/>
  </r>
  <r>
    <s v="YGarridoS@agricolachira.com.pe"/>
    <x v="3"/>
    <x v="1"/>
    <x v="3"/>
    <s v="Almacenes y Distribución PT"/>
    <x v="3"/>
  </r>
  <r>
    <s v="RSacramentoL@agricolachira.com.pe"/>
    <x v="3"/>
    <x v="0"/>
    <x v="4"/>
    <s v="Fundo Lobo"/>
    <x v="4"/>
  </r>
  <r>
    <s v="LRodriguezC@agricolachira.com.pe"/>
    <x v="3"/>
    <x v="1"/>
    <x v="2"/>
    <s v="Comunicaciones y Responsabilidad Social"/>
    <x v="2"/>
  </r>
  <r>
    <s v="JCheroPa@agricolachira.com.pe"/>
    <x v="3"/>
    <x v="4"/>
    <x v="1"/>
    <s v="Compras"/>
    <x v="1"/>
  </r>
  <r>
    <s v="VAntezanaM@agricolachira.com.pe"/>
    <x v="3"/>
    <x v="1"/>
    <x v="1"/>
    <s v="Administración"/>
    <x v="1"/>
  </r>
  <r>
    <s v="CLupucheV@agricolachira.com.pe"/>
    <x v="3"/>
    <x v="0"/>
    <x v="4"/>
    <s v="Fundo Lobo"/>
    <x v="4"/>
  </r>
  <r>
    <s v="EHerediaR@agricolachira.com.pe"/>
    <x v="3"/>
    <x v="0"/>
    <x v="2"/>
    <s v="Gestor de Recursos Humanos"/>
    <x v="2"/>
  </r>
  <r>
    <s v="HCruzA@agricolachira.com.pe"/>
    <x v="3"/>
    <x v="0"/>
    <x v="3"/>
    <s v="Almacenes y Distribución PT"/>
    <x v="3"/>
  </r>
  <r>
    <s v="YHermenegilA@agricolachira.com.pe"/>
    <x v="3"/>
    <x v="0"/>
    <x v="2"/>
    <s v="Bienestar - Medico Ocupacional"/>
    <x v="2"/>
  </r>
  <r>
    <s v="DYarlequeL@agricolachira.com.pe"/>
    <x v="3"/>
    <x v="0"/>
    <x v="0"/>
    <s v="Producción"/>
    <x v="0"/>
  </r>
  <r>
    <s v="FValladaresC@agricolachira.com.pe"/>
    <x v="3"/>
    <x v="1"/>
    <x v="4"/>
    <s v="Mantenimiento de Riego y Bombas"/>
    <x v="4"/>
  </r>
  <r>
    <s v="DGameroS@agricolachira.com.pe"/>
    <x v="3"/>
    <x v="1"/>
    <x v="0"/>
    <s v="Producción"/>
    <x v="0"/>
  </r>
  <r>
    <s v="EMartinezG@agricolachira.com.pe"/>
    <x v="3"/>
    <x v="0"/>
    <x v="2"/>
    <s v="Compensación y Nóminas"/>
    <x v="2"/>
  </r>
  <r>
    <s v="MCulqueC@agricolachira.com.pe"/>
    <x v="3"/>
    <x v="0"/>
    <x v="4"/>
    <s v="Fundo San Vicente"/>
    <x v="4"/>
  </r>
  <r>
    <s v="PMarroquinR@agricolachira.com.pe"/>
    <x v="3"/>
    <x v="0"/>
    <x v="4"/>
    <s v="Sistema Integral de Gestión"/>
    <x v="4"/>
  </r>
  <r>
    <s v="KYamunaqueJ@agricolachira.com.pe"/>
    <x v="3"/>
    <x v="1"/>
    <x v="3"/>
    <s v="Almacenes y Distribución PT"/>
    <x v="3"/>
  </r>
  <r>
    <s v="PHernandezH@agricolachira.com.pe"/>
    <x v="3"/>
    <x v="1"/>
    <x v="4"/>
    <s v="Fundo Lobo"/>
    <x v="4"/>
  </r>
  <r>
    <s v="GPenaP@agricolachira.com.pe"/>
    <x v="3"/>
    <x v="0"/>
    <x v="4"/>
    <s v="Fundo Lobo"/>
    <x v="4"/>
  </r>
  <r>
    <s v="JAquijeD@agricolachira.com.pe"/>
    <x v="3"/>
    <x v="4"/>
    <x v="4"/>
    <s v="Fundo Montelima"/>
    <x v="4"/>
  </r>
  <r>
    <s v="VLopezS@agricolachira.com.pe"/>
    <x v="3"/>
    <x v="0"/>
    <x v="3"/>
    <s v="Cosecha"/>
    <x v="3"/>
  </r>
  <r>
    <s v="CManayayB@agricolachira.com.pe"/>
    <x v="3"/>
    <x v="0"/>
    <x v="4"/>
    <s v="Fundo Lobo"/>
    <x v="4"/>
  </r>
  <r>
    <s v="PSuncionZ@agricolachira.com.pe"/>
    <x v="3"/>
    <x v="0"/>
    <x v="2"/>
    <s v="Compensación y Nóminas"/>
    <x v="2"/>
  </r>
  <r>
    <s v="EMijahuancaG@agricolachira.com.pe"/>
    <x v="3"/>
    <x v="1"/>
    <x v="3"/>
    <s v="Mantenimiento CAT"/>
    <x v="3"/>
  </r>
  <r>
    <s v="HBorjaT@agricolachira.com.pe"/>
    <x v="3"/>
    <x v="1"/>
    <x v="0"/>
    <s v="Electricidad"/>
    <x v="0"/>
  </r>
  <r>
    <s v="MMartinezP@agricolachira.com.pe"/>
    <x v="3"/>
    <x v="1"/>
    <x v="1"/>
    <s v="Contabilidad Tributaria"/>
    <x v="1"/>
  </r>
  <r>
    <s v="VCruzC@agricolachira.com.pe"/>
    <x v="3"/>
    <x v="1"/>
    <x v="2"/>
    <s v="Gestor de Recursos Humanos"/>
    <x v="2"/>
  </r>
  <r>
    <s v="JNegronC@agricolachira.com.pe"/>
    <x v="3"/>
    <x v="4"/>
    <x v="4"/>
    <s v="Mantenimiento de Riego y Bombas"/>
    <x v="4"/>
  </r>
  <r>
    <s v="jjimenezc@agricolachira.com.pe"/>
    <x v="3"/>
    <x v="1"/>
    <x v="2"/>
    <s v="Sostenibilidad"/>
    <x v="2"/>
  </r>
  <r>
    <s v="operadordebalanza@agricolachira.com.pe"/>
    <x v="3"/>
    <x v="1"/>
    <x v="3"/>
    <s v="Almacenes y Distribución PT"/>
    <x v="3"/>
  </r>
  <r>
    <s v="balanzapt@agricolachira.com.pe"/>
    <x v="3"/>
    <x v="1"/>
    <x v="3"/>
    <s v="Almacenes y Distribución PT"/>
    <x v="3"/>
  </r>
  <r>
    <s v="JChaparroB@agricolachira.com.pe"/>
    <x v="3"/>
    <x v="1"/>
    <x v="1"/>
    <s v="Compras"/>
    <x v="1"/>
  </r>
  <r>
    <s v="VSanchezA@agricolachira.com.pe"/>
    <x v="3"/>
    <x v="0"/>
    <x v="4"/>
    <s v="Fundo Lobo"/>
    <x v="4"/>
  </r>
  <r>
    <s v="cfreym@agricolachira.com.pe"/>
    <x v="3"/>
    <x v="1"/>
    <x v="3"/>
    <s v="Comercial"/>
    <x v="3"/>
  </r>
  <r>
    <s v="AChirinosC@agricolachira.com.pe"/>
    <x v="3"/>
    <x v="0"/>
    <x v="2"/>
    <s v="Control Presupuestal"/>
    <x v="2"/>
  </r>
  <r>
    <s v="FLopezVal@agricolachira.com.pe"/>
    <x v="3"/>
    <x v="0"/>
    <x v="3"/>
    <s v="Almacenes y Distribución PT"/>
    <x v="3"/>
  </r>
  <r>
    <s v="lsipiona@agricolachira.com.pe"/>
    <x v="3"/>
    <x v="1"/>
    <x v="2"/>
    <s v="Sostenibilidad"/>
    <x v="2"/>
  </r>
  <r>
    <s v="JUrbinaP@agricolachira.com.pe"/>
    <x v="3"/>
    <x v="0"/>
    <x v="4"/>
    <s v="Fundo Lobo"/>
    <x v="4"/>
  </r>
  <r>
    <s v="LVillarF@agricolachira.com.pe"/>
    <x v="3"/>
    <x v="0"/>
    <x v="0"/>
    <s v="Mantenimiento Industrial"/>
    <x v="0"/>
  </r>
  <r>
    <s v="ASernaqueV@agricolachira.com.pe"/>
    <x v="3"/>
    <x v="1"/>
    <x v="2"/>
    <s v="Gestor de Recursos Humanos"/>
    <x v="2"/>
  </r>
  <r>
    <s v="SMerinoV@agricolachira.com.pe"/>
    <x v="3"/>
    <x v="1"/>
    <x v="1"/>
    <s v="Finanzas y Tesorería"/>
    <x v="1"/>
  </r>
  <r>
    <s v="RLupucheQ@agricolachira.com.pe"/>
    <x v="3"/>
    <x v="1"/>
    <x v="4"/>
    <s v="Laboratorio e Investigación Agricola"/>
    <x v="4"/>
  </r>
  <r>
    <s v="DFloreanoP@agricolachira.com.pe"/>
    <x v="3"/>
    <x v="2"/>
    <x v="1"/>
    <s v="Compras"/>
    <x v="1"/>
  </r>
  <r>
    <s v="JCobenasS@agricolachira.com.pe"/>
    <x v="3"/>
    <x v="0"/>
    <x v="3"/>
    <s v="Calidad"/>
    <x v="3"/>
  </r>
  <r>
    <s v="AColomaL@agricolachira.com.pe"/>
    <x v="3"/>
    <x v="0"/>
    <x v="2"/>
    <s v="Compensación y Nóminas"/>
    <x v="2"/>
  </r>
  <r>
    <s v="JMioA@agricolachira.com.pe"/>
    <x v="3"/>
    <x v="0"/>
    <x v="4"/>
    <s v="Mantenimiento de Riego y Bombas"/>
    <x v="4"/>
  </r>
  <r>
    <s v="DAlbercaS@agricolachira.com.pe"/>
    <x v="3"/>
    <x v="2"/>
    <x v="3"/>
    <s v="Calidad"/>
    <x v="3"/>
  </r>
  <r>
    <s v="JMazaV@agricolachira.com.pe"/>
    <x v="3"/>
    <x v="3"/>
    <x v="0"/>
    <s v="Automatización"/>
    <x v="0"/>
  </r>
  <r>
    <s v="AVasquezM@agricolachira.com.pe"/>
    <x v="3"/>
    <x v="1"/>
    <x v="0"/>
    <s v="Mantenimiento Industrial"/>
    <x v="0"/>
  </r>
  <r>
    <s v="JMogollonC@agricolachira.com.pe"/>
    <x v="3"/>
    <x v="0"/>
    <x v="3"/>
    <s v="Transporte"/>
    <x v="3"/>
  </r>
  <r>
    <s v="ECortezS@agricolachira.com.pe"/>
    <x v="3"/>
    <x v="1"/>
    <x v="3"/>
    <s v="Almacenes y Distribución PT"/>
    <x v="3"/>
  </r>
  <r>
    <s v="HMatiasZ@agricolachira.com.pe"/>
    <x v="3"/>
    <x v="2"/>
    <x v="4"/>
    <s v="Fundo La Huaca"/>
    <x v="4"/>
  </r>
  <r>
    <s v="DCruzC@agricolachira.com.pe"/>
    <x v="3"/>
    <x v="0"/>
    <x v="0"/>
    <s v="Mantenimiento Industrial"/>
    <x v="0"/>
  </r>
  <r>
    <s v="MDilibertoS@agricolachira.com.pe"/>
    <x v="3"/>
    <x v="4"/>
    <x v="4"/>
    <s v="Gerencia Agrícola"/>
    <x v="4"/>
  </r>
  <r>
    <s v="ptrigoso@agricolachira.com.pe"/>
    <x v="3"/>
    <x v="4"/>
    <x v="3"/>
    <s v="Gerencia de Operaciones"/>
    <x v="3"/>
  </r>
  <r>
    <s v="EGironA@agricolachira.com.pe"/>
    <x v="3"/>
    <x v="4"/>
    <x v="2"/>
    <s v="Gestor de Recursos Humanos"/>
    <x v="2"/>
  </r>
  <r>
    <s v="JSeminarioA@agricolachira.com.pe"/>
    <x v="3"/>
    <x v="4"/>
    <x v="0"/>
    <s v="Producción"/>
    <x v="0"/>
  </r>
  <r>
    <s v="JRojasBarr@agricolachira.com.pe"/>
    <x v="3"/>
    <x v="1"/>
    <x v="4"/>
    <s v="Fundo Montelima"/>
    <x v="4"/>
  </r>
  <r>
    <s v="FFloresP@agricolachira.com.pe"/>
    <x v="3"/>
    <x v="0"/>
    <x v="2"/>
    <s v="Gestión Humana"/>
    <x v="2"/>
  </r>
  <r>
    <s v="CRamosG@agricolachira.com.pe"/>
    <x v="3"/>
    <x v="0"/>
    <x v="2"/>
    <s v="Gestion del Talento"/>
    <x v="2"/>
  </r>
  <r>
    <s v="GGonzalesC@agricolachira.com.pe"/>
    <x v="3"/>
    <x v="1"/>
    <x v="2"/>
    <s v="Relaciones Laborales"/>
    <x v="2"/>
  </r>
  <r>
    <s v="MOjedaC@agricolachira.com.pe"/>
    <x v="3"/>
    <x v="1"/>
    <x v="1"/>
    <s v="Contabilidad Tributaria"/>
    <x v="1"/>
  </r>
  <r>
    <s v="JAlbujarC@agricolachira.com.pe"/>
    <x v="3"/>
    <x v="1"/>
    <x v="0"/>
    <s v="Mantenimiento Industrial"/>
    <x v="0"/>
  </r>
  <r>
    <s v="JEstelaF@agricolachira.com.pe"/>
    <x v="3"/>
    <x v="1"/>
    <x v="3"/>
    <s v="Calidad"/>
    <x v="3"/>
  </r>
  <r>
    <s v="JMonteroV@agricolachira.com.pe"/>
    <x v="3"/>
    <x v="0"/>
    <x v="2"/>
    <s v="Gerencia Gestión Humana y Sostenibilidad"/>
    <x v="2"/>
  </r>
  <r>
    <s v="AAguilarMo@agricolachira.com.pe"/>
    <x v="3"/>
    <x v="2"/>
    <x v="1"/>
    <s v="Compras"/>
    <x v="1"/>
  </r>
  <r>
    <s v="AGuldenG@agricolachira.com.pe"/>
    <x v="3"/>
    <x v="1"/>
    <x v="4"/>
    <s v="Fundo Lobo"/>
    <x v="4"/>
  </r>
  <r>
    <s v="adelchira_transporte@agricolachira.com.pe"/>
    <x v="3"/>
    <x v="1"/>
    <x v="3"/>
    <s v="Transporte"/>
    <x v="3"/>
  </r>
  <r>
    <s v="CVivancoM@agricolachira.com.pe"/>
    <x v="3"/>
    <x v="2"/>
    <x v="1"/>
    <s v="Gerencia Administración y Finanzas"/>
    <x v="1"/>
  </r>
  <r>
    <s v="CCarrilloR@agricolachira.com.pe"/>
    <x v="4"/>
    <x v="1"/>
    <x v="0"/>
    <s v="Electricidad"/>
    <x v="0"/>
  </r>
  <r>
    <s v="SSanchezV@agricolachira.com.pe"/>
    <x v="4"/>
    <x v="1"/>
    <x v="1"/>
    <s v="Control de Gestión"/>
    <x v="1"/>
  </r>
  <r>
    <s v="ABurneoL@agricolachira.com.pe"/>
    <x v="4"/>
    <x v="1"/>
    <x v="1"/>
    <s v="Control de Gestión"/>
    <x v="1"/>
  </r>
  <r>
    <s v="IVasquezP@agricolachira.com.pe"/>
    <x v="4"/>
    <x v="0"/>
    <x v="2"/>
    <s v="Seguridad"/>
    <x v="2"/>
  </r>
  <r>
    <s v="KZavaletaM@agricolachira.com.pe"/>
    <x v="4"/>
    <x v="1"/>
    <x v="1"/>
    <s v="Contabilidad Tributaria"/>
    <x v="1"/>
  </r>
  <r>
    <s v="DZuritaF@agricolachira.com.pe"/>
    <x v="4"/>
    <x v="2"/>
    <x v="1"/>
    <s v="Legal"/>
    <x v="1"/>
  </r>
  <r>
    <s v="HMocarroC@agricolachira.com.pe"/>
    <x v="4"/>
    <x v="1"/>
    <x v="1"/>
    <s v="Riesgos y Cumplimiento"/>
    <x v="1"/>
  </r>
  <r>
    <s v="creyesy@agricolachira.com.pe"/>
    <x v="4"/>
    <x v="1"/>
    <x v="0"/>
    <s v="Mantenimiento de Transportes"/>
    <x v="0"/>
  </r>
  <r>
    <s v="jquevedoa@agricolachira.com.pe"/>
    <x v="4"/>
    <x v="0"/>
    <x v="1"/>
    <s v="Administración"/>
    <x v="1"/>
  </r>
  <r>
    <s v="CNeyraM@agricolachira.com.pe"/>
    <x v="4"/>
    <x v="4"/>
    <x v="3"/>
    <s v="Almacenes y Distribución PT"/>
    <x v="3"/>
  </r>
  <r>
    <s v="JPichilinguP@agricolachira.com.pe"/>
    <x v="4"/>
    <x v="1"/>
    <x v="3"/>
    <s v="Comercial"/>
    <x v="3"/>
  </r>
  <r>
    <s v="YMogollonG@agricolachira.com.pe"/>
    <x v="4"/>
    <x v="1"/>
    <x v="3"/>
    <s v="Cosecha"/>
    <x v="3"/>
  </r>
  <r>
    <s v="WChavezS@agricolachira.com.pe"/>
    <x v="4"/>
    <x v="1"/>
    <x v="4"/>
    <s v="Fundo San Vicente"/>
    <x v="4"/>
  </r>
  <r>
    <s v="LGarciaC@agricolachira.com.pe"/>
    <x v="4"/>
    <x v="1"/>
    <x v="3"/>
    <s v="Cosecha"/>
    <x v="3"/>
  </r>
  <r>
    <s v="EArevaloJ@agricolachira.com.pe"/>
    <x v="4"/>
    <x v="1"/>
    <x v="1"/>
    <s v="Cadenas Productivas"/>
    <x v="1"/>
  </r>
  <r>
    <s v="LRuizMu@agricolachira.com.pe"/>
    <x v="4"/>
    <x v="1"/>
    <x v="3"/>
    <s v="Calidad"/>
    <x v="3"/>
  </r>
  <r>
    <s v="EAmesM@agricolachira.com.pe"/>
    <x v="4"/>
    <x v="1"/>
    <x v="2"/>
    <s v="Bienestar - Medico Ocupacional"/>
    <x v="2"/>
  </r>
  <r>
    <s v="AAdanaqueE@agricolachira.com.pe"/>
    <x v="4"/>
    <x v="1"/>
    <x v="2"/>
    <s v="Compensación y Nóminas"/>
    <x v="2"/>
  </r>
  <r>
    <s v="KOtinianoP@agricolachira.com.pe"/>
    <x v="4"/>
    <x v="0"/>
    <x v="1"/>
    <s v="Legal"/>
    <x v="1"/>
  </r>
  <r>
    <s v="JArevaloga@agricolachira.com.pe"/>
    <x v="4"/>
    <x v="1"/>
    <x v="2"/>
    <s v="Seguridad"/>
    <x v="2"/>
  </r>
  <r>
    <s v="MVegaY@agricolachira.com.pe"/>
    <x v="4"/>
    <x v="1"/>
    <x v="3"/>
    <s v="Calidad"/>
    <x v="3"/>
  </r>
  <r>
    <s v="ASeminarioV@agricolachira.com.pe"/>
    <x v="4"/>
    <x v="0"/>
    <x v="4"/>
    <s v="Mantenimiento de Riego y Bombas"/>
    <x v="4"/>
  </r>
  <r>
    <s v="JVillegasP@agricolachira.com.pe"/>
    <x v="4"/>
    <x v="1"/>
    <x v="2"/>
    <s v="Compensación y Nóminas"/>
    <x v="2"/>
  </r>
  <r>
    <s v="JOrdinolaZ@agricolachira.com.pe"/>
    <x v="4"/>
    <x v="1"/>
    <x v="3"/>
    <s v="Calidad"/>
    <x v="3"/>
  </r>
  <r>
    <s v="YMoscolC@agricolachira.com.pe"/>
    <x v="4"/>
    <x v="1"/>
    <x v="3"/>
    <s v="Comercial"/>
    <x v="3"/>
  </r>
  <r>
    <s v="AGarciaPac@agricolachira.com.pe"/>
    <x v="4"/>
    <x v="1"/>
    <x v="1"/>
    <s v="Legal"/>
    <x v="1"/>
  </r>
  <r>
    <s v="MVillegasJ@agricolachira.com.pe"/>
    <x v="4"/>
    <x v="1"/>
    <x v="1"/>
    <s v="Administración"/>
    <x v="1"/>
  </r>
  <r>
    <s v="LOlayaLe@agricolachira.com.pe"/>
    <x v="4"/>
    <x v="1"/>
    <x v="1"/>
    <s v="Finanzas y Tesorería"/>
    <x v="1"/>
  </r>
  <r>
    <s v="PViteC@agricolachira.com.pe"/>
    <x v="4"/>
    <x v="0"/>
    <x v="3"/>
    <s v="Mantenimiento CAT"/>
    <x v="3"/>
  </r>
  <r>
    <s v="CSosaL@agricolachira.com.pe"/>
    <x v="4"/>
    <x v="1"/>
    <x v="1"/>
    <s v="Control de Gestión"/>
    <x v="1"/>
  </r>
  <r>
    <s v="RMoncadaP@agricolachira.com.pe"/>
    <x v="4"/>
    <x v="1"/>
    <x v="1"/>
    <s v="Control de Gestión"/>
    <x v="1"/>
  </r>
  <r>
    <s v="VAbadP@agricolachira.com.pe"/>
    <x v="4"/>
    <x v="1"/>
    <x v="1"/>
    <s v="Contabilidad Tributaria"/>
    <x v="1"/>
  </r>
  <r>
    <s v="MNavarroN@agricolachira.com.pe"/>
    <x v="4"/>
    <x v="1"/>
    <x v="2"/>
    <s v="Gestor de Recursos Humanos"/>
    <x v="2"/>
  </r>
  <r>
    <s v="AVilelaJ@agricolachira.com.pe"/>
    <x v="4"/>
    <x v="1"/>
    <x v="1"/>
    <s v="Finanzas y Tesorería"/>
    <x v="1"/>
  </r>
  <r>
    <s v="AGutierrezR@agricolachira.com.pe"/>
    <x v="4"/>
    <x v="1"/>
    <x v="3"/>
    <s v="Comercial"/>
    <x v="3"/>
  </r>
  <r>
    <s v="ovasquezp@agricolachira.com.pe"/>
    <x v="4"/>
    <x v="1"/>
    <x v="4"/>
    <s v="Planificador Agrícola"/>
    <x v="4"/>
  </r>
  <r>
    <s v="CMendozaM@agricolachira.com.pe"/>
    <x v="4"/>
    <x v="0"/>
    <x v="4"/>
    <s v="Fundo Montelima"/>
    <x v="4"/>
  </r>
  <r>
    <s v="JCastilloR@agricolachira.com.pe"/>
    <x v="4"/>
    <x v="2"/>
    <x v="4"/>
    <s v="Mantenimiento de Riego y Bombas"/>
    <x v="4"/>
  </r>
  <r>
    <s v="NHansenG@agricolachira.com.pe"/>
    <x v="4"/>
    <x v="0"/>
    <x v="4"/>
    <s v="Mantenimiento de Riego y Bombas"/>
    <x v="4"/>
  </r>
  <r>
    <s v="VHilaresZ@agricolachira.com.pe"/>
    <x v="4"/>
    <x v="0"/>
    <x v="4"/>
    <s v="Fundo San Vicente"/>
    <x v="4"/>
  </r>
  <r>
    <s v="ereyesp@agricolachira.com.pe"/>
    <x v="4"/>
    <x v="1"/>
    <x v="4"/>
    <s v="Planificador Agrícola"/>
    <x v="4"/>
  </r>
  <r>
    <s v="AFloresD@agricolachira.com.pe"/>
    <x v="4"/>
    <x v="0"/>
    <x v="0"/>
    <s v="Producción"/>
    <x v="0"/>
  </r>
  <r>
    <s v="jbacilioh@agricolachira.com.pe"/>
    <x v="4"/>
    <x v="1"/>
    <x v="4"/>
    <s v="Laboratorio e Investigación Agricola"/>
    <x v="4"/>
  </r>
  <r>
    <s v="DCheroN@agricolachira.com.pe"/>
    <x v="4"/>
    <x v="1"/>
    <x v="3"/>
    <s v="Almacenes y Distribución PT"/>
    <x v="3"/>
  </r>
  <r>
    <s v="ALachiraP@agricolachira.com.pe"/>
    <x v="4"/>
    <x v="1"/>
    <x v="3"/>
    <s v="Almacenes y Distribución PT"/>
    <x v="3"/>
  </r>
  <r>
    <s v="PArcelaC@agricolachira.com.pe"/>
    <x v="4"/>
    <x v="0"/>
    <x v="3"/>
    <s v="Cosecha"/>
    <x v="3"/>
  </r>
  <r>
    <s v="JMendozaG@agricolachira.com.pe"/>
    <x v="4"/>
    <x v="1"/>
    <x v="2"/>
    <s v="Seguridad"/>
    <x v="2"/>
  </r>
  <r>
    <s v="RTorresS@agricolachira.com.pe"/>
    <x v="4"/>
    <x v="0"/>
    <x v="4"/>
    <s v="Mantenimiento de Riego y Bombas"/>
    <x v="4"/>
  </r>
  <r>
    <s v="LTimanaT@agricolachira.com.pe"/>
    <x v="4"/>
    <x v="1"/>
    <x v="1"/>
    <s v="Compras"/>
    <x v="1"/>
  </r>
  <r>
    <s v="MDiazTa@agricolachira.com.pe"/>
    <x v="4"/>
    <x v="1"/>
    <x v="1"/>
    <s v="Finanzas y Tesorería"/>
    <x v="1"/>
  </r>
  <r>
    <s v="WFacundoF@agricolachira.com.pe"/>
    <x v="4"/>
    <x v="1"/>
    <x v="0"/>
    <s v="Producción"/>
    <x v="0"/>
  </r>
  <r>
    <s v="RGarciaFe@agricolachira.com.pe"/>
    <x v="4"/>
    <x v="1"/>
    <x v="1"/>
    <s v="Contabilidad Tributaria"/>
    <x v="1"/>
  </r>
  <r>
    <s v="LPadillaSa@agricolachira.com.pe"/>
    <x v="4"/>
    <x v="2"/>
    <x v="0"/>
    <s v="Producción"/>
    <x v="0"/>
  </r>
  <r>
    <s v="LOcanaP@agricolachira.com.pe"/>
    <x v="4"/>
    <x v="1"/>
    <x v="1"/>
    <s v="Control de Gestión"/>
    <x v="1"/>
  </r>
  <r>
    <s v="JCalderonChu@agricolachira.com.pe"/>
    <x v="4"/>
    <x v="0"/>
    <x v="0"/>
    <s v="Producción"/>
    <x v="0"/>
  </r>
  <r>
    <s v="JLopezSi@agricolachira.com.pe"/>
    <x v="4"/>
    <x v="1"/>
    <x v="0"/>
    <s v="Mantenimiento Industrial"/>
    <x v="0"/>
  </r>
  <r>
    <s v="LChanduviT@agricolachira.com.pe"/>
    <x v="4"/>
    <x v="1"/>
    <x v="1"/>
    <s v="Contabilidad Tributaria"/>
    <x v="1"/>
  </r>
  <r>
    <s v="YGarridoS@agricolachira.com.pe"/>
    <x v="4"/>
    <x v="1"/>
    <x v="3"/>
    <s v="Almacenes y Distribución PT"/>
    <x v="3"/>
  </r>
  <r>
    <s v="RSacramentoL@agricolachira.com.pe"/>
    <x v="4"/>
    <x v="0"/>
    <x v="4"/>
    <s v="Fundo Lobo"/>
    <x v="4"/>
  </r>
  <r>
    <s v="LRodriguezC@agricolachira.com.pe"/>
    <x v="4"/>
    <x v="1"/>
    <x v="2"/>
    <s v="Comunicaciones y Responsabilidad Social"/>
    <x v="2"/>
  </r>
  <r>
    <s v="JCheroPa@agricolachira.com.pe"/>
    <x v="4"/>
    <x v="4"/>
    <x v="1"/>
    <s v="Compras"/>
    <x v="1"/>
  </r>
  <r>
    <s v="VAntezanaM@agricolachira.com.pe"/>
    <x v="4"/>
    <x v="1"/>
    <x v="1"/>
    <s v="Administración"/>
    <x v="1"/>
  </r>
  <r>
    <s v="CLupucheV@agricolachira.com.pe"/>
    <x v="4"/>
    <x v="1"/>
    <x v="4"/>
    <s v="Fundo Lobo"/>
    <x v="4"/>
  </r>
  <r>
    <s v="EHerediaR@agricolachira.com.pe"/>
    <x v="4"/>
    <x v="0"/>
    <x v="2"/>
    <s v="Gestor de Recursos Humanos"/>
    <x v="2"/>
  </r>
  <r>
    <s v="HCruzA@agricolachira.com.pe"/>
    <x v="4"/>
    <x v="1"/>
    <x v="3"/>
    <s v="Almacenes y Distribución PT"/>
    <x v="3"/>
  </r>
  <r>
    <s v="YHermenegilA@agricolachira.com.pe"/>
    <x v="4"/>
    <x v="0"/>
    <x v="2"/>
    <s v="Bienestar - Medico Ocupacional"/>
    <x v="2"/>
  </r>
  <r>
    <s v="DYarlequeL@agricolachira.com.pe"/>
    <x v="4"/>
    <x v="0"/>
    <x v="0"/>
    <s v="Producción"/>
    <x v="0"/>
  </r>
  <r>
    <s v="FValladaresC@agricolachira.com.pe"/>
    <x v="4"/>
    <x v="1"/>
    <x v="4"/>
    <s v="Mantenimiento de Riego y Bombas"/>
    <x v="4"/>
  </r>
  <r>
    <s v="DGameroS@agricolachira.com.pe"/>
    <x v="4"/>
    <x v="4"/>
    <x v="0"/>
    <s v="Producción"/>
    <x v="0"/>
  </r>
  <r>
    <s v="EMartinezG@agricolachira.com.pe"/>
    <x v="4"/>
    <x v="1"/>
    <x v="2"/>
    <s v="Compensación y Nóminas"/>
    <x v="2"/>
  </r>
  <r>
    <s v="MCulqueC@agricolachira.com.pe"/>
    <x v="4"/>
    <x v="1"/>
    <x v="4"/>
    <s v="Fundo San Vicente"/>
    <x v="4"/>
  </r>
  <r>
    <s v="PMarroquinR@agricolachira.com.pe"/>
    <x v="4"/>
    <x v="0"/>
    <x v="4"/>
    <s v="Sistema Integral de Gestión"/>
    <x v="4"/>
  </r>
  <r>
    <s v="KYamunaqueJ@agricolachira.com.pe"/>
    <x v="4"/>
    <x v="1"/>
    <x v="3"/>
    <s v="Almacenes y Distribución PT"/>
    <x v="3"/>
  </r>
  <r>
    <s v="PHernandezH@agricolachira.com.pe"/>
    <x v="4"/>
    <x v="1"/>
    <x v="4"/>
    <s v="Fundo Lobo"/>
    <x v="4"/>
  </r>
  <r>
    <s v="GPenaP@agricolachira.com.pe"/>
    <x v="4"/>
    <x v="1"/>
    <x v="4"/>
    <s v="Fundo Lobo"/>
    <x v="4"/>
  </r>
  <r>
    <s v="JAquijeD@agricolachira.com.pe"/>
    <x v="4"/>
    <x v="0"/>
    <x v="4"/>
    <s v="Fundo Montelima"/>
    <x v="4"/>
  </r>
  <r>
    <s v="VLopezS@agricolachira.com.pe"/>
    <x v="4"/>
    <x v="0"/>
    <x v="3"/>
    <s v="Cosecha"/>
    <x v="3"/>
  </r>
  <r>
    <s v="CManayayB@agricolachira.com.pe"/>
    <x v="4"/>
    <x v="1"/>
    <x v="4"/>
    <s v="Fundo Lobo"/>
    <x v="4"/>
  </r>
  <r>
    <s v="PSuncionZ@agricolachira.com.pe"/>
    <x v="4"/>
    <x v="1"/>
    <x v="2"/>
    <s v="Compensación y Nóminas"/>
    <x v="2"/>
  </r>
  <r>
    <s v="EMijahuancaG@agricolachira.com.pe"/>
    <x v="4"/>
    <x v="1"/>
    <x v="3"/>
    <s v="Mantenimiento CAT"/>
    <x v="3"/>
  </r>
  <r>
    <s v="HBorjaT@agricolachira.com.pe"/>
    <x v="4"/>
    <x v="1"/>
    <x v="0"/>
    <s v="Electricidad"/>
    <x v="0"/>
  </r>
  <r>
    <s v="MMartinezP@agricolachira.com.pe"/>
    <x v="4"/>
    <x v="1"/>
    <x v="1"/>
    <s v="Contabilidad Tributaria"/>
    <x v="1"/>
  </r>
  <r>
    <s v="VCruzC@agricolachira.com.pe"/>
    <x v="4"/>
    <x v="1"/>
    <x v="2"/>
    <s v="Gestor de Recursos Humanos"/>
    <x v="2"/>
  </r>
  <r>
    <s v="JNegronC@agricolachira.com.pe"/>
    <x v="4"/>
    <x v="0"/>
    <x v="4"/>
    <s v="Mantenimiento de Riego y Bombas"/>
    <x v="4"/>
  </r>
  <r>
    <s v="jjimenezc@agricolachira.com.pe"/>
    <x v="4"/>
    <x v="1"/>
    <x v="2"/>
    <s v="Sostenibilidad"/>
    <x v="2"/>
  </r>
  <r>
    <s v="operadordebalanza@agricolachira.com.pe"/>
    <x v="4"/>
    <x v="1"/>
    <x v="3"/>
    <s v="Almacenes y Distribución PT"/>
    <x v="3"/>
  </r>
  <r>
    <s v="balanzapt@agricolachira.com.pe"/>
    <x v="4"/>
    <x v="1"/>
    <x v="3"/>
    <s v="Almacenes y Distribución PT"/>
    <x v="3"/>
  </r>
  <r>
    <s v="JChaparroB@agricolachira.com.pe"/>
    <x v="4"/>
    <x v="1"/>
    <x v="1"/>
    <s v="Compras"/>
    <x v="1"/>
  </r>
  <r>
    <s v="VSanchezA@agricolachira.com.pe"/>
    <x v="4"/>
    <x v="0"/>
    <x v="4"/>
    <s v="Fundo Lobo"/>
    <x v="4"/>
  </r>
  <r>
    <s v="cfreym@agricolachira.com.pe"/>
    <x v="4"/>
    <x v="1"/>
    <x v="3"/>
    <s v="Comercial"/>
    <x v="3"/>
  </r>
  <r>
    <s v="AChirinosC@agricolachira.com.pe"/>
    <x v="4"/>
    <x v="2"/>
    <x v="2"/>
    <s v="Control Presupuestal"/>
    <x v="2"/>
  </r>
  <r>
    <s v="FLopezVal@agricolachira.com.pe"/>
    <x v="4"/>
    <x v="0"/>
    <x v="3"/>
    <s v="Almacenes y Distribución PT"/>
    <x v="3"/>
  </r>
  <r>
    <s v="lsipiona@agricolachira.com.pe"/>
    <x v="4"/>
    <x v="1"/>
    <x v="2"/>
    <s v="Sostenibilidad"/>
    <x v="2"/>
  </r>
  <r>
    <s v="JUrbinaP@agricolachira.com.pe"/>
    <x v="4"/>
    <x v="0"/>
    <x v="4"/>
    <s v="Fundo Lobo"/>
    <x v="4"/>
  </r>
  <r>
    <s v="LVillarF@agricolachira.com.pe"/>
    <x v="4"/>
    <x v="0"/>
    <x v="0"/>
    <s v="Mantenimiento Industrial"/>
    <x v="0"/>
  </r>
  <r>
    <s v="ASernaqueV@agricolachira.com.pe"/>
    <x v="4"/>
    <x v="1"/>
    <x v="2"/>
    <s v="Gestor de Recursos Humanos"/>
    <x v="2"/>
  </r>
  <r>
    <s v="SMerinoV@agricolachira.com.pe"/>
    <x v="4"/>
    <x v="1"/>
    <x v="1"/>
    <s v="Finanzas y Tesorería"/>
    <x v="1"/>
  </r>
  <r>
    <s v="RLupucheQ@agricolachira.com.pe"/>
    <x v="4"/>
    <x v="1"/>
    <x v="4"/>
    <s v="Laboratorio e Investigación Agricola"/>
    <x v="4"/>
  </r>
  <r>
    <s v="DFloreanoP@agricolachira.com.pe"/>
    <x v="4"/>
    <x v="2"/>
    <x v="1"/>
    <s v="Compras"/>
    <x v="1"/>
  </r>
  <r>
    <s v="JCobenasS@agricolachira.com.pe"/>
    <x v="4"/>
    <x v="0"/>
    <x v="3"/>
    <s v="Calidad"/>
    <x v="3"/>
  </r>
  <r>
    <s v="AColomaL@agricolachira.com.pe"/>
    <x v="4"/>
    <x v="0"/>
    <x v="2"/>
    <s v="Compensación y Nóminas"/>
    <x v="2"/>
  </r>
  <r>
    <s v="JMioA@agricolachira.com.pe"/>
    <x v="4"/>
    <x v="0"/>
    <x v="4"/>
    <s v="Mantenimiento de Riego y Bombas"/>
    <x v="4"/>
  </r>
  <r>
    <s v="DAlbercaS@agricolachira.com.pe"/>
    <x v="4"/>
    <x v="0"/>
    <x v="3"/>
    <s v="Calidad"/>
    <x v="3"/>
  </r>
  <r>
    <s v="JMazaV@agricolachira.com.pe"/>
    <x v="4"/>
    <x v="3"/>
    <x v="0"/>
    <s v="Automatización"/>
    <x v="0"/>
  </r>
  <r>
    <s v="AVasquezM@agricolachira.com.pe"/>
    <x v="4"/>
    <x v="1"/>
    <x v="0"/>
    <s v="Mantenimiento Industrial"/>
    <x v="0"/>
  </r>
  <r>
    <s v="JMogollonC@agricolachira.com.pe"/>
    <x v="4"/>
    <x v="0"/>
    <x v="3"/>
    <s v="Transporte"/>
    <x v="3"/>
  </r>
  <r>
    <s v="ECortezS@agricolachira.com.pe"/>
    <x v="4"/>
    <x v="1"/>
    <x v="3"/>
    <s v="Almacenes y Distribución PT"/>
    <x v="3"/>
  </r>
  <r>
    <s v="HMatiasZ@agricolachira.com.pe"/>
    <x v="4"/>
    <x v="2"/>
    <x v="4"/>
    <s v="Fundo La Huaca"/>
    <x v="4"/>
  </r>
  <r>
    <s v="DCruzC@agricolachira.com.pe"/>
    <x v="4"/>
    <x v="0"/>
    <x v="0"/>
    <s v="Mantenimiento Industrial"/>
    <x v="0"/>
  </r>
  <r>
    <s v="MDilibertoS@agricolachira.com.pe"/>
    <x v="4"/>
    <x v="0"/>
    <x v="4"/>
    <s v="Gerencia Agrícola"/>
    <x v="4"/>
  </r>
  <r>
    <s v="ptrigoso@agricolachira.com.pe"/>
    <x v="4"/>
    <x v="0"/>
    <x v="3"/>
    <s v="Gerencia de Operaciones"/>
    <x v="3"/>
  </r>
  <r>
    <s v="EGironA@agricolachira.com.pe"/>
    <x v="4"/>
    <x v="3"/>
    <x v="2"/>
    <s v="Gestor de Recursos Humanos"/>
    <x v="2"/>
  </r>
  <r>
    <s v="JSeminarioA@agricolachira.com.pe"/>
    <x v="4"/>
    <x v="4"/>
    <x v="0"/>
    <s v="Producción"/>
    <x v="0"/>
  </r>
  <r>
    <s v="JRojasBarr@agricolachira.com.pe"/>
    <x v="4"/>
    <x v="0"/>
    <x v="4"/>
    <s v="Fundo Montelima"/>
    <x v="4"/>
  </r>
  <r>
    <s v="FFloresP@agricolachira.com.pe"/>
    <x v="4"/>
    <x v="0"/>
    <x v="2"/>
    <s v="Gestión Humana"/>
    <x v="2"/>
  </r>
  <r>
    <s v="CRamosG@agricolachira.com.pe"/>
    <x v="4"/>
    <x v="0"/>
    <x v="2"/>
    <s v="Gestion del Talento"/>
    <x v="2"/>
  </r>
  <r>
    <s v="GGonzalesC@agricolachira.com.pe"/>
    <x v="4"/>
    <x v="1"/>
    <x v="2"/>
    <s v="Relaciones Laborales"/>
    <x v="2"/>
  </r>
  <r>
    <s v="MOjedaC@agricolachira.com.pe"/>
    <x v="4"/>
    <x v="1"/>
    <x v="1"/>
    <s v="Contabilidad Tributaria"/>
    <x v="1"/>
  </r>
  <r>
    <s v="JAlbujarC@agricolachira.com.pe"/>
    <x v="4"/>
    <x v="0"/>
    <x v="0"/>
    <s v="Mantenimiento Industrial"/>
    <x v="0"/>
  </r>
  <r>
    <s v="JEstelaF@agricolachira.com.pe"/>
    <x v="4"/>
    <x v="1"/>
    <x v="3"/>
    <s v="Calidad"/>
    <x v="3"/>
  </r>
  <r>
    <s v="JMonteroV@agricolachira.com.pe"/>
    <x v="4"/>
    <x v="1"/>
    <x v="2"/>
    <s v="Gerencia Gestión Humana y Sostenibilidad"/>
    <x v="2"/>
  </r>
  <r>
    <s v="AAguilarMo@agricolachira.com.pe"/>
    <x v="4"/>
    <x v="0"/>
    <x v="1"/>
    <s v="Compras"/>
    <x v="1"/>
  </r>
  <r>
    <s v="AGuldenG@agricolachira.com.pe"/>
    <x v="4"/>
    <x v="1"/>
    <x v="4"/>
    <s v="Fundo Lobo"/>
    <x v="4"/>
  </r>
  <r>
    <s v="adelchira_transporte@agricolachira.com.pe"/>
    <x v="4"/>
    <x v="1"/>
    <x v="3"/>
    <s v="Transporte"/>
    <x v="3"/>
  </r>
  <r>
    <s v="CVivancoM@agricolachira.com.pe"/>
    <x v="4"/>
    <x v="0"/>
    <x v="1"/>
    <s v="Gerencia Administración y Finanzas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C0281-A7F2-4CC0-A871-1C17435D8AA3}" name="TablaDinámica14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11:J34" firstHeaderRow="1" firstDataRow="1" firstDataCol="1" rowPageCount="1" colPageCount="1"/>
  <pivotFields count="6">
    <pivotField showAll="0"/>
    <pivotField axis="axisRow" showAll="0">
      <items count="6">
        <item x="2"/>
        <item x="1"/>
        <item x="0"/>
        <item x="3"/>
        <item x="4"/>
        <item t="default"/>
      </items>
    </pivotField>
    <pivotField axis="axisRow" dataField="1" showAll="0">
      <items count="6">
        <item x="3"/>
        <item x="4"/>
        <item x="0"/>
        <item x="1"/>
        <item x="2"/>
        <item t="default"/>
      </items>
    </pivotField>
    <pivotField axis="axisRow" showAll="0">
      <items count="6">
        <item x="1"/>
        <item x="4"/>
        <item x="2"/>
        <item x="0"/>
        <item x="3"/>
        <item t="default"/>
      </items>
    </pivotField>
    <pivotField showAll="0"/>
    <pivotField axis="axisPage" showAll="0">
      <items count="6">
        <item x="1"/>
        <item x="4"/>
        <item x="2"/>
        <item x="0"/>
        <item x="3"/>
        <item t="default"/>
      </items>
    </pivotField>
  </pivotFields>
  <rowFields count="3">
    <field x="3"/>
    <field x="1"/>
    <field x="2"/>
  </rowFields>
  <rowItems count="23">
    <i>
      <x/>
    </i>
    <i r="1">
      <x/>
    </i>
    <i r="2">
      <x v="2"/>
    </i>
    <i r="2">
      <x v="3"/>
    </i>
    <i r="2">
      <x v="4"/>
    </i>
    <i r="1">
      <x v="1"/>
    </i>
    <i r="2">
      <x v="2"/>
    </i>
    <i r="2">
      <x v="3"/>
    </i>
    <i r="1">
      <x v="2"/>
    </i>
    <i r="2">
      <x v="2"/>
    </i>
    <i r="2">
      <x v="3"/>
    </i>
    <i r="2">
      <x v="4"/>
    </i>
    <i r="1">
      <x v="3"/>
    </i>
    <i r="2">
      <x v="1"/>
    </i>
    <i r="2">
      <x v="2"/>
    </i>
    <i r="2">
      <x v="3"/>
    </i>
    <i r="2">
      <x v="4"/>
    </i>
    <i r="1">
      <x v="4"/>
    </i>
    <i r="2">
      <x v="1"/>
    </i>
    <i r="2">
      <x v="2"/>
    </i>
    <i r="2">
      <x v="3"/>
    </i>
    <i r="2">
      <x v="4"/>
    </i>
    <i t="grand">
      <x/>
    </i>
  </rowItems>
  <colItems count="1">
    <i/>
  </colItems>
  <pageFields count="1">
    <pageField fld="5" item="0" hier="-1"/>
  </pageFields>
  <dataFields count="1">
    <dataField name="Cuenta de Nr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02995B-664D-42DD-986A-0212A02D694A}" name="TBL_ResulEncuestas" displayName="TBL_ResulEncuestas" ref="A3:K128" totalsRowShown="0">
  <autoFilter ref="A3:K128" xr:uid="{1602995B-664D-42DD-986A-0212A02D694A}"/>
  <tableColumns count="11">
    <tableColumn id="1" xr3:uid="{16AAA098-B9F4-4E9A-B922-934BAF943BEA}" name="ID"/>
    <tableColumn id="2" xr3:uid="{17BDE74B-DBCC-44D1-8352-467511083401}" name="Hora de inicio" dataDxfId="20"/>
    <tableColumn id="3" xr3:uid="{7020DC69-8F33-499B-9816-61942C07A16D}" name="Hora de finalización" dataDxfId="19"/>
    <tableColumn id="4" xr3:uid="{CE416D67-427F-40B8-BE71-E02EB4DF9B81}" name="Correo electrónico"/>
    <tableColumn id="5" xr3:uid="{D7BF5146-740B-4B06-BEEB-4A140D4E2817}" name="Nombre"/>
    <tableColumn id="6" xr3:uid="{170AD330-7AA2-4849-A8EB-94B858150BED}" name="1"/>
    <tableColumn id="7" xr3:uid="{6322B7B3-D79C-49F4-BF5C-5770C0B0A9CA}" name="2"/>
    <tableColumn id="8" xr3:uid="{AAC69208-D5BB-43C2-8CE2-195B17B54814}" name="3"/>
    <tableColumn id="9" xr3:uid="{D53686CF-4B00-4354-9173-17EB5F08A1D3}" name="4"/>
    <tableColumn id="10" xr3:uid="{9E74424F-C091-4F1A-B4ED-5C3F769B5393}" name="5"/>
    <tableColumn id="11" xr3:uid="{521AC81A-3AF3-40E9-B520-2789DEA39041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7D54220-DBE6-47DD-99D8-E39E7766DACA}" name="Resumen2" displayName="Resumen2" ref="A1:F626" totalsRowShown="0">
  <autoFilter ref="A1:F626" xr:uid="{A7D54220-DBE6-47DD-99D8-E39E7766DACA}"/>
  <tableColumns count="6">
    <tableColumn id="1" xr3:uid="{B71E520A-FFDD-4845-ACE3-D03CE6807D20}" name="Correo electrónico" dataDxfId="1"/>
    <tableColumn id="2" xr3:uid="{84C7DE2D-F7BF-47B2-BFD1-758BD0F41D5A}" name="Servicios"/>
    <tableColumn id="3" xr3:uid="{64767BFC-F6FF-4CB0-B05C-83E4FE377C71}" name="Nro" dataDxfId="0"/>
    <tableColumn id="4" xr3:uid="{D67E7ADF-3BE3-493D-8128-150DD7068BD9}" name="Gerencia">
      <calculatedColumnFormula>VLOOKUP(A2,DataUsuario!B:D,2,FALSE)</calculatedColumnFormula>
    </tableColumn>
    <tableColumn id="5" xr3:uid="{F985287B-41EF-4285-A3A4-C694634F7A33}" name="Area">
      <calculatedColumnFormula>VLOOKUP(A2,DataUsuario!B:D,3,FALSE)</calculatedColumnFormula>
    </tableColumn>
    <tableColumn id="6" xr3:uid="{D9AA3758-DC9C-4A0B-B3E0-93C0D5AED715}" name="Columna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00C819-D75B-43FA-B792-95EA8CA55773}" name="PivoteServicios" displayName="PivoteServicios" ref="A15:B20" totalsRowShown="0">
  <autoFilter ref="A15:B20" xr:uid="{6700C819-D75B-43FA-B792-95EA8CA55773}"/>
  <sortState xmlns:xlrd2="http://schemas.microsoft.com/office/spreadsheetml/2017/richdata2" ref="A16:B20">
    <sortCondition descending="1" ref="B15:B20"/>
  </sortState>
  <tableColumns count="2">
    <tableColumn id="1" xr3:uid="{7848AB58-ECDF-44D4-8A4B-1F6EEC515A53}" name="Servicios"/>
    <tableColumn id="2" xr3:uid="{F394C6E6-D8D8-448B-AD94-07512198DA4B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69F4C92-FE7B-4868-8707-89B6C63C135A}" name="PivoteGerencias" displayName="PivoteGerencias" ref="L15:M20" totalsRowShown="0">
  <autoFilter ref="L15:M20" xr:uid="{E69F4C92-FE7B-4868-8707-89B6C63C135A}"/>
  <sortState xmlns:xlrd2="http://schemas.microsoft.com/office/spreadsheetml/2017/richdata2" ref="L16:M20">
    <sortCondition descending="1" ref="M15:M20"/>
  </sortState>
  <tableColumns count="2">
    <tableColumn id="1" xr3:uid="{F1B1F737-C380-4FA9-9F1C-CFDC1B477E57}" name="Gerencias"/>
    <tableColumn id="2" xr3:uid="{84437F38-811C-427A-A2E0-CC04A72E329A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  <row r="201" spans="1:4" x14ac:dyDescent="0.3">
      <c r="A201" t="s">
        <v>581</v>
      </c>
      <c r="B201" s="145" t="s">
        <v>582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D202" sqref="D202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533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D202" sqref="D202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80"/>
      <c r="L1" s="180"/>
      <c r="M1" s="180"/>
      <c r="N1" s="180"/>
      <c r="O1" s="180"/>
      <c r="P1" s="180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>
        <v>4.4729999999999999</v>
      </c>
      <c r="K2" s="180"/>
      <c r="L2" s="180"/>
      <c r="M2" s="180"/>
      <c r="N2" s="180"/>
      <c r="O2" s="180"/>
      <c r="P2" s="180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79" t="s">
        <v>510</v>
      </c>
      <c r="N6" s="179"/>
      <c r="O6" s="179"/>
      <c r="P6" s="179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10">
        <f>COUNT(B2:J2)+2</f>
        <v>7</v>
      </c>
      <c r="L7" s="108" t="s">
        <v>508</v>
      </c>
      <c r="M7" t="s">
        <v>509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506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43" t="s">
        <v>511</v>
      </c>
    </row>
    <row r="13" spans="1:17" x14ac:dyDescent="0.3">
      <c r="M13" s="43" t="s">
        <v>512</v>
      </c>
    </row>
    <row r="14" spans="1:17" x14ac:dyDescent="0.3">
      <c r="M14" s="43" t="s">
        <v>513</v>
      </c>
    </row>
    <row r="16" spans="1:17" x14ac:dyDescent="0.3">
      <c r="K16" s="109" t="s">
        <v>506</v>
      </c>
      <c r="L16" s="108" t="s">
        <v>515</v>
      </c>
      <c r="M16" t="s">
        <v>514</v>
      </c>
    </row>
    <row r="18" spans="1:16" x14ac:dyDescent="0.3">
      <c r="B18" s="178" t="s">
        <v>456</v>
      </c>
    </row>
    <row r="19" spans="1:16" x14ac:dyDescent="0.3">
      <c r="B19" s="178"/>
    </row>
    <row r="26" spans="1:16" x14ac:dyDescent="0.3">
      <c r="K26" t="s">
        <v>507</v>
      </c>
      <c r="M26" s="179" t="s">
        <v>510</v>
      </c>
      <c r="N26" s="179"/>
      <c r="O26" s="179"/>
      <c r="P26" s="179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506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506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506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506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506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>
        <v>4.532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>
        <v>4.5119999999999996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>
        <v>4.4710000000000001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>
        <v>4.2880000000000003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>
        <v>4.5629999999999997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506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506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506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506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506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506</v>
      </c>
    </row>
    <row r="54" spans="1:6" ht="15" thickBot="1" x14ac:dyDescent="0.35">
      <c r="A54" s="125" t="s">
        <v>29</v>
      </c>
      <c r="B54" s="32" t="s">
        <v>533</v>
      </c>
      <c r="C54" s="32"/>
      <c r="D54" s="29"/>
      <c r="E54" s="32"/>
      <c r="F54" s="18" t="s">
        <v>506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506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506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506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506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506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506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506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506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506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506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506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506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506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506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506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506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506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506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506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506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506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506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506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506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506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506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506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506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506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506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506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506</v>
      </c>
    </row>
    <row r="89" spans="1:6" x14ac:dyDescent="0.3">
      <c r="A89" s="124" t="s">
        <v>45</v>
      </c>
      <c r="B89" s="124" t="s">
        <v>55</v>
      </c>
      <c r="F89" t="s">
        <v>506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D202" sqref="D202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L128"/>
  <sheetViews>
    <sheetView workbookViewId="0">
      <pane ySplit="1" topLeftCell="A2" activePane="bottomLeft" state="frozenSplit"/>
      <selection pane="bottomLeft" activeCell="K4" sqref="K4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1" width="9.21875" customWidth="1"/>
  </cols>
  <sheetData>
    <row r="1" spans="1:12" ht="15.6" x14ac:dyDescent="0.3">
      <c r="A1" s="181" t="s">
        <v>667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</row>
    <row r="3" spans="1:12" x14ac:dyDescent="0.3">
      <c r="A3" t="s">
        <v>583</v>
      </c>
      <c r="B3" t="s">
        <v>584</v>
      </c>
      <c r="C3" t="s">
        <v>585</v>
      </c>
      <c r="D3" t="s">
        <v>586</v>
      </c>
      <c r="E3" t="s">
        <v>57</v>
      </c>
      <c r="F3" s="108" t="s">
        <v>587</v>
      </c>
      <c r="G3" s="108" t="s">
        <v>588</v>
      </c>
      <c r="H3" s="108" t="s">
        <v>589</v>
      </c>
      <c r="I3" s="108" t="s">
        <v>590</v>
      </c>
      <c r="J3" s="108" t="s">
        <v>591</v>
      </c>
      <c r="K3" t="s">
        <v>592</v>
      </c>
    </row>
    <row r="4" spans="1:12" x14ac:dyDescent="0.3">
      <c r="A4">
        <v>466</v>
      </c>
      <c r="B4" s="155">
        <v>45622.5083101852</v>
      </c>
      <c r="C4" s="155">
        <v>45622.508900462999</v>
      </c>
      <c r="D4" t="s">
        <v>133</v>
      </c>
      <c r="E4" t="s">
        <v>132</v>
      </c>
      <c r="F4" t="s">
        <v>467</v>
      </c>
      <c r="G4" t="s">
        <v>468</v>
      </c>
      <c r="H4" t="s">
        <v>468</v>
      </c>
      <c r="I4" t="s">
        <v>468</v>
      </c>
      <c r="J4" t="s">
        <v>468</v>
      </c>
    </row>
    <row r="5" spans="1:12" x14ac:dyDescent="0.3">
      <c r="A5">
        <v>467</v>
      </c>
      <c r="B5" s="155">
        <v>45622.508958333303</v>
      </c>
      <c r="C5" s="155">
        <v>45622.511099536998</v>
      </c>
      <c r="D5" t="s">
        <v>397</v>
      </c>
      <c r="E5" t="s">
        <v>396</v>
      </c>
      <c r="F5" t="s">
        <v>468</v>
      </c>
      <c r="G5" t="s">
        <v>468</v>
      </c>
      <c r="H5" t="s">
        <v>467</v>
      </c>
      <c r="I5" t="s">
        <v>467</v>
      </c>
      <c r="J5" t="s">
        <v>468</v>
      </c>
      <c r="K5" t="s">
        <v>593</v>
      </c>
    </row>
    <row r="6" spans="1:12" x14ac:dyDescent="0.3">
      <c r="A6">
        <v>468</v>
      </c>
      <c r="B6" s="155">
        <v>45622.510972222197</v>
      </c>
      <c r="C6" s="155">
        <v>45622.514444444401</v>
      </c>
      <c r="D6" t="s">
        <v>92</v>
      </c>
      <c r="E6" t="s">
        <v>91</v>
      </c>
      <c r="F6" t="s">
        <v>594</v>
      </c>
      <c r="G6" t="s">
        <v>468</v>
      </c>
      <c r="H6" t="s">
        <v>468</v>
      </c>
      <c r="I6" t="s">
        <v>468</v>
      </c>
      <c r="J6" t="s">
        <v>468</v>
      </c>
      <c r="K6" t="s">
        <v>595</v>
      </c>
    </row>
    <row r="7" spans="1:12" x14ac:dyDescent="0.3">
      <c r="A7">
        <v>469</v>
      </c>
      <c r="B7" s="155">
        <v>45622.5135532407</v>
      </c>
      <c r="C7" s="155">
        <v>45622.515613425901</v>
      </c>
      <c r="D7" t="s">
        <v>213</v>
      </c>
      <c r="E7" t="s">
        <v>212</v>
      </c>
      <c r="F7" t="s">
        <v>467</v>
      </c>
      <c r="G7" t="s">
        <v>467</v>
      </c>
      <c r="H7" t="s">
        <v>467</v>
      </c>
      <c r="I7" t="s">
        <v>467</v>
      </c>
      <c r="J7" t="s">
        <v>467</v>
      </c>
      <c r="K7" t="s">
        <v>596</v>
      </c>
    </row>
    <row r="8" spans="1:12" x14ac:dyDescent="0.3">
      <c r="A8">
        <v>470</v>
      </c>
      <c r="B8" s="155">
        <v>45622.516550925902</v>
      </c>
      <c r="C8" s="155">
        <v>45622.517465277801</v>
      </c>
      <c r="D8" t="s">
        <v>520</v>
      </c>
      <c r="E8" t="s">
        <v>597</v>
      </c>
      <c r="F8" t="s">
        <v>468</v>
      </c>
      <c r="G8" t="s">
        <v>468</v>
      </c>
      <c r="H8" t="s">
        <v>594</v>
      </c>
      <c r="I8" t="s">
        <v>468</v>
      </c>
      <c r="J8" t="s">
        <v>468</v>
      </c>
      <c r="K8" t="s">
        <v>598</v>
      </c>
    </row>
    <row r="9" spans="1:12" x14ac:dyDescent="0.3">
      <c r="A9">
        <v>471</v>
      </c>
      <c r="B9" s="155">
        <v>45622.517430555599</v>
      </c>
      <c r="C9" s="155">
        <v>45622.517939814803</v>
      </c>
      <c r="D9" t="s">
        <v>145</v>
      </c>
      <c r="E9" t="s">
        <v>144</v>
      </c>
      <c r="F9" t="s">
        <v>594</v>
      </c>
      <c r="G9" t="s">
        <v>468</v>
      </c>
      <c r="H9" t="s">
        <v>594</v>
      </c>
      <c r="I9" t="s">
        <v>594</v>
      </c>
      <c r="J9" t="s">
        <v>594</v>
      </c>
    </row>
    <row r="10" spans="1:12" x14ac:dyDescent="0.3">
      <c r="A10">
        <v>472</v>
      </c>
      <c r="B10" s="155">
        <v>45622.524050925902</v>
      </c>
      <c r="C10" s="155">
        <v>45622.524456018502</v>
      </c>
      <c r="D10" t="s">
        <v>207</v>
      </c>
      <c r="E10" t="s">
        <v>206</v>
      </c>
      <c r="F10" t="s">
        <v>468</v>
      </c>
      <c r="G10" t="s">
        <v>468</v>
      </c>
      <c r="H10" t="s">
        <v>468</v>
      </c>
      <c r="I10" t="s">
        <v>468</v>
      </c>
      <c r="J10" t="s">
        <v>468</v>
      </c>
      <c r="K10" t="s">
        <v>599</v>
      </c>
    </row>
    <row r="11" spans="1:12" x14ac:dyDescent="0.3">
      <c r="A11">
        <v>473</v>
      </c>
      <c r="B11" s="155">
        <v>45622.5249652778</v>
      </c>
      <c r="C11" s="155">
        <v>45622.525706018503</v>
      </c>
      <c r="D11" t="s">
        <v>115</v>
      </c>
      <c r="E11" t="s">
        <v>114</v>
      </c>
      <c r="F11" t="s">
        <v>467</v>
      </c>
      <c r="G11" t="s">
        <v>468</v>
      </c>
      <c r="H11" t="s">
        <v>594</v>
      </c>
      <c r="I11" t="s">
        <v>467</v>
      </c>
      <c r="J11" t="s">
        <v>468</v>
      </c>
    </row>
    <row r="12" spans="1:12" x14ac:dyDescent="0.3">
      <c r="A12">
        <v>474</v>
      </c>
      <c r="B12" s="155">
        <v>45622.5313425926</v>
      </c>
      <c r="C12" s="155">
        <v>45622.532858796301</v>
      </c>
      <c r="D12" t="s">
        <v>254</v>
      </c>
      <c r="E12" t="s">
        <v>253</v>
      </c>
      <c r="F12" t="s">
        <v>467</v>
      </c>
      <c r="G12" t="s">
        <v>468</v>
      </c>
      <c r="H12" t="s">
        <v>467</v>
      </c>
      <c r="I12" t="s">
        <v>467</v>
      </c>
      <c r="J12" t="s">
        <v>467</v>
      </c>
      <c r="K12" t="s">
        <v>600</v>
      </c>
    </row>
    <row r="13" spans="1:12" x14ac:dyDescent="0.3">
      <c r="A13">
        <v>475</v>
      </c>
      <c r="B13" s="155">
        <v>45622.543356481503</v>
      </c>
      <c r="C13" s="155">
        <v>45622.544479166703</v>
      </c>
      <c r="D13" t="s">
        <v>601</v>
      </c>
      <c r="E13" t="s">
        <v>521</v>
      </c>
      <c r="F13" t="s">
        <v>467</v>
      </c>
      <c r="G13" t="s">
        <v>467</v>
      </c>
      <c r="H13" t="s">
        <v>467</v>
      </c>
      <c r="I13" t="s">
        <v>469</v>
      </c>
      <c r="J13" t="s">
        <v>469</v>
      </c>
    </row>
    <row r="14" spans="1:12" x14ac:dyDescent="0.3">
      <c r="A14">
        <v>476</v>
      </c>
      <c r="B14" s="155">
        <v>45622.508553240703</v>
      </c>
      <c r="C14" s="155">
        <v>45622.547754629602</v>
      </c>
      <c r="D14" t="s">
        <v>285</v>
      </c>
      <c r="E14" t="s">
        <v>284</v>
      </c>
      <c r="F14" t="s">
        <v>594</v>
      </c>
      <c r="G14" t="s">
        <v>467</v>
      </c>
      <c r="H14" t="s">
        <v>468</v>
      </c>
      <c r="I14" t="s">
        <v>594</v>
      </c>
      <c r="J14" t="s">
        <v>468</v>
      </c>
    </row>
    <row r="15" spans="1:12" x14ac:dyDescent="0.3">
      <c r="A15">
        <v>477</v>
      </c>
      <c r="B15" s="155">
        <v>45622.566435185203</v>
      </c>
      <c r="C15" s="155">
        <v>45622.5676157407</v>
      </c>
      <c r="D15" t="s">
        <v>602</v>
      </c>
      <c r="E15" t="s">
        <v>522</v>
      </c>
      <c r="F15" t="s">
        <v>468</v>
      </c>
      <c r="G15" t="s">
        <v>468</v>
      </c>
      <c r="H15" t="s">
        <v>468</v>
      </c>
      <c r="I15" t="s">
        <v>468</v>
      </c>
      <c r="J15" t="s">
        <v>468</v>
      </c>
    </row>
    <row r="16" spans="1:12" x14ac:dyDescent="0.3">
      <c r="A16">
        <v>478</v>
      </c>
      <c r="B16" s="155">
        <v>45622.567048611098</v>
      </c>
      <c r="C16" s="155">
        <v>45622.567997685197</v>
      </c>
      <c r="D16" t="s">
        <v>431</v>
      </c>
      <c r="E16" t="s">
        <v>430</v>
      </c>
      <c r="F16" t="s">
        <v>470</v>
      </c>
      <c r="G16" t="s">
        <v>467</v>
      </c>
      <c r="H16" t="s">
        <v>467</v>
      </c>
      <c r="I16" t="s">
        <v>467</v>
      </c>
      <c r="J16" t="s">
        <v>468</v>
      </c>
    </row>
    <row r="17" spans="1:11" x14ac:dyDescent="0.3">
      <c r="A17">
        <v>479</v>
      </c>
      <c r="B17" s="155">
        <v>45622.602476851796</v>
      </c>
      <c r="C17" s="155">
        <v>45622.603321759299</v>
      </c>
      <c r="D17" t="s">
        <v>318</v>
      </c>
      <c r="E17" t="s">
        <v>317</v>
      </c>
      <c r="F17" t="s">
        <v>594</v>
      </c>
      <c r="G17" t="s">
        <v>468</v>
      </c>
      <c r="H17" t="s">
        <v>468</v>
      </c>
      <c r="I17" t="s">
        <v>469</v>
      </c>
      <c r="J17" t="s">
        <v>468</v>
      </c>
    </row>
    <row r="18" spans="1:11" x14ac:dyDescent="0.3">
      <c r="A18">
        <v>480</v>
      </c>
      <c r="B18" s="155">
        <v>45622.602997685201</v>
      </c>
      <c r="C18" s="155">
        <v>45622.603425925903</v>
      </c>
      <c r="D18" t="s">
        <v>176</v>
      </c>
      <c r="E18" t="s">
        <v>175</v>
      </c>
      <c r="F18" t="s">
        <v>594</v>
      </c>
      <c r="G18" t="s">
        <v>468</v>
      </c>
      <c r="H18" t="s">
        <v>468</v>
      </c>
      <c r="I18" t="s">
        <v>468</v>
      </c>
      <c r="J18" t="s">
        <v>468</v>
      </c>
    </row>
    <row r="19" spans="1:11" x14ac:dyDescent="0.3">
      <c r="A19">
        <v>481</v>
      </c>
      <c r="B19" s="155">
        <v>45622.602384259299</v>
      </c>
      <c r="C19" s="155">
        <v>45622.604861111096</v>
      </c>
      <c r="D19" t="s">
        <v>312</v>
      </c>
      <c r="E19" t="s">
        <v>311</v>
      </c>
      <c r="F19" t="s">
        <v>594</v>
      </c>
      <c r="G19" t="s">
        <v>468</v>
      </c>
      <c r="H19" t="s">
        <v>468</v>
      </c>
      <c r="I19" t="s">
        <v>469</v>
      </c>
      <c r="J19" t="s">
        <v>468</v>
      </c>
      <c r="K19" t="s">
        <v>603</v>
      </c>
    </row>
    <row r="20" spans="1:11" x14ac:dyDescent="0.3">
      <c r="A20">
        <v>482</v>
      </c>
      <c r="B20" s="155">
        <v>45622.620300925897</v>
      </c>
      <c r="C20" s="155">
        <v>45622.6233333333</v>
      </c>
      <c r="D20" t="s">
        <v>604</v>
      </c>
      <c r="E20" t="s">
        <v>523</v>
      </c>
      <c r="F20" t="s">
        <v>468</v>
      </c>
      <c r="G20" t="s">
        <v>469</v>
      </c>
      <c r="H20" t="s">
        <v>468</v>
      </c>
      <c r="I20" t="s">
        <v>467</v>
      </c>
      <c r="J20" t="s">
        <v>468</v>
      </c>
    </row>
    <row r="21" spans="1:11" x14ac:dyDescent="0.3">
      <c r="A21">
        <v>483</v>
      </c>
      <c r="B21" s="155">
        <v>45622.622164351902</v>
      </c>
      <c r="C21" s="155">
        <v>45622.6234259259</v>
      </c>
      <c r="D21" t="s">
        <v>97</v>
      </c>
      <c r="E21" t="s">
        <v>96</v>
      </c>
      <c r="F21" t="s">
        <v>594</v>
      </c>
      <c r="G21" t="s">
        <v>468</v>
      </c>
      <c r="H21" t="s">
        <v>468</v>
      </c>
      <c r="I21" t="s">
        <v>468</v>
      </c>
      <c r="J21" t="s">
        <v>468</v>
      </c>
      <c r="K21" t="s">
        <v>605</v>
      </c>
    </row>
    <row r="22" spans="1:11" x14ac:dyDescent="0.3">
      <c r="A22">
        <v>484</v>
      </c>
      <c r="B22" s="155">
        <v>45622.630555555603</v>
      </c>
      <c r="C22" s="155">
        <v>45622.6315509259</v>
      </c>
      <c r="D22" t="s">
        <v>299</v>
      </c>
      <c r="E22" t="s">
        <v>298</v>
      </c>
      <c r="F22" t="s">
        <v>594</v>
      </c>
      <c r="G22" t="s">
        <v>467</v>
      </c>
      <c r="H22" t="s">
        <v>467</v>
      </c>
      <c r="I22" t="s">
        <v>469</v>
      </c>
      <c r="J22" t="s">
        <v>467</v>
      </c>
    </row>
    <row r="23" spans="1:11" x14ac:dyDescent="0.3">
      <c r="A23">
        <v>485</v>
      </c>
      <c r="B23" s="155">
        <v>45622.624930555598</v>
      </c>
      <c r="C23" s="155">
        <v>45622.640057870398</v>
      </c>
      <c r="D23" t="s">
        <v>606</v>
      </c>
      <c r="E23" t="s">
        <v>239</v>
      </c>
      <c r="F23" t="s">
        <v>468</v>
      </c>
      <c r="G23" t="s">
        <v>467</v>
      </c>
      <c r="H23" t="s">
        <v>467</v>
      </c>
      <c r="I23" t="s">
        <v>467</v>
      </c>
      <c r="J23" t="s">
        <v>468</v>
      </c>
      <c r="K23" t="s">
        <v>607</v>
      </c>
    </row>
    <row r="24" spans="1:11" x14ac:dyDescent="0.3">
      <c r="A24">
        <v>486</v>
      </c>
      <c r="B24" s="155">
        <v>45622.649826388901</v>
      </c>
      <c r="C24" s="155">
        <v>45622.652222222197</v>
      </c>
      <c r="D24" t="s">
        <v>326</v>
      </c>
      <c r="E24" t="s">
        <v>325</v>
      </c>
      <c r="F24" t="s">
        <v>468</v>
      </c>
      <c r="G24" t="s">
        <v>467</v>
      </c>
      <c r="H24" t="s">
        <v>467</v>
      </c>
      <c r="I24" t="s">
        <v>469</v>
      </c>
      <c r="J24" t="s">
        <v>468</v>
      </c>
      <c r="K24" t="s">
        <v>608</v>
      </c>
    </row>
    <row r="25" spans="1:11" x14ac:dyDescent="0.3">
      <c r="A25">
        <v>487</v>
      </c>
      <c r="B25" s="155">
        <v>45622.654884259297</v>
      </c>
      <c r="C25" s="155">
        <v>45622.655324074098</v>
      </c>
      <c r="D25" t="s">
        <v>609</v>
      </c>
      <c r="E25" t="s">
        <v>524</v>
      </c>
      <c r="F25" t="s">
        <v>467</v>
      </c>
      <c r="G25" t="s">
        <v>467</v>
      </c>
      <c r="H25" t="s">
        <v>467</v>
      </c>
      <c r="I25" t="s">
        <v>467</v>
      </c>
      <c r="J25" t="s">
        <v>467</v>
      </c>
    </row>
    <row r="26" spans="1:11" x14ac:dyDescent="0.3">
      <c r="A26">
        <v>488</v>
      </c>
      <c r="B26" s="155">
        <v>45622.682685185202</v>
      </c>
      <c r="C26" s="155">
        <v>45622.683136574102</v>
      </c>
      <c r="D26" t="s">
        <v>245</v>
      </c>
      <c r="E26" t="s">
        <v>244</v>
      </c>
      <c r="F26" t="s">
        <v>468</v>
      </c>
      <c r="G26" t="s">
        <v>468</v>
      </c>
      <c r="H26" t="s">
        <v>468</v>
      </c>
      <c r="I26" t="s">
        <v>468</v>
      </c>
      <c r="J26" t="s">
        <v>468</v>
      </c>
    </row>
    <row r="27" spans="1:11" x14ac:dyDescent="0.3">
      <c r="A27">
        <v>489</v>
      </c>
      <c r="B27" s="155">
        <v>45622.6847106481</v>
      </c>
      <c r="C27" s="155">
        <v>45622.687256944402</v>
      </c>
      <c r="D27" t="s">
        <v>287</v>
      </c>
      <c r="E27" t="s">
        <v>286</v>
      </c>
      <c r="F27" t="s">
        <v>468</v>
      </c>
      <c r="G27" t="s">
        <v>468</v>
      </c>
      <c r="H27" t="s">
        <v>468</v>
      </c>
      <c r="I27" t="s">
        <v>467</v>
      </c>
      <c r="J27" t="s">
        <v>468</v>
      </c>
      <c r="K27" t="s">
        <v>610</v>
      </c>
    </row>
    <row r="28" spans="1:11" x14ac:dyDescent="0.3">
      <c r="A28">
        <v>490</v>
      </c>
      <c r="B28" s="155">
        <v>45622.667615740698</v>
      </c>
      <c r="C28" s="155">
        <v>45622.690231481502</v>
      </c>
      <c r="D28" t="s">
        <v>439</v>
      </c>
      <c r="E28" t="s">
        <v>438</v>
      </c>
      <c r="F28" t="s">
        <v>594</v>
      </c>
      <c r="G28" t="s">
        <v>468</v>
      </c>
      <c r="H28" t="s">
        <v>468</v>
      </c>
      <c r="I28" t="s">
        <v>468</v>
      </c>
      <c r="J28" t="s">
        <v>468</v>
      </c>
    </row>
    <row r="29" spans="1:11" x14ac:dyDescent="0.3">
      <c r="A29">
        <v>491</v>
      </c>
      <c r="B29" s="155">
        <v>45622.713773148098</v>
      </c>
      <c r="C29" s="155">
        <v>45622.714490740698</v>
      </c>
      <c r="D29" t="s">
        <v>95</v>
      </c>
      <c r="E29" t="s">
        <v>94</v>
      </c>
      <c r="F29" t="s">
        <v>467</v>
      </c>
      <c r="G29" t="s">
        <v>468</v>
      </c>
      <c r="H29" t="s">
        <v>467</v>
      </c>
      <c r="I29" t="s">
        <v>467</v>
      </c>
      <c r="J29" t="s">
        <v>468</v>
      </c>
    </row>
    <row r="30" spans="1:11" x14ac:dyDescent="0.3">
      <c r="A30">
        <v>492</v>
      </c>
      <c r="B30" s="155">
        <v>45623.305416666699</v>
      </c>
      <c r="C30" s="155">
        <v>45623.3062615741</v>
      </c>
      <c r="D30" t="s">
        <v>328</v>
      </c>
      <c r="E30" t="s">
        <v>327</v>
      </c>
      <c r="F30" t="s">
        <v>468</v>
      </c>
      <c r="G30" t="s">
        <v>468</v>
      </c>
      <c r="H30" t="s">
        <v>468</v>
      </c>
      <c r="I30" t="s">
        <v>468</v>
      </c>
      <c r="J30" t="s">
        <v>468</v>
      </c>
    </row>
    <row r="31" spans="1:11" x14ac:dyDescent="0.3">
      <c r="A31">
        <v>494</v>
      </c>
      <c r="B31" s="155">
        <v>45623.333807870396</v>
      </c>
      <c r="C31" s="155">
        <v>45623.3348148148</v>
      </c>
      <c r="D31" t="s">
        <v>322</v>
      </c>
      <c r="E31" t="s">
        <v>321</v>
      </c>
      <c r="F31" t="s">
        <v>468</v>
      </c>
      <c r="G31" t="s">
        <v>468</v>
      </c>
      <c r="H31" t="s">
        <v>468</v>
      </c>
      <c r="I31" t="s">
        <v>468</v>
      </c>
      <c r="J31" t="s">
        <v>468</v>
      </c>
      <c r="K31" t="s">
        <v>611</v>
      </c>
    </row>
    <row r="32" spans="1:11" x14ac:dyDescent="0.3">
      <c r="A32">
        <v>495</v>
      </c>
      <c r="B32" s="155">
        <v>45623.337430555599</v>
      </c>
      <c r="C32" s="155">
        <v>45623.338356481501</v>
      </c>
      <c r="D32" t="s">
        <v>612</v>
      </c>
      <c r="E32" t="s">
        <v>363</v>
      </c>
      <c r="F32" t="s">
        <v>468</v>
      </c>
      <c r="G32" t="s">
        <v>467</v>
      </c>
      <c r="H32" t="s">
        <v>468</v>
      </c>
      <c r="I32" t="s">
        <v>467</v>
      </c>
      <c r="J32" t="s">
        <v>467</v>
      </c>
    </row>
    <row r="33" spans="1:11" x14ac:dyDescent="0.3">
      <c r="A33">
        <v>496</v>
      </c>
      <c r="B33" s="155">
        <v>45623.340983796297</v>
      </c>
      <c r="C33" s="155">
        <v>45623.342210648101</v>
      </c>
      <c r="D33" t="s">
        <v>613</v>
      </c>
      <c r="E33" t="s">
        <v>140</v>
      </c>
      <c r="F33" t="s">
        <v>468</v>
      </c>
      <c r="G33" t="s">
        <v>468</v>
      </c>
      <c r="H33" t="s">
        <v>467</v>
      </c>
      <c r="I33" t="s">
        <v>467</v>
      </c>
      <c r="J33" t="s">
        <v>468</v>
      </c>
    </row>
    <row r="34" spans="1:11" x14ac:dyDescent="0.3">
      <c r="A34">
        <v>497</v>
      </c>
      <c r="B34" s="155">
        <v>45623.3573958333</v>
      </c>
      <c r="C34" s="155">
        <v>45623.359525462998</v>
      </c>
      <c r="D34" t="s">
        <v>376</v>
      </c>
      <c r="E34" t="s">
        <v>375</v>
      </c>
      <c r="F34" t="s">
        <v>468</v>
      </c>
      <c r="G34" t="s">
        <v>468</v>
      </c>
      <c r="H34" t="s">
        <v>468</v>
      </c>
      <c r="I34" t="s">
        <v>468</v>
      </c>
      <c r="J34" t="s">
        <v>468</v>
      </c>
    </row>
    <row r="35" spans="1:11" x14ac:dyDescent="0.3">
      <c r="A35">
        <v>498</v>
      </c>
      <c r="B35" s="155">
        <v>45623.3665162037</v>
      </c>
      <c r="C35" s="155">
        <v>45623.366898148102</v>
      </c>
      <c r="D35" t="s">
        <v>413</v>
      </c>
      <c r="E35" t="s">
        <v>412</v>
      </c>
      <c r="F35" t="s">
        <v>468</v>
      </c>
      <c r="G35" t="s">
        <v>468</v>
      </c>
      <c r="H35" t="s">
        <v>468</v>
      </c>
      <c r="I35" t="s">
        <v>468</v>
      </c>
      <c r="J35" t="s">
        <v>468</v>
      </c>
    </row>
    <row r="36" spans="1:11" x14ac:dyDescent="0.3">
      <c r="A36">
        <v>499</v>
      </c>
      <c r="B36" s="155">
        <v>45623.3666898148</v>
      </c>
      <c r="C36" s="155">
        <v>45623.367256944402</v>
      </c>
      <c r="D36" t="s">
        <v>614</v>
      </c>
      <c r="E36" t="s">
        <v>525</v>
      </c>
      <c r="F36" t="s">
        <v>594</v>
      </c>
      <c r="G36" t="s">
        <v>468</v>
      </c>
      <c r="H36" t="s">
        <v>468</v>
      </c>
      <c r="I36" t="s">
        <v>468</v>
      </c>
      <c r="J36" t="s">
        <v>468</v>
      </c>
    </row>
    <row r="37" spans="1:11" x14ac:dyDescent="0.3">
      <c r="A37">
        <v>500</v>
      </c>
      <c r="B37" s="155">
        <v>45623.435694444401</v>
      </c>
      <c r="C37" s="155">
        <v>45623.436608796299</v>
      </c>
      <c r="D37" t="s">
        <v>65</v>
      </c>
      <c r="E37" t="s">
        <v>64</v>
      </c>
      <c r="F37" t="s">
        <v>468</v>
      </c>
      <c r="G37" t="s">
        <v>467</v>
      </c>
      <c r="H37" t="s">
        <v>468</v>
      </c>
      <c r="I37" t="s">
        <v>468</v>
      </c>
      <c r="J37" t="s">
        <v>468</v>
      </c>
      <c r="K37" t="s">
        <v>615</v>
      </c>
    </row>
    <row r="38" spans="1:11" x14ac:dyDescent="0.3">
      <c r="A38">
        <v>501</v>
      </c>
      <c r="B38" s="155">
        <v>45623.441331018497</v>
      </c>
      <c r="C38" s="155">
        <v>45623.441539351901</v>
      </c>
      <c r="D38" t="s">
        <v>85</v>
      </c>
      <c r="E38" t="s">
        <v>84</v>
      </c>
      <c r="F38" t="s">
        <v>468</v>
      </c>
      <c r="G38" t="s">
        <v>468</v>
      </c>
      <c r="H38" t="s">
        <v>468</v>
      </c>
      <c r="I38" t="s">
        <v>468</v>
      </c>
      <c r="J38" t="s">
        <v>468</v>
      </c>
    </row>
    <row r="39" spans="1:11" x14ac:dyDescent="0.3">
      <c r="A39">
        <v>502</v>
      </c>
      <c r="B39" s="155">
        <v>45623.450277777803</v>
      </c>
      <c r="C39" s="155">
        <v>45623.450972222199</v>
      </c>
      <c r="D39" t="s">
        <v>350</v>
      </c>
      <c r="E39" t="s">
        <v>616</v>
      </c>
      <c r="F39" t="s">
        <v>468</v>
      </c>
      <c r="G39" t="s">
        <v>467</v>
      </c>
      <c r="H39" t="s">
        <v>467</v>
      </c>
      <c r="I39" t="s">
        <v>467</v>
      </c>
      <c r="J39" t="s">
        <v>468</v>
      </c>
    </row>
    <row r="40" spans="1:11" x14ac:dyDescent="0.3">
      <c r="A40">
        <v>504</v>
      </c>
      <c r="B40" s="155">
        <v>45623.588020833296</v>
      </c>
      <c r="C40" s="155">
        <v>45623.588888888902</v>
      </c>
      <c r="D40" t="s">
        <v>120</v>
      </c>
      <c r="E40" t="s">
        <v>119</v>
      </c>
      <c r="F40" t="s">
        <v>467</v>
      </c>
      <c r="G40" t="s">
        <v>467</v>
      </c>
      <c r="H40" t="s">
        <v>467</v>
      </c>
      <c r="I40" t="s">
        <v>467</v>
      </c>
      <c r="J40" t="s">
        <v>467</v>
      </c>
    </row>
    <row r="41" spans="1:11" x14ac:dyDescent="0.3">
      <c r="A41">
        <v>505</v>
      </c>
      <c r="B41" s="155">
        <v>45623.588923611103</v>
      </c>
      <c r="C41" s="155">
        <v>45623.590868055602</v>
      </c>
      <c r="D41" t="s">
        <v>617</v>
      </c>
      <c r="E41" t="s">
        <v>231</v>
      </c>
      <c r="F41" t="s">
        <v>594</v>
      </c>
      <c r="G41" t="s">
        <v>467</v>
      </c>
      <c r="H41" t="s">
        <v>467</v>
      </c>
      <c r="I41" t="s">
        <v>467</v>
      </c>
      <c r="J41" t="s">
        <v>594</v>
      </c>
    </row>
    <row r="42" spans="1:11" x14ac:dyDescent="0.3">
      <c r="A42">
        <v>506</v>
      </c>
      <c r="B42" s="155">
        <v>45623.592199074097</v>
      </c>
      <c r="C42" s="155">
        <v>45623.592557870397</v>
      </c>
      <c r="D42" t="s">
        <v>345</v>
      </c>
      <c r="E42" t="s">
        <v>344</v>
      </c>
      <c r="F42" t="s">
        <v>594</v>
      </c>
      <c r="G42" t="s">
        <v>467</v>
      </c>
      <c r="H42" t="s">
        <v>467</v>
      </c>
      <c r="I42" t="s">
        <v>467</v>
      </c>
      <c r="J42" t="s">
        <v>467</v>
      </c>
    </row>
    <row r="43" spans="1:11" x14ac:dyDescent="0.3">
      <c r="A43">
        <v>507</v>
      </c>
      <c r="B43" s="155">
        <v>45623.5922222222</v>
      </c>
      <c r="C43" s="155">
        <v>45623.594780092601</v>
      </c>
      <c r="D43" t="s">
        <v>618</v>
      </c>
      <c r="E43" t="s">
        <v>619</v>
      </c>
      <c r="F43" t="s">
        <v>467</v>
      </c>
      <c r="G43" t="s">
        <v>467</v>
      </c>
      <c r="H43" t="s">
        <v>467</v>
      </c>
      <c r="I43" t="s">
        <v>467</v>
      </c>
      <c r="J43" t="s">
        <v>467</v>
      </c>
    </row>
    <row r="44" spans="1:11" x14ac:dyDescent="0.3">
      <c r="A44">
        <v>508</v>
      </c>
      <c r="B44" s="155">
        <v>45623.597407407397</v>
      </c>
      <c r="C44" s="155">
        <v>45623.598159722198</v>
      </c>
      <c r="D44" t="s">
        <v>183</v>
      </c>
      <c r="E44" t="s">
        <v>182</v>
      </c>
      <c r="F44" t="s">
        <v>594</v>
      </c>
      <c r="G44" t="s">
        <v>468</v>
      </c>
      <c r="H44" t="s">
        <v>468</v>
      </c>
      <c r="I44" t="s">
        <v>467</v>
      </c>
      <c r="J44" t="s">
        <v>468</v>
      </c>
    </row>
    <row r="45" spans="1:11" x14ac:dyDescent="0.3">
      <c r="A45">
        <v>509</v>
      </c>
      <c r="B45" s="155">
        <v>45623.622673611098</v>
      </c>
      <c r="C45" s="155">
        <v>45623.625</v>
      </c>
      <c r="D45" t="s">
        <v>82</v>
      </c>
      <c r="E45" t="s">
        <v>81</v>
      </c>
      <c r="F45" t="s">
        <v>467</v>
      </c>
      <c r="G45" t="s">
        <v>467</v>
      </c>
      <c r="H45" t="s">
        <v>469</v>
      </c>
      <c r="I45" t="s">
        <v>467</v>
      </c>
      <c r="J45" t="s">
        <v>467</v>
      </c>
      <c r="K45" t="s">
        <v>620</v>
      </c>
    </row>
    <row r="46" spans="1:11" x14ac:dyDescent="0.3">
      <c r="A46">
        <v>510</v>
      </c>
      <c r="B46" s="155">
        <v>45623.650879629597</v>
      </c>
      <c r="C46" s="155">
        <v>45623.651319444398</v>
      </c>
      <c r="D46" t="s">
        <v>224</v>
      </c>
      <c r="E46" t="s">
        <v>223</v>
      </c>
      <c r="F46" t="s">
        <v>594</v>
      </c>
      <c r="G46" t="s">
        <v>468</v>
      </c>
      <c r="H46" t="s">
        <v>468</v>
      </c>
      <c r="I46" t="s">
        <v>467</v>
      </c>
      <c r="J46" t="s">
        <v>468</v>
      </c>
    </row>
    <row r="47" spans="1:11" x14ac:dyDescent="0.3">
      <c r="A47">
        <v>511</v>
      </c>
      <c r="B47" s="155">
        <v>45623.651979166701</v>
      </c>
      <c r="C47" s="155">
        <v>45623.652569444399</v>
      </c>
      <c r="D47" t="s">
        <v>152</v>
      </c>
      <c r="E47" t="s">
        <v>151</v>
      </c>
      <c r="F47" t="s">
        <v>468</v>
      </c>
      <c r="G47" t="s">
        <v>468</v>
      </c>
      <c r="H47" t="s">
        <v>468</v>
      </c>
      <c r="I47" t="s">
        <v>468</v>
      </c>
      <c r="J47" t="s">
        <v>468</v>
      </c>
      <c r="K47" t="s">
        <v>621</v>
      </c>
    </row>
    <row r="48" spans="1:11" x14ac:dyDescent="0.3">
      <c r="A48">
        <v>512</v>
      </c>
      <c r="B48" s="155">
        <v>45623.652650463002</v>
      </c>
      <c r="C48" s="155">
        <v>45623.654444444401</v>
      </c>
      <c r="D48" t="s">
        <v>622</v>
      </c>
      <c r="E48" t="s">
        <v>68</v>
      </c>
      <c r="F48" t="s">
        <v>468</v>
      </c>
      <c r="G48" t="s">
        <v>467</v>
      </c>
      <c r="H48" t="s">
        <v>468</v>
      </c>
      <c r="I48" t="s">
        <v>467</v>
      </c>
      <c r="J48" t="s">
        <v>468</v>
      </c>
      <c r="K48" s="108" t="s">
        <v>623</v>
      </c>
    </row>
    <row r="49" spans="1:11" x14ac:dyDescent="0.3">
      <c r="A49">
        <v>513</v>
      </c>
      <c r="B49" s="155">
        <v>45623.700451388897</v>
      </c>
      <c r="C49" s="155">
        <v>45623.701041666704</v>
      </c>
      <c r="D49" t="s">
        <v>365</v>
      </c>
      <c r="E49" t="s">
        <v>364</v>
      </c>
      <c r="F49" t="s">
        <v>467</v>
      </c>
      <c r="G49" t="s">
        <v>467</v>
      </c>
      <c r="H49" t="s">
        <v>467</v>
      </c>
      <c r="I49" t="s">
        <v>467</v>
      </c>
      <c r="J49" t="s">
        <v>467</v>
      </c>
    </row>
    <row r="50" spans="1:11" x14ac:dyDescent="0.3">
      <c r="A50">
        <v>514</v>
      </c>
      <c r="B50" s="155">
        <v>45623.755763888897</v>
      </c>
      <c r="C50" s="155">
        <v>45623.756273148101</v>
      </c>
      <c r="D50" t="s">
        <v>215</v>
      </c>
      <c r="E50" t="s">
        <v>214</v>
      </c>
      <c r="F50" t="s">
        <v>468</v>
      </c>
      <c r="G50" t="s">
        <v>468</v>
      </c>
      <c r="H50" t="s">
        <v>468</v>
      </c>
      <c r="I50" t="s">
        <v>467</v>
      </c>
      <c r="J50" t="s">
        <v>468</v>
      </c>
      <c r="K50" t="s">
        <v>624</v>
      </c>
    </row>
    <row r="51" spans="1:11" x14ac:dyDescent="0.3">
      <c r="A51">
        <v>515</v>
      </c>
      <c r="B51" s="155">
        <v>45624.328321759298</v>
      </c>
      <c r="C51" s="155">
        <v>45624.328692129602</v>
      </c>
      <c r="D51" t="s">
        <v>374</v>
      </c>
      <c r="E51" t="s">
        <v>625</v>
      </c>
      <c r="F51" t="s">
        <v>467</v>
      </c>
      <c r="G51" t="s">
        <v>467</v>
      </c>
      <c r="H51" t="s">
        <v>467</v>
      </c>
      <c r="I51" t="s">
        <v>467</v>
      </c>
      <c r="J51" t="s">
        <v>467</v>
      </c>
    </row>
    <row r="52" spans="1:11" x14ac:dyDescent="0.3">
      <c r="A52">
        <v>516</v>
      </c>
      <c r="B52" s="155">
        <v>45624.3278125</v>
      </c>
      <c r="C52" s="155">
        <v>45624.331342592603</v>
      </c>
      <c r="D52" t="s">
        <v>316</v>
      </c>
      <c r="E52" t="s">
        <v>315</v>
      </c>
      <c r="F52" t="s">
        <v>594</v>
      </c>
      <c r="G52" t="s">
        <v>468</v>
      </c>
      <c r="H52" t="s">
        <v>468</v>
      </c>
      <c r="I52" t="s">
        <v>468</v>
      </c>
      <c r="J52" t="s">
        <v>468</v>
      </c>
    </row>
    <row r="53" spans="1:11" x14ac:dyDescent="0.3">
      <c r="A53">
        <v>517</v>
      </c>
      <c r="B53" s="155">
        <v>45624.3368402778</v>
      </c>
      <c r="C53" s="155">
        <v>45624.3383680556</v>
      </c>
      <c r="D53" t="s">
        <v>626</v>
      </c>
      <c r="E53" t="s">
        <v>323</v>
      </c>
      <c r="F53" t="s">
        <v>594</v>
      </c>
      <c r="G53" t="s">
        <v>467</v>
      </c>
      <c r="H53" t="s">
        <v>467</v>
      </c>
      <c r="I53" t="s">
        <v>467</v>
      </c>
      <c r="J53" t="s">
        <v>468</v>
      </c>
    </row>
    <row r="54" spans="1:11" x14ac:dyDescent="0.3">
      <c r="A54">
        <v>518</v>
      </c>
      <c r="B54" s="155">
        <v>45624.337766203702</v>
      </c>
      <c r="C54" s="155">
        <v>45624.338854166701</v>
      </c>
      <c r="D54" t="s">
        <v>423</v>
      </c>
      <c r="E54" t="s">
        <v>422</v>
      </c>
      <c r="F54" t="s">
        <v>467</v>
      </c>
      <c r="G54" t="s">
        <v>467</v>
      </c>
      <c r="H54" t="s">
        <v>468</v>
      </c>
      <c r="I54" t="s">
        <v>467</v>
      </c>
      <c r="J54" t="s">
        <v>468</v>
      </c>
      <c r="K54" t="s">
        <v>627</v>
      </c>
    </row>
    <row r="55" spans="1:11" x14ac:dyDescent="0.3">
      <c r="A55">
        <v>519</v>
      </c>
      <c r="B55" s="155">
        <v>45624.339722222197</v>
      </c>
      <c r="C55" s="155">
        <v>45624.340416666702</v>
      </c>
      <c r="D55" t="s">
        <v>387</v>
      </c>
      <c r="E55" t="s">
        <v>386</v>
      </c>
      <c r="F55" t="s">
        <v>594</v>
      </c>
      <c r="G55" t="s">
        <v>467</v>
      </c>
      <c r="H55" t="s">
        <v>467</v>
      </c>
      <c r="I55" t="s">
        <v>467</v>
      </c>
      <c r="J55" t="s">
        <v>468</v>
      </c>
    </row>
    <row r="56" spans="1:11" x14ac:dyDescent="0.3">
      <c r="A56">
        <v>520</v>
      </c>
      <c r="B56" s="155">
        <v>45624.341493055603</v>
      </c>
      <c r="C56" s="155">
        <v>45624.342337962997</v>
      </c>
      <c r="D56" t="s">
        <v>305</v>
      </c>
      <c r="E56" t="s">
        <v>304</v>
      </c>
      <c r="F56" t="s">
        <v>594</v>
      </c>
      <c r="G56" t="s">
        <v>469</v>
      </c>
      <c r="H56" t="s">
        <v>469</v>
      </c>
      <c r="I56" t="s">
        <v>469</v>
      </c>
      <c r="J56" t="s">
        <v>594</v>
      </c>
    </row>
    <row r="57" spans="1:11" x14ac:dyDescent="0.3">
      <c r="A57">
        <v>521</v>
      </c>
      <c r="B57" s="155">
        <v>45624.349236111098</v>
      </c>
      <c r="C57" s="155">
        <v>45624.357118055603</v>
      </c>
      <c r="D57" t="s">
        <v>303</v>
      </c>
      <c r="E57" t="s">
        <v>302</v>
      </c>
      <c r="F57" t="s">
        <v>467</v>
      </c>
      <c r="G57" t="s">
        <v>468</v>
      </c>
      <c r="H57" t="s">
        <v>467</v>
      </c>
      <c r="I57" t="s">
        <v>467</v>
      </c>
      <c r="J57" t="s">
        <v>468</v>
      </c>
      <c r="K57" t="s">
        <v>628</v>
      </c>
    </row>
    <row r="58" spans="1:11" x14ac:dyDescent="0.3">
      <c r="A58">
        <v>522</v>
      </c>
      <c r="B58" s="155">
        <v>45624.389212962997</v>
      </c>
      <c r="C58" s="155">
        <v>45624.389687499999</v>
      </c>
      <c r="D58" t="s">
        <v>238</v>
      </c>
      <c r="E58" t="s">
        <v>237</v>
      </c>
      <c r="F58" t="s">
        <v>467</v>
      </c>
      <c r="G58" t="s">
        <v>467</v>
      </c>
      <c r="H58" t="s">
        <v>468</v>
      </c>
      <c r="I58" t="s">
        <v>467</v>
      </c>
      <c r="J58" t="s">
        <v>467</v>
      </c>
      <c r="K58" t="s">
        <v>629</v>
      </c>
    </row>
    <row r="59" spans="1:11" x14ac:dyDescent="0.3">
      <c r="A59">
        <v>523</v>
      </c>
      <c r="B59" s="155">
        <v>45624.4121759259</v>
      </c>
      <c r="C59" s="155">
        <v>45624.413819444402</v>
      </c>
      <c r="D59" t="s">
        <v>630</v>
      </c>
      <c r="E59" t="s">
        <v>272</v>
      </c>
      <c r="F59" t="s">
        <v>468</v>
      </c>
      <c r="G59" t="s">
        <v>468</v>
      </c>
      <c r="H59" t="s">
        <v>468</v>
      </c>
      <c r="I59" t="s">
        <v>468</v>
      </c>
      <c r="J59" t="s">
        <v>468</v>
      </c>
    </row>
    <row r="60" spans="1:11" x14ac:dyDescent="0.3">
      <c r="A60">
        <v>524</v>
      </c>
      <c r="B60" s="155">
        <v>45624.444826388899</v>
      </c>
      <c r="C60" s="155">
        <v>45624.445034722201</v>
      </c>
      <c r="D60" t="s">
        <v>301</v>
      </c>
      <c r="E60" t="s">
        <v>300</v>
      </c>
      <c r="F60" t="s">
        <v>468</v>
      </c>
      <c r="G60" t="s">
        <v>468</v>
      </c>
      <c r="H60" t="s">
        <v>468</v>
      </c>
      <c r="I60" t="s">
        <v>468</v>
      </c>
      <c r="J60" t="s">
        <v>468</v>
      </c>
    </row>
    <row r="61" spans="1:11" x14ac:dyDescent="0.3">
      <c r="A61">
        <v>525</v>
      </c>
      <c r="B61" s="155">
        <v>45624.534247685202</v>
      </c>
      <c r="C61" s="155">
        <v>45624.542303240698</v>
      </c>
      <c r="D61" t="s">
        <v>435</v>
      </c>
      <c r="E61" t="s">
        <v>434</v>
      </c>
      <c r="F61" t="s">
        <v>468</v>
      </c>
      <c r="G61" t="s">
        <v>468</v>
      </c>
      <c r="H61" t="s">
        <v>468</v>
      </c>
      <c r="I61" t="s">
        <v>468</v>
      </c>
      <c r="J61" t="s">
        <v>468</v>
      </c>
    </row>
    <row r="62" spans="1:11" x14ac:dyDescent="0.3">
      <c r="A62">
        <v>526</v>
      </c>
      <c r="B62" s="155">
        <v>45624.546898148103</v>
      </c>
      <c r="C62" s="155">
        <v>45624.547291666699</v>
      </c>
      <c r="D62" t="s">
        <v>383</v>
      </c>
      <c r="E62" t="s">
        <v>382</v>
      </c>
      <c r="F62" t="s">
        <v>467</v>
      </c>
      <c r="G62" t="s">
        <v>467</v>
      </c>
      <c r="H62" t="s">
        <v>467</v>
      </c>
      <c r="I62" t="s">
        <v>467</v>
      </c>
      <c r="J62" t="s">
        <v>467</v>
      </c>
    </row>
    <row r="63" spans="1:11" x14ac:dyDescent="0.3">
      <c r="A63">
        <v>527</v>
      </c>
      <c r="B63" s="155">
        <v>45624.664375</v>
      </c>
      <c r="C63" s="155">
        <v>45624.665219907401</v>
      </c>
      <c r="D63" t="s">
        <v>307</v>
      </c>
      <c r="E63" t="s">
        <v>306</v>
      </c>
      <c r="F63" t="s">
        <v>468</v>
      </c>
      <c r="G63" t="s">
        <v>468</v>
      </c>
      <c r="H63" t="s">
        <v>468</v>
      </c>
      <c r="I63" t="s">
        <v>468</v>
      </c>
      <c r="J63" t="s">
        <v>468</v>
      </c>
    </row>
    <row r="64" spans="1:11" x14ac:dyDescent="0.3">
      <c r="A64">
        <v>528</v>
      </c>
      <c r="B64" s="155">
        <v>45624.878773148099</v>
      </c>
      <c r="C64" s="155">
        <v>45624.880289351902</v>
      </c>
      <c r="D64" t="s">
        <v>631</v>
      </c>
      <c r="E64" t="s">
        <v>295</v>
      </c>
      <c r="F64" t="s">
        <v>594</v>
      </c>
      <c r="G64" t="s">
        <v>467</v>
      </c>
      <c r="H64" t="s">
        <v>467</v>
      </c>
      <c r="I64" t="s">
        <v>469</v>
      </c>
      <c r="J64" t="s">
        <v>469</v>
      </c>
    </row>
    <row r="65" spans="1:11" x14ac:dyDescent="0.3">
      <c r="A65">
        <v>529</v>
      </c>
      <c r="B65" s="155">
        <v>45625.307696759301</v>
      </c>
      <c r="C65" s="155">
        <v>45625.307962963001</v>
      </c>
      <c r="D65" t="s">
        <v>415</v>
      </c>
      <c r="E65" t="s">
        <v>414</v>
      </c>
      <c r="F65" t="s">
        <v>468</v>
      </c>
      <c r="G65" t="s">
        <v>468</v>
      </c>
      <c r="H65" t="s">
        <v>468</v>
      </c>
      <c r="I65" t="s">
        <v>468</v>
      </c>
      <c r="J65" t="s">
        <v>468</v>
      </c>
    </row>
    <row r="66" spans="1:11" x14ac:dyDescent="0.3">
      <c r="A66">
        <v>530</v>
      </c>
      <c r="B66" s="155">
        <v>45625.307881944398</v>
      </c>
      <c r="C66" s="155">
        <v>45625.319780092599</v>
      </c>
      <c r="D66" t="s">
        <v>128</v>
      </c>
      <c r="E66" t="s">
        <v>127</v>
      </c>
      <c r="F66" t="s">
        <v>468</v>
      </c>
      <c r="G66" t="s">
        <v>468</v>
      </c>
      <c r="H66" t="s">
        <v>468</v>
      </c>
      <c r="I66" t="s">
        <v>467</v>
      </c>
      <c r="J66" t="s">
        <v>468</v>
      </c>
    </row>
    <row r="67" spans="1:11" x14ac:dyDescent="0.3">
      <c r="A67">
        <v>531</v>
      </c>
      <c r="B67" s="155">
        <v>45625.340613425898</v>
      </c>
      <c r="C67" s="155">
        <v>45625.341620370396</v>
      </c>
      <c r="D67" t="s">
        <v>632</v>
      </c>
      <c r="E67" t="s">
        <v>173</v>
      </c>
      <c r="F67" t="s">
        <v>467</v>
      </c>
      <c r="G67" t="s">
        <v>467</v>
      </c>
      <c r="H67" t="s">
        <v>467</v>
      </c>
      <c r="I67" t="s">
        <v>467</v>
      </c>
      <c r="J67" t="s">
        <v>467</v>
      </c>
    </row>
    <row r="68" spans="1:11" x14ac:dyDescent="0.3">
      <c r="A68">
        <v>532</v>
      </c>
      <c r="B68" s="155">
        <v>45625.3420833333</v>
      </c>
      <c r="C68" s="155">
        <v>45625.343067129601</v>
      </c>
      <c r="D68" t="s">
        <v>205</v>
      </c>
      <c r="E68" t="s">
        <v>204</v>
      </c>
      <c r="F68" t="s">
        <v>468</v>
      </c>
      <c r="G68" t="s">
        <v>467</v>
      </c>
      <c r="H68" t="s">
        <v>467</v>
      </c>
      <c r="I68" t="s">
        <v>467</v>
      </c>
      <c r="J68" t="s">
        <v>468</v>
      </c>
    </row>
    <row r="69" spans="1:11" x14ac:dyDescent="0.3">
      <c r="A69">
        <v>533</v>
      </c>
      <c r="B69" s="155">
        <v>45625.344768518502</v>
      </c>
      <c r="C69" s="155">
        <v>45625.3458680556</v>
      </c>
      <c r="D69" t="s">
        <v>633</v>
      </c>
      <c r="E69" t="s">
        <v>526</v>
      </c>
      <c r="F69" t="s">
        <v>468</v>
      </c>
      <c r="G69" t="s">
        <v>468</v>
      </c>
      <c r="H69" t="s">
        <v>467</v>
      </c>
      <c r="I69" t="s">
        <v>467</v>
      </c>
      <c r="J69" t="s">
        <v>467</v>
      </c>
    </row>
    <row r="70" spans="1:11" x14ac:dyDescent="0.3">
      <c r="A70">
        <v>534</v>
      </c>
      <c r="B70" s="155">
        <v>45625.3511111111</v>
      </c>
      <c r="C70" s="155">
        <v>45625.351631944402</v>
      </c>
      <c r="D70" t="s">
        <v>634</v>
      </c>
      <c r="E70" t="s">
        <v>527</v>
      </c>
      <c r="F70" t="s">
        <v>467</v>
      </c>
      <c r="G70" t="s">
        <v>467</v>
      </c>
      <c r="H70" t="s">
        <v>467</v>
      </c>
      <c r="I70" t="s">
        <v>467</v>
      </c>
      <c r="J70" t="s">
        <v>467</v>
      </c>
    </row>
    <row r="71" spans="1:11" x14ac:dyDescent="0.3">
      <c r="A71">
        <v>535</v>
      </c>
      <c r="B71" s="155">
        <v>45625.372106481504</v>
      </c>
      <c r="C71" s="155">
        <v>45625.3725694444</v>
      </c>
      <c r="D71" t="s">
        <v>192</v>
      </c>
      <c r="E71" t="s">
        <v>191</v>
      </c>
      <c r="F71" t="s">
        <v>468</v>
      </c>
      <c r="G71" t="s">
        <v>468</v>
      </c>
      <c r="H71" t="s">
        <v>468</v>
      </c>
      <c r="I71" t="s">
        <v>468</v>
      </c>
      <c r="J71" t="s">
        <v>468</v>
      </c>
      <c r="K71" t="s">
        <v>635</v>
      </c>
    </row>
    <row r="72" spans="1:11" x14ac:dyDescent="0.3">
      <c r="A72">
        <v>536</v>
      </c>
      <c r="B72" s="155">
        <v>45625.398831018501</v>
      </c>
      <c r="C72" s="155">
        <v>45625.399062500001</v>
      </c>
      <c r="D72" t="s">
        <v>150</v>
      </c>
      <c r="E72" t="s">
        <v>149</v>
      </c>
      <c r="F72" t="s">
        <v>468</v>
      </c>
      <c r="G72" t="s">
        <v>468</v>
      </c>
      <c r="H72" t="s">
        <v>467</v>
      </c>
      <c r="I72" t="s">
        <v>468</v>
      </c>
      <c r="J72" t="s">
        <v>469</v>
      </c>
    </row>
    <row r="73" spans="1:11" x14ac:dyDescent="0.3">
      <c r="A73">
        <v>537</v>
      </c>
      <c r="B73" s="155">
        <v>45625.554212962998</v>
      </c>
      <c r="C73" s="155">
        <v>45625.557754629597</v>
      </c>
      <c r="D73" t="s">
        <v>181</v>
      </c>
      <c r="E73" t="s">
        <v>180</v>
      </c>
      <c r="F73" t="s">
        <v>467</v>
      </c>
      <c r="G73" t="s">
        <v>467</v>
      </c>
      <c r="H73" t="s">
        <v>467</v>
      </c>
      <c r="I73" t="s">
        <v>467</v>
      </c>
      <c r="J73" t="s">
        <v>468</v>
      </c>
    </row>
    <row r="74" spans="1:11" x14ac:dyDescent="0.3">
      <c r="A74">
        <v>538</v>
      </c>
      <c r="B74" s="155">
        <v>45625.602395833303</v>
      </c>
      <c r="C74" s="155">
        <v>45625.6034953704</v>
      </c>
      <c r="D74" t="s">
        <v>337</v>
      </c>
      <c r="E74" t="s">
        <v>336</v>
      </c>
      <c r="F74" t="s">
        <v>468</v>
      </c>
      <c r="G74" t="s">
        <v>468</v>
      </c>
      <c r="H74" t="s">
        <v>468</v>
      </c>
      <c r="I74" t="s">
        <v>467</v>
      </c>
      <c r="J74" t="s">
        <v>468</v>
      </c>
      <c r="K74" t="s">
        <v>636</v>
      </c>
    </row>
    <row r="75" spans="1:11" x14ac:dyDescent="0.3">
      <c r="A75">
        <v>539</v>
      </c>
      <c r="B75" s="155">
        <v>45625.716793981497</v>
      </c>
      <c r="C75" s="155">
        <v>45625.717118055603</v>
      </c>
      <c r="D75" t="s">
        <v>369</v>
      </c>
      <c r="E75" t="s">
        <v>368</v>
      </c>
      <c r="F75" t="s">
        <v>594</v>
      </c>
      <c r="G75" t="s">
        <v>467</v>
      </c>
      <c r="H75" t="s">
        <v>467</v>
      </c>
      <c r="I75" t="s">
        <v>467</v>
      </c>
      <c r="J75" t="s">
        <v>467</v>
      </c>
    </row>
    <row r="76" spans="1:11" x14ac:dyDescent="0.3">
      <c r="A76">
        <v>540</v>
      </c>
      <c r="B76" s="155">
        <v>45626.383333333302</v>
      </c>
      <c r="C76" s="155">
        <v>45626.383761574099</v>
      </c>
      <c r="D76" t="s">
        <v>637</v>
      </c>
      <c r="E76" t="s">
        <v>296</v>
      </c>
      <c r="F76" t="s">
        <v>468</v>
      </c>
      <c r="G76" t="s">
        <v>468</v>
      </c>
      <c r="H76" t="s">
        <v>468</v>
      </c>
      <c r="I76" t="s">
        <v>468</v>
      </c>
      <c r="J76" t="s">
        <v>468</v>
      </c>
      <c r="K76" t="s">
        <v>638</v>
      </c>
    </row>
    <row r="77" spans="1:11" x14ac:dyDescent="0.3">
      <c r="A77">
        <v>541</v>
      </c>
      <c r="B77" s="155">
        <v>45626.451342592598</v>
      </c>
      <c r="C77" s="155">
        <v>45626.453067129602</v>
      </c>
      <c r="D77" t="s">
        <v>362</v>
      </c>
      <c r="E77" t="s">
        <v>361</v>
      </c>
      <c r="F77" t="s">
        <v>468</v>
      </c>
      <c r="G77" t="s">
        <v>468</v>
      </c>
      <c r="H77" t="s">
        <v>468</v>
      </c>
      <c r="I77" t="s">
        <v>468</v>
      </c>
      <c r="J77" t="s">
        <v>468</v>
      </c>
      <c r="K77" t="s">
        <v>639</v>
      </c>
    </row>
    <row r="78" spans="1:11" x14ac:dyDescent="0.3">
      <c r="A78">
        <v>542</v>
      </c>
      <c r="B78" s="155">
        <v>45628.322164351797</v>
      </c>
      <c r="C78" s="155">
        <v>45628.3233680556</v>
      </c>
      <c r="D78" t="s">
        <v>198</v>
      </c>
      <c r="E78" t="s">
        <v>197</v>
      </c>
      <c r="F78" t="s">
        <v>467</v>
      </c>
      <c r="G78" t="s">
        <v>468</v>
      </c>
      <c r="H78" t="s">
        <v>468</v>
      </c>
      <c r="I78" t="s">
        <v>467</v>
      </c>
      <c r="J78" t="s">
        <v>468</v>
      </c>
      <c r="K78" t="s">
        <v>640</v>
      </c>
    </row>
    <row r="79" spans="1:11" x14ac:dyDescent="0.3">
      <c r="A79">
        <v>543</v>
      </c>
      <c r="B79" s="155">
        <v>45628.3277199074</v>
      </c>
      <c r="C79" s="155">
        <v>45628.3285763889</v>
      </c>
      <c r="D79" t="s">
        <v>256</v>
      </c>
      <c r="E79" t="s">
        <v>255</v>
      </c>
      <c r="F79" t="s">
        <v>594</v>
      </c>
      <c r="G79" t="s">
        <v>467</v>
      </c>
      <c r="H79" t="s">
        <v>467</v>
      </c>
      <c r="I79" t="s">
        <v>469</v>
      </c>
      <c r="J79" t="s">
        <v>467</v>
      </c>
    </row>
    <row r="80" spans="1:11" x14ac:dyDescent="0.3">
      <c r="A80">
        <v>544</v>
      </c>
      <c r="B80" s="155">
        <v>45628.329722222203</v>
      </c>
      <c r="C80" s="155">
        <v>45628.329837963</v>
      </c>
      <c r="D80" t="s">
        <v>421</v>
      </c>
      <c r="E80" t="s">
        <v>420</v>
      </c>
      <c r="F80" t="s">
        <v>467</v>
      </c>
      <c r="G80" t="s">
        <v>467</v>
      </c>
      <c r="H80" t="s">
        <v>467</v>
      </c>
      <c r="I80" t="s">
        <v>467</v>
      </c>
      <c r="J80" t="s">
        <v>467</v>
      </c>
    </row>
    <row r="81" spans="1:11" x14ac:dyDescent="0.3">
      <c r="A81">
        <v>545</v>
      </c>
      <c r="B81" s="155">
        <v>45628.334421296298</v>
      </c>
      <c r="C81" s="155">
        <v>45628.334895833301</v>
      </c>
      <c r="D81" t="s">
        <v>118</v>
      </c>
      <c r="E81" t="s">
        <v>641</v>
      </c>
      <c r="F81" t="s">
        <v>594</v>
      </c>
      <c r="G81" t="s">
        <v>468</v>
      </c>
      <c r="H81" t="s">
        <v>468</v>
      </c>
      <c r="I81" t="s">
        <v>467</v>
      </c>
      <c r="J81" t="s">
        <v>468</v>
      </c>
    </row>
    <row r="82" spans="1:11" x14ac:dyDescent="0.3">
      <c r="A82">
        <v>546</v>
      </c>
      <c r="B82" s="155">
        <v>45628.337222222202</v>
      </c>
      <c r="C82" s="155">
        <v>45628.337662037004</v>
      </c>
      <c r="D82" t="s">
        <v>352</v>
      </c>
      <c r="E82" t="s">
        <v>351</v>
      </c>
      <c r="F82" t="s">
        <v>468</v>
      </c>
      <c r="G82" t="s">
        <v>467</v>
      </c>
      <c r="H82" t="s">
        <v>467</v>
      </c>
      <c r="I82" t="s">
        <v>467</v>
      </c>
      <c r="J82" t="s">
        <v>468</v>
      </c>
    </row>
    <row r="83" spans="1:11" x14ac:dyDescent="0.3">
      <c r="A83">
        <v>547</v>
      </c>
      <c r="B83" s="155">
        <v>45628.344375000001</v>
      </c>
      <c r="C83" s="155">
        <v>45628.345381944397</v>
      </c>
      <c r="D83" t="s">
        <v>170</v>
      </c>
      <c r="E83" t="s">
        <v>169</v>
      </c>
      <c r="F83" t="s">
        <v>468</v>
      </c>
      <c r="G83" t="s">
        <v>468</v>
      </c>
      <c r="H83" t="s">
        <v>468</v>
      </c>
      <c r="I83" t="s">
        <v>468</v>
      </c>
      <c r="J83" t="s">
        <v>468</v>
      </c>
    </row>
    <row r="84" spans="1:11" x14ac:dyDescent="0.3">
      <c r="A84">
        <v>548</v>
      </c>
      <c r="B84" s="155">
        <v>45628.3456828704</v>
      </c>
      <c r="C84" s="155">
        <v>45628.345902777801</v>
      </c>
      <c r="D84" t="s">
        <v>200</v>
      </c>
      <c r="E84" t="s">
        <v>642</v>
      </c>
      <c r="F84" t="s">
        <v>468</v>
      </c>
      <c r="G84" t="s">
        <v>468</v>
      </c>
      <c r="H84" t="s">
        <v>468</v>
      </c>
      <c r="I84" t="s">
        <v>468</v>
      </c>
      <c r="J84" t="s">
        <v>468</v>
      </c>
    </row>
    <row r="85" spans="1:11" x14ac:dyDescent="0.3">
      <c r="A85">
        <v>549</v>
      </c>
      <c r="B85" s="155">
        <v>45628.345625000002</v>
      </c>
      <c r="C85" s="155">
        <v>45628.3464930556</v>
      </c>
      <c r="D85" t="s">
        <v>341</v>
      </c>
      <c r="E85" t="s">
        <v>340</v>
      </c>
      <c r="F85" t="s">
        <v>594</v>
      </c>
      <c r="G85" t="s">
        <v>468</v>
      </c>
      <c r="H85" t="s">
        <v>468</v>
      </c>
      <c r="I85" t="s">
        <v>468</v>
      </c>
      <c r="J85" t="s">
        <v>468</v>
      </c>
    </row>
    <row r="86" spans="1:11" x14ac:dyDescent="0.3">
      <c r="A86">
        <v>550</v>
      </c>
      <c r="B86" s="155">
        <v>45628.342638888898</v>
      </c>
      <c r="C86" s="155">
        <v>45628.347268518497</v>
      </c>
      <c r="D86" t="s">
        <v>643</v>
      </c>
      <c r="E86" t="s">
        <v>418</v>
      </c>
      <c r="F86" t="s">
        <v>468</v>
      </c>
      <c r="G86" t="s">
        <v>468</v>
      </c>
      <c r="H86" t="s">
        <v>468</v>
      </c>
      <c r="I86" t="s">
        <v>468</v>
      </c>
      <c r="J86" t="s">
        <v>468</v>
      </c>
      <c r="K86" t="s">
        <v>644</v>
      </c>
    </row>
    <row r="87" spans="1:11" x14ac:dyDescent="0.3">
      <c r="A87">
        <v>551</v>
      </c>
      <c r="B87" s="155">
        <v>45628.346817129597</v>
      </c>
      <c r="C87" s="155">
        <v>45628.347870370402</v>
      </c>
      <c r="D87" t="s">
        <v>217</v>
      </c>
      <c r="E87" t="s">
        <v>216</v>
      </c>
      <c r="F87" t="s">
        <v>467</v>
      </c>
      <c r="G87" t="s">
        <v>467</v>
      </c>
      <c r="H87" t="s">
        <v>467</v>
      </c>
      <c r="I87" t="s">
        <v>469</v>
      </c>
      <c r="J87" t="s">
        <v>467</v>
      </c>
    </row>
    <row r="88" spans="1:11" x14ac:dyDescent="0.3">
      <c r="A88">
        <v>552</v>
      </c>
      <c r="B88" s="155">
        <v>45628.347187500003</v>
      </c>
      <c r="C88" s="155">
        <v>45628.348402777803</v>
      </c>
      <c r="D88" t="s">
        <v>267</v>
      </c>
      <c r="E88" t="s">
        <v>645</v>
      </c>
      <c r="F88" t="s">
        <v>468</v>
      </c>
      <c r="G88" t="s">
        <v>468</v>
      </c>
      <c r="H88" t="s">
        <v>468</v>
      </c>
      <c r="I88" t="s">
        <v>468</v>
      </c>
      <c r="J88" t="s">
        <v>468</v>
      </c>
    </row>
    <row r="89" spans="1:11" x14ac:dyDescent="0.3">
      <c r="A89">
        <v>553</v>
      </c>
      <c r="B89" s="155">
        <v>45628.348969907398</v>
      </c>
      <c r="C89" s="155">
        <v>45628.349571759303</v>
      </c>
      <c r="D89" t="s">
        <v>347</v>
      </c>
      <c r="E89" t="s">
        <v>646</v>
      </c>
      <c r="F89" t="s">
        <v>468</v>
      </c>
      <c r="G89" t="s">
        <v>468</v>
      </c>
      <c r="H89" t="s">
        <v>468</v>
      </c>
      <c r="I89" t="s">
        <v>468</v>
      </c>
      <c r="J89" t="s">
        <v>468</v>
      </c>
      <c r="K89" t="s">
        <v>647</v>
      </c>
    </row>
    <row r="90" spans="1:11" x14ac:dyDescent="0.3">
      <c r="A90">
        <v>554</v>
      </c>
      <c r="B90" s="155">
        <v>45628.345405092601</v>
      </c>
      <c r="C90" s="155">
        <v>45628.350115740701</v>
      </c>
      <c r="D90" t="s">
        <v>102</v>
      </c>
      <c r="E90" t="s">
        <v>101</v>
      </c>
      <c r="F90" t="s">
        <v>468</v>
      </c>
      <c r="G90" t="s">
        <v>468</v>
      </c>
      <c r="H90" t="s">
        <v>468</v>
      </c>
      <c r="I90" t="s">
        <v>468</v>
      </c>
      <c r="J90" t="s">
        <v>468</v>
      </c>
    </row>
    <row r="91" spans="1:11" x14ac:dyDescent="0.3">
      <c r="A91">
        <v>555</v>
      </c>
      <c r="B91" s="155">
        <v>45628.348287036999</v>
      </c>
      <c r="C91" s="155">
        <v>45628.350613425901</v>
      </c>
      <c r="D91" t="s">
        <v>249</v>
      </c>
      <c r="E91" t="s">
        <v>248</v>
      </c>
      <c r="F91" t="s">
        <v>468</v>
      </c>
      <c r="G91" t="s">
        <v>468</v>
      </c>
      <c r="H91" t="s">
        <v>468</v>
      </c>
      <c r="I91" t="s">
        <v>468</v>
      </c>
      <c r="J91" t="s">
        <v>468</v>
      </c>
    </row>
    <row r="92" spans="1:11" x14ac:dyDescent="0.3">
      <c r="A92">
        <v>556</v>
      </c>
      <c r="B92" s="155">
        <v>45628.351342592599</v>
      </c>
      <c r="C92" s="155">
        <v>45628.3516087963</v>
      </c>
      <c r="D92" t="s">
        <v>409</v>
      </c>
      <c r="E92" t="s">
        <v>408</v>
      </c>
      <c r="F92" t="s">
        <v>467</v>
      </c>
      <c r="G92" t="s">
        <v>467</v>
      </c>
      <c r="H92" t="s">
        <v>467</v>
      </c>
      <c r="I92" t="s">
        <v>467</v>
      </c>
      <c r="J92" t="s">
        <v>467</v>
      </c>
    </row>
    <row r="93" spans="1:11" x14ac:dyDescent="0.3">
      <c r="A93">
        <v>557</v>
      </c>
      <c r="B93" s="155">
        <v>45628.351388888899</v>
      </c>
      <c r="C93" s="155">
        <v>45628.354490740698</v>
      </c>
      <c r="D93" t="s">
        <v>136</v>
      </c>
      <c r="E93" t="s">
        <v>135</v>
      </c>
      <c r="F93" t="s">
        <v>467</v>
      </c>
      <c r="G93" t="s">
        <v>468</v>
      </c>
      <c r="H93" t="s">
        <v>468</v>
      </c>
      <c r="I93" t="s">
        <v>468</v>
      </c>
      <c r="J93" t="s">
        <v>468</v>
      </c>
      <c r="K93" t="s">
        <v>648</v>
      </c>
    </row>
    <row r="94" spans="1:11" x14ac:dyDescent="0.3">
      <c r="A94">
        <v>558</v>
      </c>
      <c r="B94" s="155">
        <v>45628.350833333301</v>
      </c>
      <c r="C94" s="155">
        <v>45628.356412036999</v>
      </c>
      <c r="D94" t="s">
        <v>649</v>
      </c>
      <c r="E94" t="s">
        <v>528</v>
      </c>
      <c r="F94" t="s">
        <v>594</v>
      </c>
      <c r="G94" t="s">
        <v>467</v>
      </c>
      <c r="H94" t="s">
        <v>467</v>
      </c>
      <c r="I94" t="s">
        <v>467</v>
      </c>
      <c r="J94" t="s">
        <v>594</v>
      </c>
      <c r="K94" t="s">
        <v>650</v>
      </c>
    </row>
    <row r="95" spans="1:11" x14ac:dyDescent="0.3">
      <c r="A95">
        <v>559</v>
      </c>
      <c r="B95" s="155">
        <v>45628.353344907402</v>
      </c>
      <c r="C95" s="155">
        <v>45628.360358796301</v>
      </c>
      <c r="D95" t="s">
        <v>651</v>
      </c>
      <c r="E95" t="s">
        <v>529</v>
      </c>
      <c r="F95" t="s">
        <v>467</v>
      </c>
      <c r="G95" t="s">
        <v>467</v>
      </c>
      <c r="H95" t="s">
        <v>467</v>
      </c>
      <c r="I95" t="s">
        <v>467</v>
      </c>
      <c r="J95" t="s">
        <v>467</v>
      </c>
    </row>
    <row r="96" spans="1:11" x14ac:dyDescent="0.3">
      <c r="A96">
        <v>560</v>
      </c>
      <c r="B96" s="155">
        <v>45628.361608796302</v>
      </c>
      <c r="C96" s="155">
        <v>45628.362673611096</v>
      </c>
      <c r="D96" t="s">
        <v>320</v>
      </c>
      <c r="E96" t="s">
        <v>319</v>
      </c>
      <c r="F96" t="s">
        <v>468</v>
      </c>
      <c r="G96" t="s">
        <v>468</v>
      </c>
      <c r="H96" t="s">
        <v>468</v>
      </c>
      <c r="I96" t="s">
        <v>468</v>
      </c>
      <c r="J96" t="s">
        <v>468</v>
      </c>
    </row>
    <row r="97" spans="1:11" x14ac:dyDescent="0.3">
      <c r="A97">
        <v>561</v>
      </c>
      <c r="B97" s="155">
        <v>45628.369895833297</v>
      </c>
      <c r="C97" s="155">
        <v>45628.370474536998</v>
      </c>
      <c r="D97" t="s">
        <v>230</v>
      </c>
      <c r="E97" t="s">
        <v>229</v>
      </c>
      <c r="F97" t="s">
        <v>467</v>
      </c>
      <c r="G97" t="s">
        <v>467</v>
      </c>
      <c r="H97" t="s">
        <v>467</v>
      </c>
      <c r="I97" t="s">
        <v>467</v>
      </c>
      <c r="J97" t="s">
        <v>467</v>
      </c>
    </row>
    <row r="98" spans="1:11" x14ac:dyDescent="0.3">
      <c r="A98">
        <v>562</v>
      </c>
      <c r="B98" s="155">
        <v>45628.370925925898</v>
      </c>
      <c r="C98" s="155">
        <v>45628.371284722198</v>
      </c>
      <c r="D98" t="s">
        <v>314</v>
      </c>
      <c r="E98" t="s">
        <v>313</v>
      </c>
      <c r="F98" t="s">
        <v>467</v>
      </c>
      <c r="G98" t="s">
        <v>467</v>
      </c>
      <c r="H98" t="s">
        <v>467</v>
      </c>
      <c r="I98" t="s">
        <v>467</v>
      </c>
      <c r="J98" t="s">
        <v>467</v>
      </c>
    </row>
    <row r="99" spans="1:11" x14ac:dyDescent="0.3">
      <c r="A99">
        <v>563</v>
      </c>
      <c r="B99" s="155">
        <v>45628.393993055601</v>
      </c>
      <c r="C99" s="155">
        <v>45628.394143518497</v>
      </c>
      <c r="D99" t="s">
        <v>99</v>
      </c>
      <c r="E99" t="s">
        <v>98</v>
      </c>
      <c r="F99" t="s">
        <v>468</v>
      </c>
      <c r="G99" t="s">
        <v>468</v>
      </c>
      <c r="H99" t="s">
        <v>468</v>
      </c>
      <c r="I99" t="s">
        <v>468</v>
      </c>
      <c r="J99" t="s">
        <v>468</v>
      </c>
    </row>
    <row r="100" spans="1:11" x14ac:dyDescent="0.3">
      <c r="A100">
        <v>564</v>
      </c>
      <c r="B100" s="155">
        <v>45628.392430555599</v>
      </c>
      <c r="C100" s="155">
        <v>45628.394918981503</v>
      </c>
      <c r="D100" t="s">
        <v>391</v>
      </c>
      <c r="E100" t="s">
        <v>390</v>
      </c>
      <c r="F100" t="s">
        <v>468</v>
      </c>
      <c r="G100" t="s">
        <v>468</v>
      </c>
      <c r="H100" t="s">
        <v>468</v>
      </c>
      <c r="I100" t="s">
        <v>468</v>
      </c>
      <c r="J100" t="s">
        <v>468</v>
      </c>
    </row>
    <row r="101" spans="1:11" x14ac:dyDescent="0.3">
      <c r="A101">
        <v>565</v>
      </c>
      <c r="B101" s="155">
        <v>45628.3980787037</v>
      </c>
      <c r="C101" s="155">
        <v>45628.398877314801</v>
      </c>
      <c r="D101" t="s">
        <v>372</v>
      </c>
      <c r="E101" t="s">
        <v>371</v>
      </c>
      <c r="F101" t="s">
        <v>468</v>
      </c>
      <c r="G101" t="s">
        <v>468</v>
      </c>
      <c r="H101" t="s">
        <v>468</v>
      </c>
      <c r="I101" t="s">
        <v>468</v>
      </c>
      <c r="J101" t="s">
        <v>468</v>
      </c>
    </row>
    <row r="102" spans="1:11" x14ac:dyDescent="0.3">
      <c r="A102">
        <v>566</v>
      </c>
      <c r="B102" s="155">
        <v>45628.351909722202</v>
      </c>
      <c r="C102" s="155">
        <v>45628.400902777801</v>
      </c>
      <c r="D102" t="s">
        <v>156</v>
      </c>
      <c r="E102" t="s">
        <v>155</v>
      </c>
      <c r="F102" t="s">
        <v>594</v>
      </c>
      <c r="G102" t="s">
        <v>468</v>
      </c>
      <c r="H102" t="s">
        <v>468</v>
      </c>
      <c r="I102" t="s">
        <v>594</v>
      </c>
      <c r="J102" t="s">
        <v>594</v>
      </c>
    </row>
    <row r="103" spans="1:11" x14ac:dyDescent="0.3">
      <c r="A103">
        <v>568</v>
      </c>
      <c r="B103" s="155">
        <v>45628.408750000002</v>
      </c>
      <c r="C103" s="155">
        <v>45628.409074074101</v>
      </c>
      <c r="D103" t="s">
        <v>258</v>
      </c>
      <c r="E103" t="s">
        <v>257</v>
      </c>
      <c r="F103" t="s">
        <v>467</v>
      </c>
      <c r="G103" t="s">
        <v>467</v>
      </c>
      <c r="H103" t="s">
        <v>467</v>
      </c>
      <c r="I103" t="s">
        <v>467</v>
      </c>
      <c r="J103" t="s">
        <v>467</v>
      </c>
    </row>
    <row r="104" spans="1:11" x14ac:dyDescent="0.3">
      <c r="A104">
        <v>569</v>
      </c>
      <c r="B104" s="155">
        <v>45628.369791666701</v>
      </c>
      <c r="C104" s="155">
        <v>45628.4152314815</v>
      </c>
      <c r="D104" t="s">
        <v>61</v>
      </c>
      <c r="E104" t="s">
        <v>60</v>
      </c>
      <c r="F104" t="s">
        <v>467</v>
      </c>
      <c r="G104" t="s">
        <v>467</v>
      </c>
      <c r="H104" t="s">
        <v>467</v>
      </c>
      <c r="I104" t="s">
        <v>467</v>
      </c>
      <c r="J104" t="s">
        <v>467</v>
      </c>
    </row>
    <row r="105" spans="1:11" x14ac:dyDescent="0.3">
      <c r="A105">
        <v>570</v>
      </c>
      <c r="B105" s="155">
        <v>45628.416932870401</v>
      </c>
      <c r="C105" s="155">
        <v>45628.417546296303</v>
      </c>
      <c r="D105" t="s">
        <v>289</v>
      </c>
      <c r="E105" t="s">
        <v>288</v>
      </c>
      <c r="F105" t="s">
        <v>468</v>
      </c>
      <c r="G105" t="s">
        <v>468</v>
      </c>
      <c r="H105" t="s">
        <v>467</v>
      </c>
      <c r="I105" t="s">
        <v>467</v>
      </c>
      <c r="J105" t="s">
        <v>467</v>
      </c>
    </row>
    <row r="106" spans="1:11" x14ac:dyDescent="0.3">
      <c r="A106">
        <v>571</v>
      </c>
      <c r="B106" s="155">
        <v>45628.425393518497</v>
      </c>
      <c r="C106" s="155">
        <v>45628.426018518498</v>
      </c>
      <c r="D106" t="s">
        <v>158</v>
      </c>
      <c r="E106" t="s">
        <v>157</v>
      </c>
      <c r="F106" t="s">
        <v>594</v>
      </c>
      <c r="G106" t="s">
        <v>467</v>
      </c>
      <c r="H106" t="s">
        <v>468</v>
      </c>
      <c r="I106" t="s">
        <v>594</v>
      </c>
      <c r="J106" t="s">
        <v>467</v>
      </c>
    </row>
    <row r="107" spans="1:11" x14ac:dyDescent="0.3">
      <c r="A107">
        <v>572</v>
      </c>
      <c r="B107" s="155">
        <v>45628.427060185197</v>
      </c>
      <c r="C107" s="155">
        <v>45628.432175925896</v>
      </c>
      <c r="D107" t="s">
        <v>251</v>
      </c>
      <c r="E107" t="s">
        <v>250</v>
      </c>
      <c r="F107" t="s">
        <v>594</v>
      </c>
      <c r="G107" t="s">
        <v>594</v>
      </c>
      <c r="H107" t="s">
        <v>469</v>
      </c>
      <c r="I107" t="s">
        <v>470</v>
      </c>
      <c r="J107" t="s">
        <v>470</v>
      </c>
      <c r="K107" t="s">
        <v>652</v>
      </c>
    </row>
    <row r="108" spans="1:11" x14ac:dyDescent="0.3">
      <c r="A108">
        <v>573</v>
      </c>
      <c r="B108" s="155">
        <v>45628.435752314799</v>
      </c>
      <c r="C108" s="155">
        <v>45628.4368287037</v>
      </c>
      <c r="D108" t="s">
        <v>653</v>
      </c>
      <c r="E108" t="s">
        <v>72</v>
      </c>
      <c r="F108" t="s">
        <v>468</v>
      </c>
      <c r="G108" t="s">
        <v>468</v>
      </c>
      <c r="H108" t="s">
        <v>468</v>
      </c>
      <c r="I108" t="s">
        <v>468</v>
      </c>
      <c r="J108" t="s">
        <v>468</v>
      </c>
    </row>
    <row r="109" spans="1:11" x14ac:dyDescent="0.3">
      <c r="A109">
        <v>574</v>
      </c>
      <c r="B109" s="155">
        <v>45628.442314814798</v>
      </c>
      <c r="C109" s="155">
        <v>45628.4446412037</v>
      </c>
      <c r="D109" t="s">
        <v>279</v>
      </c>
      <c r="E109" t="s">
        <v>278</v>
      </c>
      <c r="F109" t="s">
        <v>467</v>
      </c>
      <c r="G109" t="s">
        <v>467</v>
      </c>
      <c r="H109" t="s">
        <v>467</v>
      </c>
      <c r="I109" t="s">
        <v>467</v>
      </c>
      <c r="J109" t="s">
        <v>467</v>
      </c>
      <c r="K109" t="s">
        <v>654</v>
      </c>
    </row>
    <row r="110" spans="1:11" x14ac:dyDescent="0.3">
      <c r="A110">
        <v>575</v>
      </c>
      <c r="B110" s="155">
        <v>45628.454004629602</v>
      </c>
      <c r="C110" s="155">
        <v>45628.455972222197</v>
      </c>
      <c r="D110" t="s">
        <v>655</v>
      </c>
      <c r="E110" t="s">
        <v>530</v>
      </c>
      <c r="F110" t="s">
        <v>468</v>
      </c>
      <c r="G110" t="s">
        <v>468</v>
      </c>
      <c r="H110" t="s">
        <v>468</v>
      </c>
      <c r="I110" t="s">
        <v>468</v>
      </c>
      <c r="J110" t="s">
        <v>468</v>
      </c>
    </row>
    <row r="111" spans="1:11" x14ac:dyDescent="0.3">
      <c r="A111">
        <v>576</v>
      </c>
      <c r="B111" s="155">
        <v>45628.496504629598</v>
      </c>
      <c r="C111" s="155">
        <v>45628.4976157407</v>
      </c>
      <c r="D111" t="s">
        <v>202</v>
      </c>
      <c r="E111" t="s">
        <v>201</v>
      </c>
      <c r="F111" t="s">
        <v>594</v>
      </c>
      <c r="G111" t="s">
        <v>594</v>
      </c>
      <c r="H111" t="s">
        <v>594</v>
      </c>
      <c r="I111" t="s">
        <v>594</v>
      </c>
      <c r="J111" t="s">
        <v>594</v>
      </c>
      <c r="K111" t="s">
        <v>656</v>
      </c>
    </row>
    <row r="112" spans="1:11" x14ac:dyDescent="0.3">
      <c r="A112">
        <v>577</v>
      </c>
      <c r="B112" s="155">
        <v>45628.499849537002</v>
      </c>
      <c r="C112" s="155">
        <v>45628.500127314801</v>
      </c>
      <c r="D112" t="s">
        <v>154</v>
      </c>
      <c r="E112" t="s">
        <v>153</v>
      </c>
      <c r="F112" t="s">
        <v>467</v>
      </c>
      <c r="G112" t="s">
        <v>467</v>
      </c>
      <c r="H112" t="s">
        <v>467</v>
      </c>
      <c r="I112" t="s">
        <v>467</v>
      </c>
      <c r="J112" t="s">
        <v>467</v>
      </c>
    </row>
    <row r="113" spans="1:11" x14ac:dyDescent="0.3">
      <c r="A113">
        <v>578</v>
      </c>
      <c r="B113" s="155">
        <v>45628.513749999998</v>
      </c>
      <c r="C113" s="155">
        <v>45628.514444444401</v>
      </c>
      <c r="D113" t="s">
        <v>332</v>
      </c>
      <c r="E113" t="s">
        <v>657</v>
      </c>
      <c r="F113" t="s">
        <v>470</v>
      </c>
      <c r="G113" t="s">
        <v>468</v>
      </c>
      <c r="H113" t="s">
        <v>467</v>
      </c>
      <c r="I113" t="s">
        <v>469</v>
      </c>
      <c r="J113" t="s">
        <v>467</v>
      </c>
    </row>
    <row r="114" spans="1:11" x14ac:dyDescent="0.3">
      <c r="A114">
        <v>579</v>
      </c>
      <c r="B114" s="155">
        <v>45628.523287037002</v>
      </c>
      <c r="C114" s="155">
        <v>45628.528043981503</v>
      </c>
      <c r="D114" t="s">
        <v>359</v>
      </c>
      <c r="E114" t="s">
        <v>658</v>
      </c>
      <c r="F114" t="s">
        <v>467</v>
      </c>
      <c r="G114" t="s">
        <v>467</v>
      </c>
      <c r="H114" t="s">
        <v>467</v>
      </c>
      <c r="I114" t="s">
        <v>469</v>
      </c>
      <c r="J114" t="s">
        <v>467</v>
      </c>
      <c r="K114" t="s">
        <v>659</v>
      </c>
    </row>
    <row r="115" spans="1:11" x14ac:dyDescent="0.3">
      <c r="A115">
        <v>580</v>
      </c>
      <c r="B115" s="155">
        <v>45628.529293981497</v>
      </c>
      <c r="C115" s="155">
        <v>45628.531377314801</v>
      </c>
      <c r="D115" t="s">
        <v>172</v>
      </c>
      <c r="E115" t="s">
        <v>171</v>
      </c>
      <c r="F115" t="s">
        <v>469</v>
      </c>
      <c r="G115" t="s">
        <v>469</v>
      </c>
      <c r="H115" t="s">
        <v>469</v>
      </c>
      <c r="I115" t="s">
        <v>469</v>
      </c>
      <c r="J115" t="s">
        <v>470</v>
      </c>
      <c r="K115" t="s">
        <v>660</v>
      </c>
    </row>
    <row r="116" spans="1:11" x14ac:dyDescent="0.3">
      <c r="A116">
        <v>581</v>
      </c>
      <c r="B116" s="155">
        <v>45628.533645833297</v>
      </c>
      <c r="C116" s="155">
        <v>45628.533854166701</v>
      </c>
      <c r="D116" t="s">
        <v>260</v>
      </c>
      <c r="E116" t="s">
        <v>259</v>
      </c>
      <c r="F116" t="s">
        <v>470</v>
      </c>
      <c r="G116" t="s">
        <v>469</v>
      </c>
      <c r="H116" t="s">
        <v>469</v>
      </c>
      <c r="I116" t="s">
        <v>469</v>
      </c>
      <c r="J116" t="s">
        <v>469</v>
      </c>
    </row>
    <row r="117" spans="1:11" x14ac:dyDescent="0.3">
      <c r="A117">
        <v>582</v>
      </c>
      <c r="B117" s="155">
        <v>45628.546412037002</v>
      </c>
      <c r="C117" s="155">
        <v>45628.546631944402</v>
      </c>
      <c r="D117" t="s">
        <v>242</v>
      </c>
      <c r="E117" t="s">
        <v>241</v>
      </c>
      <c r="F117" t="s">
        <v>467</v>
      </c>
      <c r="G117" t="s">
        <v>467</v>
      </c>
      <c r="H117" t="s">
        <v>467</v>
      </c>
      <c r="I117" t="s">
        <v>468</v>
      </c>
      <c r="J117" t="s">
        <v>467</v>
      </c>
    </row>
    <row r="118" spans="1:11" x14ac:dyDescent="0.3">
      <c r="A118">
        <v>583</v>
      </c>
      <c r="B118" s="155">
        <v>45628.583483796298</v>
      </c>
      <c r="C118" s="155">
        <v>45628.5848611111</v>
      </c>
      <c r="D118" t="s">
        <v>661</v>
      </c>
      <c r="E118" t="s">
        <v>189</v>
      </c>
      <c r="F118" t="s">
        <v>468</v>
      </c>
      <c r="G118" t="s">
        <v>467</v>
      </c>
      <c r="H118" t="s">
        <v>467</v>
      </c>
      <c r="I118" t="s">
        <v>467</v>
      </c>
      <c r="J118" t="s">
        <v>467</v>
      </c>
    </row>
    <row r="119" spans="1:11" x14ac:dyDescent="0.3">
      <c r="A119">
        <v>584</v>
      </c>
      <c r="B119" s="155">
        <v>45628.587268518502</v>
      </c>
      <c r="C119" s="155">
        <v>45628.588356481501</v>
      </c>
      <c r="D119" t="s">
        <v>138</v>
      </c>
      <c r="E119" t="s">
        <v>137</v>
      </c>
      <c r="F119" t="s">
        <v>468</v>
      </c>
      <c r="G119" t="s">
        <v>470</v>
      </c>
      <c r="H119" t="s">
        <v>469</v>
      </c>
      <c r="I119" t="s">
        <v>467</v>
      </c>
      <c r="J119" t="s">
        <v>467</v>
      </c>
    </row>
    <row r="120" spans="1:11" x14ac:dyDescent="0.3">
      <c r="A120">
        <v>585</v>
      </c>
      <c r="B120" s="155">
        <v>45628.597986111097</v>
      </c>
      <c r="C120" s="155">
        <v>45628.598055555602</v>
      </c>
      <c r="D120" t="s">
        <v>662</v>
      </c>
      <c r="E120" t="s">
        <v>531</v>
      </c>
      <c r="F120" t="s">
        <v>468</v>
      </c>
      <c r="G120" t="s">
        <v>468</v>
      </c>
      <c r="H120" t="s">
        <v>468</v>
      </c>
      <c r="I120" t="s">
        <v>468</v>
      </c>
      <c r="J120" t="s">
        <v>468</v>
      </c>
    </row>
    <row r="121" spans="1:11" x14ac:dyDescent="0.3">
      <c r="A121">
        <v>586</v>
      </c>
      <c r="B121" s="155">
        <v>45628.612465277802</v>
      </c>
      <c r="C121" s="155">
        <v>45628.612708333298</v>
      </c>
      <c r="D121" t="s">
        <v>663</v>
      </c>
      <c r="E121" t="s">
        <v>532</v>
      </c>
      <c r="F121" t="s">
        <v>468</v>
      </c>
      <c r="G121" t="s">
        <v>468</v>
      </c>
      <c r="H121" t="s">
        <v>468</v>
      </c>
      <c r="I121" t="s">
        <v>468</v>
      </c>
      <c r="J121" t="s">
        <v>468</v>
      </c>
    </row>
    <row r="122" spans="1:11" x14ac:dyDescent="0.3">
      <c r="A122">
        <v>587</v>
      </c>
      <c r="B122" s="155">
        <v>45628.613449074102</v>
      </c>
      <c r="C122" s="155">
        <v>45628.613912036999</v>
      </c>
      <c r="D122" t="s">
        <v>247</v>
      </c>
      <c r="E122" t="s">
        <v>246</v>
      </c>
      <c r="F122" t="s">
        <v>468</v>
      </c>
      <c r="G122" t="s">
        <v>468</v>
      </c>
      <c r="H122" t="s">
        <v>467</v>
      </c>
      <c r="I122" t="s">
        <v>468</v>
      </c>
      <c r="J122" t="s">
        <v>467</v>
      </c>
    </row>
    <row r="123" spans="1:11" x14ac:dyDescent="0.3">
      <c r="A123">
        <v>588</v>
      </c>
      <c r="B123" s="155">
        <v>45628.622245370403</v>
      </c>
      <c r="C123" s="155">
        <v>45628.626099537003</v>
      </c>
      <c r="D123" t="s">
        <v>271</v>
      </c>
      <c r="E123" t="s">
        <v>270</v>
      </c>
      <c r="F123" t="s">
        <v>468</v>
      </c>
      <c r="G123" t="s">
        <v>468</v>
      </c>
      <c r="H123" t="s">
        <v>468</v>
      </c>
      <c r="I123" t="s">
        <v>468</v>
      </c>
      <c r="J123" t="s">
        <v>468</v>
      </c>
      <c r="K123" t="s">
        <v>664</v>
      </c>
    </row>
    <row r="124" spans="1:11" x14ac:dyDescent="0.3">
      <c r="A124">
        <v>589</v>
      </c>
      <c r="B124" s="155">
        <v>45628.630196759303</v>
      </c>
      <c r="C124" s="155">
        <v>45628.631180555603</v>
      </c>
      <c r="D124" t="s">
        <v>291</v>
      </c>
      <c r="E124" t="s">
        <v>290</v>
      </c>
      <c r="F124" t="s">
        <v>594</v>
      </c>
      <c r="G124" t="s">
        <v>468</v>
      </c>
      <c r="H124" t="s">
        <v>467</v>
      </c>
      <c r="I124" t="s">
        <v>467</v>
      </c>
      <c r="J124" t="s">
        <v>468</v>
      </c>
    </row>
    <row r="125" spans="1:11" x14ac:dyDescent="0.3">
      <c r="A125">
        <v>590</v>
      </c>
      <c r="B125" s="155">
        <v>45628.637511574103</v>
      </c>
      <c r="C125" s="155">
        <v>45628.638391203698</v>
      </c>
      <c r="D125" t="s">
        <v>80</v>
      </c>
      <c r="E125" t="s">
        <v>79</v>
      </c>
      <c r="F125" t="s">
        <v>594</v>
      </c>
      <c r="G125" t="s">
        <v>467</v>
      </c>
      <c r="H125" t="s">
        <v>467</v>
      </c>
      <c r="I125" t="s">
        <v>594</v>
      </c>
      <c r="J125" t="s">
        <v>467</v>
      </c>
    </row>
    <row r="126" spans="1:11" x14ac:dyDescent="0.3">
      <c r="A126">
        <v>591</v>
      </c>
      <c r="B126" s="155">
        <v>45628.703379629602</v>
      </c>
      <c r="C126" s="155">
        <v>45628.706400463001</v>
      </c>
      <c r="D126" t="s">
        <v>88</v>
      </c>
      <c r="E126" t="s">
        <v>87</v>
      </c>
      <c r="F126" t="s">
        <v>468</v>
      </c>
      <c r="G126" t="s">
        <v>468</v>
      </c>
      <c r="H126" t="s">
        <v>468</v>
      </c>
      <c r="I126" t="s">
        <v>468</v>
      </c>
      <c r="J126" t="s">
        <v>468</v>
      </c>
    </row>
    <row r="127" spans="1:11" x14ac:dyDescent="0.3">
      <c r="A127">
        <v>592</v>
      </c>
      <c r="B127" s="155">
        <v>45628.891574074099</v>
      </c>
      <c r="C127" s="155">
        <v>45628.8919328704</v>
      </c>
      <c r="D127" t="s">
        <v>143</v>
      </c>
      <c r="E127" t="s">
        <v>142</v>
      </c>
      <c r="F127" t="s">
        <v>468</v>
      </c>
      <c r="G127" t="s">
        <v>468</v>
      </c>
      <c r="H127" t="s">
        <v>468</v>
      </c>
      <c r="I127" t="s">
        <v>468</v>
      </c>
      <c r="J127" t="s">
        <v>468</v>
      </c>
      <c r="K127" t="s">
        <v>596</v>
      </c>
    </row>
    <row r="128" spans="1:11" x14ac:dyDescent="0.3">
      <c r="A128">
        <v>593</v>
      </c>
      <c r="B128" s="155">
        <v>45628.942847222199</v>
      </c>
      <c r="C128" s="155">
        <v>45628.943252314799</v>
      </c>
      <c r="D128" t="s">
        <v>123</v>
      </c>
      <c r="E128" t="s">
        <v>122</v>
      </c>
      <c r="F128" t="s">
        <v>594</v>
      </c>
      <c r="G128" t="s">
        <v>467</v>
      </c>
      <c r="H128" t="s">
        <v>467</v>
      </c>
      <c r="I128" t="s">
        <v>594</v>
      </c>
      <c r="J128" t="s">
        <v>467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17</xdr:col>
                    <xdr:colOff>228600</xdr:colOff>
                    <xdr:row>12</xdr:row>
                    <xdr:rowOff>114300</xdr:rowOff>
                  </from>
                  <to>
                    <xdr:col>18</xdr:col>
                    <xdr:colOff>365760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21" zoomScale="86" workbookViewId="0">
      <selection activeCell="C27" sqref="C27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7" t="s">
        <v>474</v>
      </c>
      <c r="C4" s="197" t="s">
        <v>5</v>
      </c>
      <c r="D4" s="197" t="s">
        <v>475</v>
      </c>
      <c r="E4" s="186" t="s">
        <v>476</v>
      </c>
      <c r="F4" s="186"/>
      <c r="G4" s="186"/>
      <c r="H4" s="186"/>
      <c r="I4" s="184" t="s">
        <v>477</v>
      </c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  <c r="AH4" s="185"/>
      <c r="AI4" s="185"/>
      <c r="AJ4" s="185"/>
      <c r="AK4" s="185"/>
      <c r="AL4" s="185"/>
      <c r="AM4" s="185"/>
      <c r="AN4" s="185"/>
      <c r="AO4" s="185"/>
      <c r="AP4" s="185"/>
      <c r="AQ4" s="185"/>
      <c r="AR4" s="185"/>
      <c r="AS4" s="185"/>
      <c r="AT4" s="185"/>
      <c r="AU4" s="185"/>
      <c r="AV4" s="185"/>
      <c r="AW4" s="185"/>
      <c r="AX4" s="185"/>
      <c r="AY4" s="185"/>
      <c r="AZ4" s="185"/>
      <c r="BA4" s="185"/>
      <c r="BB4" s="185"/>
      <c r="BC4" s="185"/>
      <c r="BD4" s="185"/>
      <c r="BE4" s="185"/>
      <c r="BF4" s="185"/>
      <c r="BG4" s="185"/>
      <c r="BH4" s="185"/>
      <c r="BI4" s="185"/>
      <c r="BJ4" s="185"/>
      <c r="BK4" s="185"/>
      <c r="BL4" s="185"/>
      <c r="BM4" s="185"/>
      <c r="BN4" s="185"/>
      <c r="BO4" s="185"/>
      <c r="BP4" s="185"/>
      <c r="BQ4" s="185"/>
      <c r="BR4" s="185"/>
      <c r="BS4" s="185"/>
      <c r="BT4" s="185"/>
      <c r="BU4" s="185"/>
      <c r="BV4" s="185"/>
      <c r="BW4" s="185"/>
    </row>
    <row r="5" spans="2:83" x14ac:dyDescent="0.3">
      <c r="B5" s="197"/>
      <c r="C5" s="197"/>
      <c r="D5" s="197"/>
      <c r="E5" s="186" t="s">
        <v>478</v>
      </c>
      <c r="F5" s="186"/>
      <c r="G5" s="45" t="s">
        <v>479</v>
      </c>
      <c r="H5" s="45"/>
      <c r="I5" s="199" t="s">
        <v>480</v>
      </c>
      <c r="J5" s="188" t="s">
        <v>481</v>
      </c>
      <c r="K5" s="182"/>
      <c r="L5" s="182"/>
      <c r="M5" s="182"/>
      <c r="N5" s="182"/>
      <c r="O5" s="182"/>
      <c r="P5" s="182" t="s">
        <v>482</v>
      </c>
      <c r="Q5" s="182"/>
      <c r="R5" s="182"/>
      <c r="S5" s="182"/>
      <c r="T5" s="182"/>
      <c r="U5" s="182"/>
      <c r="V5" s="182" t="s">
        <v>483</v>
      </c>
      <c r="W5" s="182"/>
      <c r="X5" s="182"/>
      <c r="Y5" s="182"/>
      <c r="Z5" s="182"/>
      <c r="AA5" s="182"/>
      <c r="AB5" s="182" t="s">
        <v>484</v>
      </c>
      <c r="AC5" s="182"/>
      <c r="AD5" s="182"/>
      <c r="AE5" s="182"/>
      <c r="AF5" s="182"/>
      <c r="AG5" s="182"/>
      <c r="AH5" s="182" t="s">
        <v>485</v>
      </c>
      <c r="AI5" s="182"/>
      <c r="AJ5" s="182"/>
      <c r="AK5" s="182"/>
      <c r="AL5" s="182"/>
      <c r="AM5" s="182"/>
      <c r="AN5" s="182" t="s">
        <v>486</v>
      </c>
      <c r="AO5" s="182"/>
      <c r="AP5" s="182"/>
      <c r="AQ5" s="182"/>
      <c r="AR5" s="182"/>
      <c r="AS5" s="182"/>
      <c r="AT5" s="182" t="s">
        <v>487</v>
      </c>
      <c r="AU5" s="182"/>
      <c r="AV5" s="182"/>
      <c r="AW5" s="182"/>
      <c r="AX5" s="182"/>
      <c r="AY5" s="182"/>
      <c r="AZ5" s="182" t="s">
        <v>488</v>
      </c>
      <c r="BA5" s="182"/>
      <c r="BB5" s="182"/>
      <c r="BC5" s="182"/>
      <c r="BD5" s="182"/>
      <c r="BE5" s="183"/>
      <c r="BF5" s="182" t="s">
        <v>517</v>
      </c>
      <c r="BG5" s="182"/>
      <c r="BH5" s="182"/>
      <c r="BI5" s="182"/>
      <c r="BJ5" s="182"/>
      <c r="BK5" s="183"/>
      <c r="BL5" s="182" t="s">
        <v>518</v>
      </c>
      <c r="BM5" s="182"/>
      <c r="BN5" s="182"/>
      <c r="BO5" s="182"/>
      <c r="BP5" s="182"/>
      <c r="BQ5" s="183"/>
      <c r="BR5" s="182" t="s">
        <v>519</v>
      </c>
      <c r="BS5" s="182"/>
      <c r="BT5" s="182"/>
      <c r="BU5" s="182"/>
      <c r="BV5" s="182"/>
      <c r="BW5" s="183"/>
      <c r="CC5" s="186" t="s">
        <v>489</v>
      </c>
      <c r="CD5" s="186"/>
      <c r="CE5" s="186"/>
    </row>
    <row r="6" spans="2:83" x14ac:dyDescent="0.3">
      <c r="B6" s="198"/>
      <c r="C6" s="198"/>
      <c r="D6" s="198"/>
      <c r="E6" s="46" t="s">
        <v>480</v>
      </c>
      <c r="F6" s="46" t="s">
        <v>490</v>
      </c>
      <c r="G6" s="46" t="s">
        <v>480</v>
      </c>
      <c r="H6" s="46" t="s">
        <v>490</v>
      </c>
      <c r="I6" s="199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K7">
        <v>3</v>
      </c>
      <c r="L7">
        <v>1</v>
      </c>
      <c r="M7">
        <v>33</v>
      </c>
      <c r="N7">
        <v>57</v>
      </c>
      <c r="O7">
        <v>31</v>
      </c>
      <c r="P7" s="56"/>
      <c r="Q7">
        <v>1</v>
      </c>
      <c r="R7">
        <v>4</v>
      </c>
      <c r="S7">
        <v>49</v>
      </c>
      <c r="T7">
        <v>69</v>
      </c>
      <c r="U7" s="57">
        <v>2</v>
      </c>
      <c r="V7" s="56"/>
      <c r="X7">
        <v>6</v>
      </c>
      <c r="Y7">
        <v>52</v>
      </c>
      <c r="Z7">
        <v>63</v>
      </c>
      <c r="AA7" s="57">
        <v>4</v>
      </c>
      <c r="AB7" s="56"/>
      <c r="AC7">
        <v>1</v>
      </c>
      <c r="AD7">
        <v>13</v>
      </c>
      <c r="AE7">
        <v>55</v>
      </c>
      <c r="AF7">
        <v>49</v>
      </c>
      <c r="AG7" s="57">
        <v>7</v>
      </c>
      <c r="AH7" s="56"/>
      <c r="AI7">
        <v>2</v>
      </c>
      <c r="AJ7">
        <v>4</v>
      </c>
      <c r="AK7">
        <v>38</v>
      </c>
      <c r="AL7">
        <v>75</v>
      </c>
      <c r="AM7" s="57">
        <v>6</v>
      </c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501</v>
      </c>
      <c r="C20" s="74"/>
      <c r="E20" s="72"/>
      <c r="F20" s="72"/>
      <c r="G20" s="72"/>
      <c r="H20" s="72"/>
    </row>
    <row r="22" spans="2:75" x14ac:dyDescent="0.3">
      <c r="B22" s="197" t="s">
        <v>474</v>
      </c>
      <c r="C22" s="197" t="s">
        <v>5</v>
      </c>
      <c r="D22" s="197" t="s">
        <v>475</v>
      </c>
      <c r="E22" s="186" t="s">
        <v>476</v>
      </c>
      <c r="F22" s="186"/>
      <c r="G22" s="186"/>
      <c r="H22" s="186"/>
      <c r="I22" s="184" t="s">
        <v>477</v>
      </c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85"/>
      <c r="AJ22" s="185"/>
      <c r="AK22" s="185"/>
      <c r="AL22" s="185"/>
      <c r="AM22" s="185"/>
      <c r="AN22" s="185"/>
      <c r="AO22" s="185"/>
      <c r="AP22" s="185"/>
      <c r="AQ22" s="185"/>
      <c r="AR22" s="185"/>
      <c r="AS22" s="185"/>
      <c r="AT22" s="185"/>
      <c r="AU22" s="185"/>
      <c r="AV22" s="185"/>
      <c r="AW22" s="185"/>
      <c r="AX22" s="185"/>
      <c r="AY22" s="185"/>
      <c r="AZ22" s="185"/>
      <c r="BA22" s="185"/>
      <c r="BB22" s="185"/>
      <c r="BC22" s="185"/>
      <c r="BD22" s="185"/>
      <c r="BE22" s="185"/>
      <c r="BF22" s="185"/>
      <c r="BG22" s="185"/>
      <c r="BH22" s="185"/>
      <c r="BI22" s="185"/>
      <c r="BJ22" s="185"/>
      <c r="BK22" s="185"/>
      <c r="BL22" s="185"/>
      <c r="BM22" s="185"/>
      <c r="BN22" s="185"/>
      <c r="BO22" s="185"/>
      <c r="BP22" s="185"/>
      <c r="BQ22" s="185"/>
      <c r="BR22" s="185"/>
      <c r="BS22" s="185"/>
      <c r="BT22" s="185"/>
      <c r="BU22" s="185"/>
      <c r="BV22" s="185"/>
      <c r="BW22" s="185"/>
    </row>
    <row r="23" spans="2:75" x14ac:dyDescent="0.3">
      <c r="B23" s="197"/>
      <c r="C23" s="197"/>
      <c r="D23" s="197"/>
      <c r="E23" s="186" t="s">
        <v>478</v>
      </c>
      <c r="F23" s="186"/>
      <c r="G23" s="45" t="s">
        <v>479</v>
      </c>
      <c r="H23" s="45"/>
      <c r="I23" s="199" t="s">
        <v>480</v>
      </c>
      <c r="J23" s="188" t="s">
        <v>481</v>
      </c>
      <c r="K23" s="182"/>
      <c r="L23" s="182"/>
      <c r="M23" s="182"/>
      <c r="N23" s="182"/>
      <c r="O23" s="182"/>
      <c r="P23" s="182" t="s">
        <v>482</v>
      </c>
      <c r="Q23" s="182"/>
      <c r="R23" s="182"/>
      <c r="S23" s="182"/>
      <c r="T23" s="182"/>
      <c r="U23" s="182"/>
      <c r="V23" s="182" t="s">
        <v>483</v>
      </c>
      <c r="W23" s="182"/>
      <c r="X23" s="182"/>
      <c r="Y23" s="182"/>
      <c r="Z23" s="182"/>
      <c r="AA23" s="182"/>
      <c r="AB23" s="182" t="s">
        <v>484</v>
      </c>
      <c r="AC23" s="182"/>
      <c r="AD23" s="182"/>
      <c r="AE23" s="182"/>
      <c r="AF23" s="182"/>
      <c r="AG23" s="182"/>
      <c r="AH23" s="182" t="s">
        <v>485</v>
      </c>
      <c r="AI23" s="182"/>
      <c r="AJ23" s="182"/>
      <c r="AK23" s="182"/>
      <c r="AL23" s="182"/>
      <c r="AM23" s="182"/>
      <c r="AN23" s="182" t="s">
        <v>486</v>
      </c>
      <c r="AO23" s="182"/>
      <c r="AP23" s="182"/>
      <c r="AQ23" s="182"/>
      <c r="AR23" s="182"/>
      <c r="AS23" s="182"/>
      <c r="AT23" s="182" t="s">
        <v>487</v>
      </c>
      <c r="AU23" s="182"/>
      <c r="AV23" s="182"/>
      <c r="AW23" s="182"/>
      <c r="AX23" s="182"/>
      <c r="AY23" s="182"/>
      <c r="AZ23" s="182" t="s">
        <v>488</v>
      </c>
      <c r="BA23" s="182"/>
      <c r="BB23" s="182"/>
      <c r="BC23" s="182"/>
      <c r="BD23" s="182"/>
      <c r="BE23" s="183"/>
      <c r="BF23" s="182" t="s">
        <v>517</v>
      </c>
      <c r="BG23" s="182"/>
      <c r="BH23" s="182"/>
      <c r="BI23" s="182"/>
      <c r="BJ23" s="182"/>
      <c r="BK23" s="183"/>
      <c r="BL23" s="182" t="s">
        <v>518</v>
      </c>
      <c r="BM23" s="182"/>
      <c r="BN23" s="182"/>
      <c r="BO23" s="182"/>
      <c r="BP23" s="182"/>
      <c r="BQ23" s="183"/>
      <c r="BR23" s="182" t="s">
        <v>519</v>
      </c>
      <c r="BS23" s="182"/>
      <c r="BT23" s="182"/>
      <c r="BU23" s="182"/>
      <c r="BV23" s="182"/>
      <c r="BW23" s="183"/>
    </row>
    <row r="24" spans="2:75" x14ac:dyDescent="0.3">
      <c r="B24" s="198"/>
      <c r="C24" s="198"/>
      <c r="D24" s="198"/>
      <c r="E24" s="46" t="s">
        <v>480</v>
      </c>
      <c r="F24" s="46" t="s">
        <v>490</v>
      </c>
      <c r="G24" s="46" t="s">
        <v>480</v>
      </c>
      <c r="H24" s="46" t="s">
        <v>490</v>
      </c>
      <c r="I24" s="199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6.3829787234042548E-2</v>
      </c>
      <c r="L25" s="78">
        <f t="shared" si="3"/>
        <v>3.1914893617021274E-2</v>
      </c>
      <c r="M25" s="78">
        <f t="shared" si="3"/>
        <v>1.4042553191489362</v>
      </c>
      <c r="N25" s="78">
        <f t="shared" si="3"/>
        <v>3.0319148936170213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1.6260162601626018E-2</v>
      </c>
      <c r="R25" s="78">
        <f t="shared" si="4"/>
        <v>9.7560975609756101E-2</v>
      </c>
      <c r="S25" s="78">
        <f>IF(AND(S7&lt;&gt;"",S7&gt;0),(VLOOKUP(S$6,$CC$6:$CE$12,3,0)*S7)/SUM($P7:$T7),0)</f>
        <v>1.5934959349593496</v>
      </c>
      <c r="T25" s="78">
        <f t="shared" si="4"/>
        <v>2.8048780487804876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0.1487603305785124</v>
      </c>
      <c r="Y25" s="78">
        <f t="shared" si="5"/>
        <v>1.71900826446281</v>
      </c>
      <c r="Z25" s="78">
        <f t="shared" si="5"/>
        <v>2.6033057851239669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1.6949152542372881E-2</v>
      </c>
      <c r="AD25" s="78">
        <f t="shared" si="6"/>
        <v>0.33050847457627119</v>
      </c>
      <c r="AE25" s="78">
        <f t="shared" si="6"/>
        <v>1.8644067796610169</v>
      </c>
      <c r="AF25" s="78">
        <f t="shared" si="6"/>
        <v>2.0762711864406778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3.3613445378151259E-2</v>
      </c>
      <c r="AJ25" s="78">
        <f t="shared" si="7"/>
        <v>0.10084033613445378</v>
      </c>
      <c r="AK25" s="78">
        <f t="shared" si="7"/>
        <v>1.2773109243697478</v>
      </c>
      <c r="AL25" s="78">
        <f t="shared" si="7"/>
        <v>3.1512605042016806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502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89" t="s">
        <v>474</v>
      </c>
      <c r="F43" s="191" t="s">
        <v>5</v>
      </c>
      <c r="G43" s="192"/>
      <c r="H43" s="192"/>
      <c r="I43" s="193"/>
      <c r="J43" s="187" t="s">
        <v>503</v>
      </c>
      <c r="K43" s="185"/>
      <c r="L43" s="185"/>
      <c r="M43" s="185"/>
      <c r="N43" s="185"/>
      <c r="O43" s="185"/>
      <c r="P43" s="185"/>
      <c r="Q43" s="185"/>
      <c r="R43" s="185"/>
      <c r="S43" s="185"/>
      <c r="T43" s="185"/>
    </row>
    <row r="44" spans="2:75" x14ac:dyDescent="0.3">
      <c r="E44" s="190"/>
      <c r="F44" s="194"/>
      <c r="G44" s="195"/>
      <c r="H44" s="195"/>
      <c r="I44" s="196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504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4.5319148936170208</v>
      </c>
      <c r="K45" s="91">
        <f t="shared" ref="K45:K55" si="52">SUM(P25:U25)</f>
        <v>4.5121951219512191</v>
      </c>
      <c r="L45" s="91">
        <f t="shared" ref="L45:L55" si="53">SUM(V25:AA25)</f>
        <v>4.4710743801652892</v>
      </c>
      <c r="M45" s="91">
        <f t="shared" ref="M45:M55" si="54">SUM(AB25:AG25)</f>
        <v>4.2881355932203391</v>
      </c>
      <c r="N45" s="91">
        <f t="shared" ref="N45:N55" si="55">SUM(AH25:AM25)</f>
        <v>4.5630252100840334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4.4732690398075805</v>
      </c>
      <c r="V45" s="93"/>
      <c r="W45" s="92">
        <v>4.4600389863547756</v>
      </c>
    </row>
    <row r="46" spans="2:75" x14ac:dyDescent="0.3">
      <c r="E46" s="60">
        <v>2</v>
      </c>
      <c r="F46" s="94" t="s">
        <v>500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67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93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86" t="s">
        <v>489</v>
      </c>
      <c r="K57" s="186"/>
      <c r="L57" s="186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505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8" priority="9">
      <formula>J7=""</formula>
    </cfRule>
  </conditionalFormatting>
  <conditionalFormatting sqref="J25:BE35">
    <cfRule type="expression" dxfId="17" priority="8">
      <formula>J25=0</formula>
    </cfRule>
  </conditionalFormatting>
  <conditionalFormatting sqref="BF7:BK17">
    <cfRule type="expression" dxfId="16" priority="7">
      <formula>BF7=""</formula>
    </cfRule>
  </conditionalFormatting>
  <conditionalFormatting sqref="BL7:BQ17">
    <cfRule type="expression" dxfId="15" priority="6">
      <formula>BL7=""</formula>
    </cfRule>
  </conditionalFormatting>
  <conditionalFormatting sqref="BR7:BW17">
    <cfRule type="expression" dxfId="14" priority="5">
      <formula>BR7=""</formula>
    </cfRule>
  </conditionalFormatting>
  <conditionalFormatting sqref="BL25:BQ35">
    <cfRule type="expression" dxfId="13" priority="3">
      <formula>BL25=0</formula>
    </cfRule>
  </conditionalFormatting>
  <conditionalFormatting sqref="BR25:BW35">
    <cfRule type="expression" dxfId="12" priority="2">
      <formula>BR25=0</formula>
    </cfRule>
  </conditionalFormatting>
  <conditionalFormatting sqref="BF25:BK35">
    <cfRule type="expression" dxfId="11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C32" sqref="C32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7" t="s">
        <v>474</v>
      </c>
      <c r="C4" s="197" t="s">
        <v>5</v>
      </c>
      <c r="D4" s="197" t="s">
        <v>475</v>
      </c>
      <c r="E4" s="186" t="s">
        <v>476</v>
      </c>
      <c r="F4" s="186"/>
      <c r="G4" s="186"/>
      <c r="H4" s="186"/>
      <c r="I4" s="184" t="s">
        <v>477</v>
      </c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  <c r="Z4" s="185"/>
      <c r="AA4" s="185"/>
      <c r="AB4" s="185"/>
      <c r="AC4" s="185"/>
      <c r="AD4" s="185"/>
      <c r="AE4" s="185"/>
      <c r="AF4" s="185"/>
      <c r="AG4" s="185"/>
      <c r="AH4" s="185"/>
      <c r="AI4" s="185"/>
      <c r="AJ4" s="185"/>
      <c r="AK4" s="185"/>
      <c r="AL4" s="185"/>
      <c r="AM4" s="185"/>
      <c r="AN4" s="185"/>
      <c r="AO4" s="185"/>
      <c r="AP4" s="185"/>
      <c r="AQ4" s="185"/>
      <c r="AR4" s="185"/>
      <c r="AS4" s="185"/>
      <c r="AT4" s="185"/>
      <c r="AU4" s="185"/>
      <c r="AV4" s="185"/>
      <c r="AW4" s="185"/>
      <c r="AX4" s="185"/>
      <c r="AY4" s="185"/>
      <c r="AZ4" s="185"/>
      <c r="BA4" s="185"/>
      <c r="BB4" s="185"/>
      <c r="BC4" s="185"/>
      <c r="BD4" s="185"/>
      <c r="BE4" s="185"/>
      <c r="BF4" s="185"/>
      <c r="BG4" s="185"/>
      <c r="BH4" s="185"/>
      <c r="BI4" s="185"/>
      <c r="BJ4" s="185"/>
      <c r="BK4" s="185"/>
      <c r="BL4" s="185"/>
      <c r="BM4" s="185"/>
      <c r="BN4" s="185"/>
      <c r="BO4" s="185"/>
      <c r="BP4" s="185"/>
      <c r="BQ4" s="185"/>
      <c r="BR4" s="185"/>
      <c r="BS4" s="185"/>
      <c r="BT4" s="185"/>
      <c r="BU4" s="185"/>
      <c r="BV4" s="185"/>
      <c r="BW4" s="185"/>
    </row>
    <row r="5" spans="2:83" x14ac:dyDescent="0.3">
      <c r="B5" s="197"/>
      <c r="C5" s="197"/>
      <c r="D5" s="197"/>
      <c r="E5" s="186" t="s">
        <v>478</v>
      </c>
      <c r="F5" s="186"/>
      <c r="G5" s="45" t="s">
        <v>479</v>
      </c>
      <c r="H5" s="45"/>
      <c r="I5" s="199" t="s">
        <v>480</v>
      </c>
      <c r="J5" s="188" t="s">
        <v>481</v>
      </c>
      <c r="K5" s="182"/>
      <c r="L5" s="182"/>
      <c r="M5" s="182"/>
      <c r="N5" s="182"/>
      <c r="O5" s="182"/>
      <c r="P5" s="182" t="s">
        <v>482</v>
      </c>
      <c r="Q5" s="182"/>
      <c r="R5" s="182"/>
      <c r="S5" s="182"/>
      <c r="T5" s="182"/>
      <c r="U5" s="182"/>
      <c r="V5" s="182" t="s">
        <v>483</v>
      </c>
      <c r="W5" s="182"/>
      <c r="X5" s="182"/>
      <c r="Y5" s="182"/>
      <c r="Z5" s="182"/>
      <c r="AA5" s="182"/>
      <c r="AB5" s="182" t="s">
        <v>484</v>
      </c>
      <c r="AC5" s="182"/>
      <c r="AD5" s="182"/>
      <c r="AE5" s="182"/>
      <c r="AF5" s="182"/>
      <c r="AG5" s="182"/>
      <c r="AH5" s="182" t="s">
        <v>485</v>
      </c>
      <c r="AI5" s="182"/>
      <c r="AJ5" s="182"/>
      <c r="AK5" s="182"/>
      <c r="AL5" s="182"/>
      <c r="AM5" s="182"/>
      <c r="AN5" s="182" t="s">
        <v>486</v>
      </c>
      <c r="AO5" s="182"/>
      <c r="AP5" s="182"/>
      <c r="AQ5" s="182"/>
      <c r="AR5" s="182"/>
      <c r="AS5" s="182"/>
      <c r="AT5" s="182" t="s">
        <v>487</v>
      </c>
      <c r="AU5" s="182"/>
      <c r="AV5" s="182"/>
      <c r="AW5" s="182"/>
      <c r="AX5" s="182"/>
      <c r="AY5" s="182"/>
      <c r="AZ5" s="182" t="s">
        <v>488</v>
      </c>
      <c r="BA5" s="182"/>
      <c r="BB5" s="182"/>
      <c r="BC5" s="182"/>
      <c r="BD5" s="182"/>
      <c r="BE5" s="183"/>
      <c r="BF5" s="182" t="s">
        <v>517</v>
      </c>
      <c r="BG5" s="182"/>
      <c r="BH5" s="182"/>
      <c r="BI5" s="182"/>
      <c r="BJ5" s="182"/>
      <c r="BK5" s="183"/>
      <c r="BL5" s="182" t="s">
        <v>518</v>
      </c>
      <c r="BM5" s="182"/>
      <c r="BN5" s="182"/>
      <c r="BO5" s="182"/>
      <c r="BP5" s="182"/>
      <c r="BQ5" s="183"/>
      <c r="BR5" s="182" t="s">
        <v>519</v>
      </c>
      <c r="BS5" s="182"/>
      <c r="BT5" s="182"/>
      <c r="BU5" s="182"/>
      <c r="BV5" s="182"/>
      <c r="BW5" s="183"/>
      <c r="CC5" s="186" t="s">
        <v>489</v>
      </c>
      <c r="CD5" s="186"/>
      <c r="CE5" s="186"/>
    </row>
    <row r="6" spans="2:83" x14ac:dyDescent="0.3">
      <c r="B6" s="198"/>
      <c r="C6" s="198"/>
      <c r="D6" s="198"/>
      <c r="E6" s="46" t="s">
        <v>480</v>
      </c>
      <c r="F6" s="46" t="s">
        <v>490</v>
      </c>
      <c r="G6" s="46" t="s">
        <v>480</v>
      </c>
      <c r="H6" s="46" t="s">
        <v>490</v>
      </c>
      <c r="I6" s="199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M7">
        <v>3</v>
      </c>
      <c r="N7">
        <v>14</v>
      </c>
      <c r="O7">
        <v>12</v>
      </c>
      <c r="P7" s="56"/>
      <c r="S7">
        <v>7</v>
      </c>
      <c r="T7">
        <v>22</v>
      </c>
      <c r="U7" s="57"/>
      <c r="V7" s="56"/>
      <c r="Y7">
        <v>11</v>
      </c>
      <c r="Z7">
        <v>16</v>
      </c>
      <c r="AA7" s="57">
        <v>2</v>
      </c>
      <c r="AB7" s="56"/>
      <c r="AD7">
        <v>2</v>
      </c>
      <c r="AE7">
        <v>7</v>
      </c>
      <c r="AF7">
        <v>16</v>
      </c>
      <c r="AG7" s="57">
        <v>4</v>
      </c>
      <c r="AH7" s="56"/>
      <c r="AJ7">
        <v>1</v>
      </c>
      <c r="AK7">
        <v>4</v>
      </c>
      <c r="AL7">
        <v>22</v>
      </c>
      <c r="AM7" s="57">
        <v>2</v>
      </c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M8">
        <v>8</v>
      </c>
      <c r="N8">
        <v>16</v>
      </c>
      <c r="O8">
        <v>5</v>
      </c>
      <c r="P8" s="56"/>
      <c r="S8">
        <v>13</v>
      </c>
      <c r="T8">
        <v>16</v>
      </c>
      <c r="U8" s="57"/>
      <c r="V8" s="56"/>
      <c r="Y8">
        <v>9</v>
      </c>
      <c r="Z8">
        <v>20</v>
      </c>
      <c r="AA8" s="57"/>
      <c r="AB8" s="56"/>
      <c r="AD8">
        <v>5</v>
      </c>
      <c r="AE8">
        <v>9</v>
      </c>
      <c r="AF8">
        <v>13</v>
      </c>
      <c r="AG8" s="57">
        <v>2</v>
      </c>
      <c r="AH8" s="56"/>
      <c r="AJ8">
        <v>1</v>
      </c>
      <c r="AK8">
        <v>8</v>
      </c>
      <c r="AL8">
        <v>20</v>
      </c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L9">
        <v>1</v>
      </c>
      <c r="M9">
        <v>4</v>
      </c>
      <c r="N9">
        <v>14</v>
      </c>
      <c r="O9">
        <v>4</v>
      </c>
      <c r="P9" s="56"/>
      <c r="Q9">
        <v>1</v>
      </c>
      <c r="R9">
        <v>2</v>
      </c>
      <c r="S9">
        <v>8</v>
      </c>
      <c r="T9">
        <v>12</v>
      </c>
      <c r="U9" s="57"/>
      <c r="V9" s="56"/>
      <c r="X9">
        <v>2</v>
      </c>
      <c r="Y9">
        <v>10</v>
      </c>
      <c r="Z9">
        <v>11</v>
      </c>
      <c r="AA9" s="57"/>
      <c r="AB9" s="56"/>
      <c r="AD9">
        <v>1</v>
      </c>
      <c r="AE9">
        <v>13</v>
      </c>
      <c r="AF9">
        <v>9</v>
      </c>
      <c r="AG9" s="57"/>
      <c r="AH9" s="56"/>
      <c r="AI9">
        <v>1</v>
      </c>
      <c r="AK9">
        <v>6</v>
      </c>
      <c r="AL9">
        <v>15</v>
      </c>
      <c r="AM9" s="57">
        <v>1</v>
      </c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K10">
        <v>1</v>
      </c>
      <c r="M10">
        <v>8</v>
      </c>
      <c r="N10">
        <v>5</v>
      </c>
      <c r="O10">
        <v>2</v>
      </c>
      <c r="P10" s="56"/>
      <c r="R10">
        <v>2</v>
      </c>
      <c r="S10">
        <v>6</v>
      </c>
      <c r="T10">
        <v>7</v>
      </c>
      <c r="U10" s="57">
        <v>1</v>
      </c>
      <c r="V10" s="56"/>
      <c r="X10">
        <v>4</v>
      </c>
      <c r="Y10">
        <v>5</v>
      </c>
      <c r="Z10">
        <v>6</v>
      </c>
      <c r="AA10" s="57">
        <v>1</v>
      </c>
      <c r="AB10" s="56"/>
      <c r="AC10">
        <v>1</v>
      </c>
      <c r="AD10">
        <v>2</v>
      </c>
      <c r="AE10">
        <v>7</v>
      </c>
      <c r="AF10">
        <v>6</v>
      </c>
      <c r="AG10" s="57"/>
      <c r="AH10" s="56"/>
      <c r="AI10">
        <v>1</v>
      </c>
      <c r="AJ10">
        <v>2</v>
      </c>
      <c r="AK10">
        <v>6</v>
      </c>
      <c r="AL10">
        <v>6</v>
      </c>
      <c r="AM10" s="57">
        <v>1</v>
      </c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K11">
        <v>2</v>
      </c>
      <c r="M11">
        <v>10</v>
      </c>
      <c r="N11">
        <v>8</v>
      </c>
      <c r="O11">
        <v>8</v>
      </c>
      <c r="P11" s="56"/>
      <c r="S11">
        <v>15</v>
      </c>
      <c r="T11">
        <v>12</v>
      </c>
      <c r="U11" s="57">
        <v>1</v>
      </c>
      <c r="V11" s="56"/>
      <c r="Y11">
        <v>17</v>
      </c>
      <c r="Z11">
        <v>10</v>
      </c>
      <c r="AA11" s="57">
        <v>1</v>
      </c>
      <c r="AB11" s="56"/>
      <c r="AD11">
        <v>3</v>
      </c>
      <c r="AE11">
        <v>19</v>
      </c>
      <c r="AF11">
        <v>5</v>
      </c>
      <c r="AG11" s="57">
        <v>1</v>
      </c>
      <c r="AH11" s="56"/>
      <c r="AK11">
        <v>14</v>
      </c>
      <c r="AL11">
        <v>12</v>
      </c>
      <c r="AM11" s="57">
        <v>2</v>
      </c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580</v>
      </c>
      <c r="C14" s="74"/>
      <c r="E14" s="72"/>
      <c r="F14" s="72"/>
      <c r="G14" s="72"/>
      <c r="H14" s="72"/>
    </row>
    <row r="16" spans="2:83" x14ac:dyDescent="0.3">
      <c r="B16" s="197" t="s">
        <v>474</v>
      </c>
      <c r="C16" s="197" t="s">
        <v>5</v>
      </c>
      <c r="D16" s="197" t="s">
        <v>475</v>
      </c>
      <c r="E16" s="186" t="s">
        <v>476</v>
      </c>
      <c r="F16" s="186"/>
      <c r="G16" s="186"/>
      <c r="H16" s="186"/>
      <c r="I16" s="184" t="s">
        <v>477</v>
      </c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5"/>
      <c r="AZ16" s="185"/>
      <c r="BA16" s="185"/>
      <c r="BB16" s="185"/>
      <c r="BC16" s="185"/>
      <c r="BD16" s="185"/>
      <c r="BE16" s="185"/>
      <c r="BF16" s="185"/>
      <c r="BG16" s="185"/>
      <c r="BH16" s="185"/>
      <c r="BI16" s="185"/>
      <c r="BJ16" s="185"/>
      <c r="BK16" s="185"/>
      <c r="BL16" s="185"/>
      <c r="BM16" s="185"/>
      <c r="BN16" s="185"/>
      <c r="BO16" s="185"/>
      <c r="BP16" s="185"/>
      <c r="BQ16" s="185"/>
      <c r="BR16" s="185"/>
      <c r="BS16" s="185"/>
      <c r="BT16" s="185"/>
      <c r="BU16" s="185"/>
      <c r="BV16" s="185"/>
      <c r="BW16" s="185"/>
    </row>
    <row r="17" spans="2:75" x14ac:dyDescent="0.3">
      <c r="B17" s="197"/>
      <c r="C17" s="197"/>
      <c r="D17" s="197"/>
      <c r="E17" s="186" t="s">
        <v>478</v>
      </c>
      <c r="F17" s="186"/>
      <c r="G17" s="45" t="s">
        <v>479</v>
      </c>
      <c r="H17" s="45"/>
      <c r="I17" s="199" t="s">
        <v>480</v>
      </c>
      <c r="J17" s="188" t="s">
        <v>481</v>
      </c>
      <c r="K17" s="182"/>
      <c r="L17" s="182"/>
      <c r="M17" s="182"/>
      <c r="N17" s="182"/>
      <c r="O17" s="182"/>
      <c r="P17" s="182" t="s">
        <v>482</v>
      </c>
      <c r="Q17" s="182"/>
      <c r="R17" s="182"/>
      <c r="S17" s="182"/>
      <c r="T17" s="182"/>
      <c r="U17" s="182"/>
      <c r="V17" s="182" t="s">
        <v>483</v>
      </c>
      <c r="W17" s="182"/>
      <c r="X17" s="182"/>
      <c r="Y17" s="182"/>
      <c r="Z17" s="182"/>
      <c r="AA17" s="182"/>
      <c r="AB17" s="182" t="s">
        <v>484</v>
      </c>
      <c r="AC17" s="182"/>
      <c r="AD17" s="182"/>
      <c r="AE17" s="182"/>
      <c r="AF17" s="182"/>
      <c r="AG17" s="182"/>
      <c r="AH17" s="182" t="s">
        <v>485</v>
      </c>
      <c r="AI17" s="182"/>
      <c r="AJ17" s="182"/>
      <c r="AK17" s="182"/>
      <c r="AL17" s="182"/>
      <c r="AM17" s="182"/>
      <c r="AN17" s="182" t="s">
        <v>486</v>
      </c>
      <c r="AO17" s="182"/>
      <c r="AP17" s="182"/>
      <c r="AQ17" s="182"/>
      <c r="AR17" s="182"/>
      <c r="AS17" s="182"/>
      <c r="AT17" s="182" t="s">
        <v>487</v>
      </c>
      <c r="AU17" s="182"/>
      <c r="AV17" s="182"/>
      <c r="AW17" s="182"/>
      <c r="AX17" s="182"/>
      <c r="AY17" s="182"/>
      <c r="AZ17" s="182" t="s">
        <v>488</v>
      </c>
      <c r="BA17" s="182"/>
      <c r="BB17" s="182"/>
      <c r="BC17" s="182"/>
      <c r="BD17" s="182"/>
      <c r="BE17" s="183"/>
      <c r="BF17" s="182" t="s">
        <v>517</v>
      </c>
      <c r="BG17" s="182"/>
      <c r="BH17" s="182"/>
      <c r="BI17" s="182"/>
      <c r="BJ17" s="182"/>
      <c r="BK17" s="183"/>
      <c r="BL17" s="182" t="s">
        <v>518</v>
      </c>
      <c r="BM17" s="182"/>
      <c r="BN17" s="182"/>
      <c r="BO17" s="182"/>
      <c r="BP17" s="182"/>
      <c r="BQ17" s="183"/>
      <c r="BR17" s="182" t="s">
        <v>519</v>
      </c>
      <c r="BS17" s="182"/>
      <c r="BT17" s="182"/>
      <c r="BU17" s="182"/>
      <c r="BV17" s="182"/>
      <c r="BW17" s="183"/>
    </row>
    <row r="18" spans="2:75" x14ac:dyDescent="0.3">
      <c r="B18" s="198"/>
      <c r="C18" s="198"/>
      <c r="D18" s="198"/>
      <c r="E18" s="46" t="s">
        <v>480</v>
      </c>
      <c r="F18" s="46" t="s">
        <v>490</v>
      </c>
      <c r="G18" s="46" t="s">
        <v>480</v>
      </c>
      <c r="H18" s="46" t="s">
        <v>490</v>
      </c>
      <c r="I18" s="199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</v>
      </c>
      <c r="M19" s="78">
        <f>IF(AND(M7&lt;&gt;"",M7&gt;0),(VLOOKUP(M$6,$CC$6:$CE$12,3,0)*M7)/SUM($J7:$N7),0)</f>
        <v>0.70588235294117652</v>
      </c>
      <c r="N19" s="78">
        <f>IF(AND(N7&lt;&gt;"",N7&gt;0),(VLOOKUP(N$6,$CC$6:$CE$12,3,0)*N7)/SUM($J7:$N7),0)</f>
        <v>4.117647058823529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</v>
      </c>
      <c r="S19" s="78">
        <f t="shared" si="2"/>
        <v>0.96551724137931039</v>
      </c>
      <c r="T19" s="78">
        <f t="shared" si="2"/>
        <v>3.7931034482758621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</v>
      </c>
      <c r="Y19" s="78">
        <f t="shared" si="4"/>
        <v>1.6296296296296295</v>
      </c>
      <c r="Z19" s="78">
        <f t="shared" si="4"/>
        <v>2.9629629629629628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0.24</v>
      </c>
      <c r="AE19" s="78">
        <f t="shared" si="5"/>
        <v>1.1200000000000001</v>
      </c>
      <c r="AF19" s="78">
        <f t="shared" si="5"/>
        <v>3.2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0.1111111111111111</v>
      </c>
      <c r="AK19" s="78">
        <f t="shared" si="6"/>
        <v>0.59259259259259256</v>
      </c>
      <c r="AL19" s="78">
        <f t="shared" si="6"/>
        <v>4.0740740740740744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</v>
      </c>
      <c r="M20" s="78">
        <f>IF(AND(M8&lt;&gt;"",M8&gt;0),(VLOOKUP(M$6,$CC$6:$CE$12,3,0)*M8)/SUM($J8:$N8),0)</f>
        <v>1.3333333333333333</v>
      </c>
      <c r="N20" s="78">
        <f t="shared" ref="N20" si="13">IF(AND(N8&lt;&gt;"",N8&gt;0),(VLOOKUP(N$6,$CC$6:$CE$12,3,0)*N8)/SUM($J8:$N8),0)</f>
        <v>3.3333333333333335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</v>
      </c>
      <c r="S20" s="78">
        <f t="shared" si="2"/>
        <v>1.7931034482758621</v>
      </c>
      <c r="T20" s="78">
        <f t="shared" si="2"/>
        <v>2.7586206896551726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</v>
      </c>
      <c r="Y20" s="78">
        <f t="shared" si="4"/>
        <v>1.2413793103448276</v>
      </c>
      <c r="Z20" s="78">
        <f t="shared" si="4"/>
        <v>3.4482758620689653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0.55555555555555558</v>
      </c>
      <c r="AE20" s="78">
        <f t="shared" si="5"/>
        <v>1.3333333333333333</v>
      </c>
      <c r="AF20" s="78">
        <f t="shared" si="5"/>
        <v>2.4074074074074074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0.10344827586206896</v>
      </c>
      <c r="AK20" s="78">
        <f t="shared" si="6"/>
        <v>1.103448275862069</v>
      </c>
      <c r="AL20" s="78">
        <f t="shared" si="6"/>
        <v>3.4482758620689653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0.15789473684210525</v>
      </c>
      <c r="M21" s="78">
        <f t="shared" ref="M21:N21" si="23">IF(AND(M9&lt;&gt;"",M9&gt;0),(VLOOKUP(M$6,$CC$6:$CE$12,3,0)*M9)/SUM($J9:$N9),0)</f>
        <v>0.84210526315789469</v>
      </c>
      <c r="N21" s="78">
        <f t="shared" si="23"/>
        <v>3.6842105263157894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8.6956521739130432E-2</v>
      </c>
      <c r="R21" s="78">
        <f t="shared" si="2"/>
        <v>0.2608695652173913</v>
      </c>
      <c r="S21" s="78">
        <f t="shared" si="2"/>
        <v>1.3913043478260869</v>
      </c>
      <c r="T21" s="78">
        <f t="shared" si="2"/>
        <v>2.6086956521739131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0.2608695652173913</v>
      </c>
      <c r="Y21" s="78">
        <f t="shared" si="4"/>
        <v>1.7391304347826086</v>
      </c>
      <c r="Z21" s="78">
        <f t="shared" si="4"/>
        <v>2.3913043478260869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0.13043478260869565</v>
      </c>
      <c r="AE21" s="78">
        <f t="shared" si="5"/>
        <v>2.2608695652173911</v>
      </c>
      <c r="AF21" s="78">
        <f t="shared" si="5"/>
        <v>1.9565217391304348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9.0909090909090912E-2</v>
      </c>
      <c r="AJ21" s="78">
        <f t="shared" si="6"/>
        <v>0</v>
      </c>
      <c r="AK21" s="78">
        <f t="shared" si="6"/>
        <v>1.0909090909090908</v>
      </c>
      <c r="AL21" s="78">
        <f t="shared" si="6"/>
        <v>3.4090909090909092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0.14285714285714285</v>
      </c>
      <c r="L22" s="78">
        <f t="shared" si="1"/>
        <v>0</v>
      </c>
      <c r="M22" s="78">
        <f t="shared" ref="M22:N22" si="27">IF(AND(M10&lt;&gt;"",M10&gt;0),(VLOOKUP(M$6,$CC$6:$CE$12,3,0)*M10)/SUM($J10:$N10),0)</f>
        <v>2.2857142857142856</v>
      </c>
      <c r="N22" s="78">
        <f t="shared" si="27"/>
        <v>1.7857142857142858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0.4</v>
      </c>
      <c r="S22" s="78">
        <f t="shared" si="2"/>
        <v>1.6</v>
      </c>
      <c r="T22" s="78">
        <f t="shared" si="2"/>
        <v>2.3333333333333335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0.8</v>
      </c>
      <c r="Y22" s="78">
        <f t="shared" si="4"/>
        <v>1.3333333333333333</v>
      </c>
      <c r="Z22" s="78">
        <f t="shared" si="4"/>
        <v>2</v>
      </c>
      <c r="AA22" s="78">
        <f t="shared" si="15"/>
        <v>0</v>
      </c>
      <c r="AB22" s="77">
        <f t="shared" si="5"/>
        <v>0</v>
      </c>
      <c r="AC22" s="78">
        <f t="shared" si="5"/>
        <v>0.125</v>
      </c>
      <c r="AD22" s="78">
        <f t="shared" si="5"/>
        <v>0.375</v>
      </c>
      <c r="AE22" s="78">
        <f t="shared" si="5"/>
        <v>1.75</v>
      </c>
      <c r="AF22" s="78">
        <f t="shared" si="5"/>
        <v>1.875</v>
      </c>
      <c r="AG22" s="78">
        <f t="shared" si="24"/>
        <v>0</v>
      </c>
      <c r="AH22" s="77">
        <f t="shared" si="6"/>
        <v>0</v>
      </c>
      <c r="AI22" s="78">
        <f t="shared" si="6"/>
        <v>0.13333333333333333</v>
      </c>
      <c r="AJ22" s="78">
        <f t="shared" si="6"/>
        <v>0.4</v>
      </c>
      <c r="AK22" s="78">
        <f t="shared" si="6"/>
        <v>1.6</v>
      </c>
      <c r="AL22" s="78">
        <f t="shared" si="6"/>
        <v>2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0.2</v>
      </c>
      <c r="L23" s="78">
        <f t="shared" si="1"/>
        <v>0</v>
      </c>
      <c r="M23" s="78">
        <f t="shared" ref="M23:N23" si="30">IF(AND(M11&lt;&gt;"",M11&gt;0),(VLOOKUP(M$6,$CC$6:$CE$12,3,0)*M11)/SUM($J11:$N11),0)</f>
        <v>2</v>
      </c>
      <c r="N23" s="78">
        <f t="shared" si="30"/>
        <v>2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2.2222222222222223</v>
      </c>
      <c r="T23" s="78">
        <f t="shared" si="2"/>
        <v>2.2222222222222223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2.5185185185185186</v>
      </c>
      <c r="Z23" s="78">
        <f t="shared" si="4"/>
        <v>1.8518518518518519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0.33333333333333331</v>
      </c>
      <c r="AE23" s="78">
        <f t="shared" si="5"/>
        <v>2.8148148148148149</v>
      </c>
      <c r="AF23" s="78">
        <f t="shared" si="5"/>
        <v>0.92592592592592593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2.1538461538461537</v>
      </c>
      <c r="AL23" s="78">
        <f t="shared" si="6"/>
        <v>2.3076923076923075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502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89" t="s">
        <v>474</v>
      </c>
      <c r="F31" s="191" t="s">
        <v>5</v>
      </c>
      <c r="G31" s="192"/>
      <c r="H31" s="192"/>
      <c r="I31" s="193"/>
      <c r="J31" s="187" t="s">
        <v>503</v>
      </c>
      <c r="K31" s="185"/>
      <c r="L31" s="185"/>
      <c r="M31" s="185"/>
      <c r="N31" s="185"/>
      <c r="O31" s="185"/>
      <c r="P31" s="185"/>
      <c r="Q31" s="185"/>
      <c r="R31" s="185"/>
      <c r="S31" s="185"/>
      <c r="T31" s="185"/>
    </row>
    <row r="32" spans="2:75" x14ac:dyDescent="0.3">
      <c r="E32" s="190"/>
      <c r="F32" s="194"/>
      <c r="G32" s="195"/>
      <c r="H32" s="195"/>
      <c r="I32" s="196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504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4.8235294117647056</v>
      </c>
      <c r="K33" s="91">
        <f>SUM(P19:U19)</f>
        <v>4.7586206896551726</v>
      </c>
      <c r="L33" s="91">
        <f>SUM(V19:AA19)</f>
        <v>4.5925925925925926</v>
      </c>
      <c r="M33" s="91">
        <f>SUM(AB19:AG19)</f>
        <v>4.5600000000000005</v>
      </c>
      <c r="N33" s="91">
        <f>SUM(AH19:AM19)</f>
        <v>4.7777777777777786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4.7025040943580496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4.666666666666667</v>
      </c>
      <c r="K34" s="96">
        <f>SUM(P20:U20)</f>
        <v>4.5517241379310347</v>
      </c>
      <c r="L34" s="96">
        <f>SUM(V20:AA20)</f>
        <v>4.6896551724137927</v>
      </c>
      <c r="M34" s="96">
        <f>SUM(AB20:AG20)</f>
        <v>4.2962962962962958</v>
      </c>
      <c r="N34" s="96">
        <f>SUM(AH20:AM20)</f>
        <v>4.6551724137931032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4.5719029374201785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4.6842105263157894</v>
      </c>
      <c r="K35" s="96">
        <f>SUM(P21:U21)</f>
        <v>4.3478260869565215</v>
      </c>
      <c r="L35" s="96">
        <f>SUM(V21:AA21)</f>
        <v>4.3913043478260869</v>
      </c>
      <c r="M35" s="96">
        <f>SUM(AB21:AG21)</f>
        <v>4.3478260869565215</v>
      </c>
      <c r="N35" s="96">
        <f>SUM(AH21:AM21)</f>
        <v>4.5909090909090908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4.4724152277928022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4.2142857142857144</v>
      </c>
      <c r="K36" s="96">
        <f>SUM(P22:U22)</f>
        <v>4.3333333333333339</v>
      </c>
      <c r="L36" s="96">
        <f>SUM(V22:AA22)</f>
        <v>4.1333333333333329</v>
      </c>
      <c r="M36" s="96">
        <f>SUM(AB22:AG22)</f>
        <v>4.125</v>
      </c>
      <c r="N36" s="96">
        <f>SUM(AH22:AM22)</f>
        <v>4.1333333333333329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4.1878571428571423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4.2</v>
      </c>
      <c r="K37" s="96">
        <f>SUM(P23:U23)</f>
        <v>4.4444444444444446</v>
      </c>
      <c r="L37" s="96">
        <f>SUM(V23:AA23)</f>
        <v>4.3703703703703702</v>
      </c>
      <c r="M37" s="96">
        <f>SUM(AB23:AG23)</f>
        <v>4.0740740740740744</v>
      </c>
      <c r="N37" s="96">
        <f>SUM(AH23:AM23)</f>
        <v>4.4615384615384617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4.31008547008547</v>
      </c>
      <c r="V37" s="93"/>
      <c r="X37" s="99">
        <v>4.5289999999999999</v>
      </c>
    </row>
    <row r="39" spans="5:24" ht="15.6" x14ac:dyDescent="0.3">
      <c r="J39" s="186" t="s">
        <v>489</v>
      </c>
      <c r="K39" s="186"/>
      <c r="L39" s="186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505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10" priority="14">
      <formula>J7=""</formula>
    </cfRule>
  </conditionalFormatting>
  <conditionalFormatting sqref="P19:AF23 AH19:BK23 J19:N23">
    <cfRule type="expression" dxfId="9" priority="13">
      <formula>J19=0</formula>
    </cfRule>
  </conditionalFormatting>
  <conditionalFormatting sqref="BF7:BK11">
    <cfRule type="expression" dxfId="8" priority="12">
      <formula>BF7=""</formula>
    </cfRule>
  </conditionalFormatting>
  <conditionalFormatting sqref="BL7:BQ11">
    <cfRule type="expression" dxfId="7" priority="11">
      <formula>BL7=""</formula>
    </cfRule>
  </conditionalFormatting>
  <conditionalFormatting sqref="BR7:BW11">
    <cfRule type="expression" dxfId="6" priority="10">
      <formula>BR7=""</formula>
    </cfRule>
  </conditionalFormatting>
  <conditionalFormatting sqref="O19:O23">
    <cfRule type="expression" dxfId="5" priority="4">
      <formula>O19=0</formula>
    </cfRule>
  </conditionalFormatting>
  <conditionalFormatting sqref="AG19:AG23">
    <cfRule type="expression" dxfId="4" priority="3">
      <formula>AG19=0</formula>
    </cfRule>
  </conditionalFormatting>
  <conditionalFormatting sqref="BL19:BQ23">
    <cfRule type="expression" dxfId="3" priority="2">
      <formula>BL19=0</formula>
    </cfRule>
  </conditionalFormatting>
  <conditionalFormatting sqref="BR19:BW23">
    <cfRule type="expression" dxfId="2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31BD7-EDDB-4BB0-A2E9-11CF51977F4F}">
  <sheetPr codeName="Hoja4"/>
  <dimension ref="A1:L38"/>
  <sheetViews>
    <sheetView workbookViewId="0">
      <pane ySplit="1" topLeftCell="A2" activePane="bottomLeft" state="frozenSplit"/>
      <selection pane="bottomLeft" sqref="A1:A1048487"/>
    </sheetView>
  </sheetViews>
  <sheetFormatPr baseColWidth="10" defaultRowHeight="14.4" x14ac:dyDescent="0.3"/>
  <cols>
    <col min="1" max="1" width="119.77734375" bestFit="1" customWidth="1"/>
  </cols>
  <sheetData>
    <row r="1" spans="1:12" x14ac:dyDescent="0.3">
      <c r="A1" s="154" t="s">
        <v>665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</row>
    <row r="3" spans="1:12" x14ac:dyDescent="0.3">
      <c r="A3" t="s">
        <v>593</v>
      </c>
    </row>
    <row r="4" spans="1:12" x14ac:dyDescent="0.3">
      <c r="A4" t="s">
        <v>595</v>
      </c>
    </row>
    <row r="5" spans="1:12" x14ac:dyDescent="0.3">
      <c r="A5" t="s">
        <v>596</v>
      </c>
    </row>
    <row r="6" spans="1:12" x14ac:dyDescent="0.3">
      <c r="A6" t="s">
        <v>598</v>
      </c>
    </row>
    <row r="7" spans="1:12" x14ac:dyDescent="0.3">
      <c r="A7" t="s">
        <v>599</v>
      </c>
    </row>
    <row r="8" spans="1:12" x14ac:dyDescent="0.3">
      <c r="A8" t="s">
        <v>600</v>
      </c>
    </row>
    <row r="9" spans="1:12" x14ac:dyDescent="0.3">
      <c r="A9" t="s">
        <v>603</v>
      </c>
    </row>
    <row r="10" spans="1:12" x14ac:dyDescent="0.3">
      <c r="A10" t="s">
        <v>605</v>
      </c>
    </row>
    <row r="11" spans="1:12" x14ac:dyDescent="0.3">
      <c r="A11" t="s">
        <v>607</v>
      </c>
    </row>
    <row r="12" spans="1:12" x14ac:dyDescent="0.3">
      <c r="A12" t="s">
        <v>608</v>
      </c>
    </row>
    <row r="13" spans="1:12" x14ac:dyDescent="0.3">
      <c r="A13" t="s">
        <v>610</v>
      </c>
    </row>
    <row r="14" spans="1:12" x14ac:dyDescent="0.3">
      <c r="A14" t="s">
        <v>611</v>
      </c>
    </row>
    <row r="15" spans="1:12" x14ac:dyDescent="0.3">
      <c r="A15" t="s">
        <v>615</v>
      </c>
    </row>
    <row r="16" spans="1:12" x14ac:dyDescent="0.3">
      <c r="A16" t="s">
        <v>620</v>
      </c>
    </row>
    <row r="17" spans="1:1" x14ac:dyDescent="0.3">
      <c r="A17" t="s">
        <v>621</v>
      </c>
    </row>
    <row r="18" spans="1:1" x14ac:dyDescent="0.3">
      <c r="A18" s="108" t="s">
        <v>623</v>
      </c>
    </row>
    <row r="19" spans="1:1" x14ac:dyDescent="0.3">
      <c r="A19" t="s">
        <v>624</v>
      </c>
    </row>
    <row r="20" spans="1:1" x14ac:dyDescent="0.3">
      <c r="A20" t="s">
        <v>627</v>
      </c>
    </row>
    <row r="21" spans="1:1" x14ac:dyDescent="0.3">
      <c r="A21" t="s">
        <v>628</v>
      </c>
    </row>
    <row r="22" spans="1:1" x14ac:dyDescent="0.3">
      <c r="A22" t="s">
        <v>629</v>
      </c>
    </row>
    <row r="23" spans="1:1" x14ac:dyDescent="0.3">
      <c r="A23" t="s">
        <v>635</v>
      </c>
    </row>
    <row r="24" spans="1:1" x14ac:dyDescent="0.3">
      <c r="A24" t="s">
        <v>636</v>
      </c>
    </row>
    <row r="25" spans="1:1" x14ac:dyDescent="0.3">
      <c r="A25" t="s">
        <v>638</v>
      </c>
    </row>
    <row r="26" spans="1:1" x14ac:dyDescent="0.3">
      <c r="A26" t="s">
        <v>639</v>
      </c>
    </row>
    <row r="27" spans="1:1" x14ac:dyDescent="0.3">
      <c r="A27" t="s">
        <v>640</v>
      </c>
    </row>
    <row r="28" spans="1:1" x14ac:dyDescent="0.3">
      <c r="A28" t="s">
        <v>644</v>
      </c>
    </row>
    <row r="29" spans="1:1" x14ac:dyDescent="0.3">
      <c r="A29" t="s">
        <v>647</v>
      </c>
    </row>
    <row r="30" spans="1:1" x14ac:dyDescent="0.3">
      <c r="A30" t="s">
        <v>648</v>
      </c>
    </row>
    <row r="31" spans="1:1" x14ac:dyDescent="0.3">
      <c r="A31" t="s">
        <v>650</v>
      </c>
    </row>
    <row r="32" spans="1:1" x14ac:dyDescent="0.3">
      <c r="A32" t="s">
        <v>652</v>
      </c>
    </row>
    <row r="33" spans="1:1" x14ac:dyDescent="0.3">
      <c r="A33" t="s">
        <v>654</v>
      </c>
    </row>
    <row r="34" spans="1:1" x14ac:dyDescent="0.3">
      <c r="A34" t="s">
        <v>656</v>
      </c>
    </row>
    <row r="35" spans="1:1" x14ac:dyDescent="0.3">
      <c r="A35" t="s">
        <v>659</v>
      </c>
    </row>
    <row r="36" spans="1:1" x14ac:dyDescent="0.3">
      <c r="A36" t="s">
        <v>660</v>
      </c>
    </row>
    <row r="37" spans="1:1" x14ac:dyDescent="0.3">
      <c r="A37" t="s">
        <v>664</v>
      </c>
    </row>
    <row r="38" spans="1:1" x14ac:dyDescent="0.3">
      <c r="A38" t="s">
        <v>596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2B441-D2B8-4A2B-91DB-A07BF1419BFB}">
  <sheetPr codeName="Hoja5"/>
  <dimension ref="A1:J626"/>
  <sheetViews>
    <sheetView workbookViewId="0">
      <selection activeCell="G18" sqref="G18"/>
    </sheetView>
  </sheetViews>
  <sheetFormatPr baseColWidth="10" defaultRowHeight="14.4" x14ac:dyDescent="0.3"/>
  <cols>
    <col min="1" max="1" width="18.33203125" customWidth="1"/>
    <col min="6" max="6" width="0" hidden="1" customWidth="1"/>
    <col min="9" max="9" width="39.77734375" bestFit="1" customWidth="1"/>
    <col min="10" max="10" width="24.21875" bestFit="1" customWidth="1"/>
    <col min="11" max="11" width="13.109375" bestFit="1" customWidth="1"/>
  </cols>
  <sheetData>
    <row r="1" spans="1:10" x14ac:dyDescent="0.3">
      <c r="A1" t="s">
        <v>586</v>
      </c>
      <c r="B1" t="s">
        <v>452</v>
      </c>
      <c r="C1" t="s">
        <v>668</v>
      </c>
      <c r="D1" t="s">
        <v>58</v>
      </c>
      <c r="E1" t="s">
        <v>5</v>
      </c>
      <c r="F1" t="s">
        <v>676</v>
      </c>
    </row>
    <row r="2" spans="1:10" x14ac:dyDescent="0.3">
      <c r="A2" s="156" t="s">
        <v>133</v>
      </c>
      <c r="B2" t="s">
        <v>0</v>
      </c>
      <c r="C2" s="157">
        <v>4</v>
      </c>
      <c r="D2" t="str">
        <f>VLOOKUP(A2,DataUsuario!B:D,2,FALSE)</f>
        <v>Industrial y de Mantenimiento</v>
      </c>
      <c r="E2" t="str">
        <f>VLOOKUP(A2,DataUsuario!B:D,3,FALSE)</f>
        <v>Electricidad</v>
      </c>
      <c r="F2" t="s">
        <v>74</v>
      </c>
    </row>
    <row r="3" spans="1:10" x14ac:dyDescent="0.3">
      <c r="A3" s="159" t="s">
        <v>397</v>
      </c>
      <c r="B3" t="s">
        <v>0</v>
      </c>
      <c r="C3" s="160">
        <v>5</v>
      </c>
      <c r="D3" t="str">
        <f>VLOOKUP(A3,DataUsuario!B:D,2,FALSE)</f>
        <v>Administración y Finanzas</v>
      </c>
      <c r="E3" t="str">
        <f>VLOOKUP(A3,DataUsuario!B:D,3,FALSE)</f>
        <v>Control de Gestión</v>
      </c>
      <c r="F3" t="s">
        <v>66</v>
      </c>
    </row>
    <row r="4" spans="1:10" x14ac:dyDescent="0.3">
      <c r="A4" s="156" t="s">
        <v>92</v>
      </c>
      <c r="B4" t="s">
        <v>0</v>
      </c>
      <c r="C4" s="157" t="s">
        <v>666</v>
      </c>
      <c r="D4" t="str">
        <f>VLOOKUP(A4,DataUsuario!B:D,2,FALSE)</f>
        <v>Administración y Finanzas</v>
      </c>
      <c r="E4" t="str">
        <f>VLOOKUP(A4,DataUsuario!B:D,3,FALSE)</f>
        <v>Control de Gestión</v>
      </c>
      <c r="F4" t="s">
        <v>66</v>
      </c>
      <c r="G4" t="s">
        <v>0</v>
      </c>
    </row>
    <row r="5" spans="1:10" x14ac:dyDescent="0.3">
      <c r="A5" s="159" t="s">
        <v>213</v>
      </c>
      <c r="B5" t="s">
        <v>0</v>
      </c>
      <c r="C5" s="160">
        <v>4</v>
      </c>
      <c r="D5" t="str">
        <f>VLOOKUP(A5,DataUsuario!B:D,2,FALSE)</f>
        <v>Gestión Humana y Sostenibilidad</v>
      </c>
      <c r="E5" t="str">
        <f>VLOOKUP(A5,DataUsuario!B:D,3,FALSE)</f>
        <v>Seguridad</v>
      </c>
      <c r="F5" t="s">
        <v>62</v>
      </c>
      <c r="G5" t="s">
        <v>1</v>
      </c>
    </row>
    <row r="6" spans="1:10" x14ac:dyDescent="0.3">
      <c r="A6" s="156" t="s">
        <v>520</v>
      </c>
      <c r="B6" t="s">
        <v>0</v>
      </c>
      <c r="C6" s="157">
        <v>5</v>
      </c>
      <c r="D6" t="str">
        <f>VLOOKUP(A6,DataUsuario!B:D,2,FALSE)</f>
        <v>Administración y Finanzas</v>
      </c>
      <c r="E6" t="str">
        <f>VLOOKUP(A6,DataUsuario!B:D,3,FALSE)</f>
        <v>Contabilidad Tributaria</v>
      </c>
      <c r="F6" t="s">
        <v>66</v>
      </c>
      <c r="G6" t="s">
        <v>2</v>
      </c>
    </row>
    <row r="7" spans="1:10" x14ac:dyDescent="0.3">
      <c r="A7" s="159" t="s">
        <v>145</v>
      </c>
      <c r="B7" t="s">
        <v>0</v>
      </c>
      <c r="C7" s="160" t="s">
        <v>666</v>
      </c>
      <c r="D7" t="str">
        <f>VLOOKUP(A7,DataUsuario!B:D,2,FALSE)</f>
        <v>Administración y Finanzas</v>
      </c>
      <c r="E7" t="str">
        <f>VLOOKUP(A7,DataUsuario!B:D,3,FALSE)</f>
        <v>Legal</v>
      </c>
      <c r="F7" t="s">
        <v>66</v>
      </c>
      <c r="G7" t="s">
        <v>3</v>
      </c>
    </row>
    <row r="8" spans="1:10" x14ac:dyDescent="0.3">
      <c r="A8" s="156" t="s">
        <v>207</v>
      </c>
      <c r="B8" t="s">
        <v>0</v>
      </c>
      <c r="C8" s="157">
        <v>5</v>
      </c>
      <c r="D8" t="str">
        <f>VLOOKUP(A8,DataUsuario!B:D,2,FALSE)</f>
        <v>Administración y Finanzas</v>
      </c>
      <c r="E8" t="str">
        <f>VLOOKUP(A8,DataUsuario!B:D,3,FALSE)</f>
        <v>Riesgos y Cumplimiento</v>
      </c>
      <c r="F8" t="s">
        <v>66</v>
      </c>
      <c r="G8" t="s">
        <v>4</v>
      </c>
    </row>
    <row r="9" spans="1:10" x14ac:dyDescent="0.3">
      <c r="A9" s="159" t="s">
        <v>115</v>
      </c>
      <c r="B9" t="s">
        <v>0</v>
      </c>
      <c r="C9" s="160">
        <v>4</v>
      </c>
      <c r="D9" t="str">
        <f>VLOOKUP(A9,DataUsuario!B:D,2,FALSE)</f>
        <v>Industrial y de Mantenimiento</v>
      </c>
      <c r="E9" t="str">
        <f>VLOOKUP(A9,DataUsuario!B:D,3,FALSE)</f>
        <v>Mantenimiento de Transportes</v>
      </c>
      <c r="F9" t="s">
        <v>74</v>
      </c>
      <c r="I9" s="174" t="s">
        <v>676</v>
      </c>
      <c r="J9" t="s">
        <v>66</v>
      </c>
    </row>
    <row r="10" spans="1:10" x14ac:dyDescent="0.3">
      <c r="A10" s="156" t="s">
        <v>254</v>
      </c>
      <c r="B10" t="s">
        <v>0</v>
      </c>
      <c r="C10" s="157">
        <v>4</v>
      </c>
      <c r="D10" t="str">
        <f>VLOOKUP(A10,DataUsuario!B:D,2,FALSE)</f>
        <v>Administración y Finanzas</v>
      </c>
      <c r="E10" t="str">
        <f>VLOOKUP(A10,DataUsuario!B:D,3,FALSE)</f>
        <v>Administración</v>
      </c>
      <c r="F10" t="s">
        <v>66</v>
      </c>
    </row>
    <row r="11" spans="1:10" x14ac:dyDescent="0.3">
      <c r="A11" s="159" t="s">
        <v>601</v>
      </c>
      <c r="B11" t="s">
        <v>0</v>
      </c>
      <c r="C11" s="160">
        <v>4</v>
      </c>
      <c r="D11" t="str">
        <f>VLOOKUP(A11,DataUsuario!B:D,2,FALSE)</f>
        <v>Operaciones</v>
      </c>
      <c r="E11" t="str">
        <f>VLOOKUP(A11,DataUsuario!B:D,3,FALSE)</f>
        <v>Almacenes y Distribución PT</v>
      </c>
      <c r="F11" t="s">
        <v>70</v>
      </c>
      <c r="I11" s="174" t="s">
        <v>677</v>
      </c>
      <c r="J11" t="s">
        <v>679</v>
      </c>
    </row>
    <row r="12" spans="1:10" x14ac:dyDescent="0.3">
      <c r="A12" s="156" t="s">
        <v>285</v>
      </c>
      <c r="B12" t="s">
        <v>0</v>
      </c>
      <c r="C12" s="157" t="s">
        <v>666</v>
      </c>
      <c r="D12" t="str">
        <f>VLOOKUP(A12,DataUsuario!B:D,2,FALSE)</f>
        <v>Operaciones</v>
      </c>
      <c r="E12" t="str">
        <f>VLOOKUP(A12,DataUsuario!B:D,3,FALSE)</f>
        <v>Comercial</v>
      </c>
      <c r="F12" t="s">
        <v>70</v>
      </c>
      <c r="I12" s="146" t="s">
        <v>66</v>
      </c>
      <c r="J12">
        <v>145</v>
      </c>
    </row>
    <row r="13" spans="1:10" x14ac:dyDescent="0.3">
      <c r="A13" s="159" t="s">
        <v>602</v>
      </c>
      <c r="B13" t="s">
        <v>0</v>
      </c>
      <c r="C13" s="160">
        <v>5</v>
      </c>
      <c r="D13" t="str">
        <f>VLOOKUP(A13,DataUsuario!B:D,2,FALSE)</f>
        <v>Operaciones</v>
      </c>
      <c r="E13" t="str">
        <f>VLOOKUP(A13,DataUsuario!B:D,3,FALSE)</f>
        <v>Cosecha</v>
      </c>
      <c r="F13" t="s">
        <v>70</v>
      </c>
      <c r="I13" s="175" t="s">
        <v>2</v>
      </c>
      <c r="J13">
        <v>29</v>
      </c>
    </row>
    <row r="14" spans="1:10" x14ac:dyDescent="0.3">
      <c r="A14" s="156" t="s">
        <v>431</v>
      </c>
      <c r="B14" t="s">
        <v>0</v>
      </c>
      <c r="C14" s="157">
        <v>2</v>
      </c>
      <c r="D14" t="str">
        <f>VLOOKUP(A14,DataUsuario!B:D,2,FALSE)</f>
        <v>Agrícola</v>
      </c>
      <c r="E14" t="str">
        <f>VLOOKUP(A14,DataUsuario!B:D,3,FALSE)</f>
        <v>Fundo San Vicente</v>
      </c>
      <c r="F14" t="s">
        <v>89</v>
      </c>
      <c r="I14" s="176">
        <v>4</v>
      </c>
      <c r="J14">
        <v>11</v>
      </c>
    </row>
    <row r="15" spans="1:10" x14ac:dyDescent="0.3">
      <c r="A15" s="159" t="s">
        <v>318</v>
      </c>
      <c r="B15" t="s">
        <v>0</v>
      </c>
      <c r="C15" s="160" t="s">
        <v>666</v>
      </c>
      <c r="D15" t="str">
        <f>VLOOKUP(A15,DataUsuario!B:D,2,FALSE)</f>
        <v>Operaciones</v>
      </c>
      <c r="E15" t="str">
        <f>VLOOKUP(A15,DataUsuario!B:D,3,FALSE)</f>
        <v>Cosecha</v>
      </c>
      <c r="F15" t="s">
        <v>70</v>
      </c>
      <c r="I15" s="176">
        <v>5</v>
      </c>
      <c r="J15">
        <v>16</v>
      </c>
    </row>
    <row r="16" spans="1:10" x14ac:dyDescent="0.3">
      <c r="A16" s="156" t="s">
        <v>176</v>
      </c>
      <c r="B16" t="s">
        <v>0</v>
      </c>
      <c r="C16" s="157" t="s">
        <v>666</v>
      </c>
      <c r="D16" t="str">
        <f>VLOOKUP(A16,DataUsuario!B:D,2,FALSE)</f>
        <v>Administración y Finanzas</v>
      </c>
      <c r="E16" t="str">
        <f>VLOOKUP(A16,DataUsuario!B:D,3,FALSE)</f>
        <v>Cadenas Productivas</v>
      </c>
      <c r="F16" t="s">
        <v>66</v>
      </c>
      <c r="I16" s="176" t="s">
        <v>666</v>
      </c>
      <c r="J16">
        <v>2</v>
      </c>
    </row>
    <row r="17" spans="1:10" x14ac:dyDescent="0.3">
      <c r="A17" s="159" t="s">
        <v>312</v>
      </c>
      <c r="B17" t="s">
        <v>0</v>
      </c>
      <c r="C17" s="160" t="s">
        <v>666</v>
      </c>
      <c r="D17" t="str">
        <f>VLOOKUP(A17,DataUsuario!B:D,2,FALSE)</f>
        <v>Operaciones</v>
      </c>
      <c r="E17" t="str">
        <f>VLOOKUP(A17,DataUsuario!B:D,3,FALSE)</f>
        <v>Calidad</v>
      </c>
      <c r="F17" t="s">
        <v>70</v>
      </c>
      <c r="I17" s="175" t="s">
        <v>1</v>
      </c>
      <c r="J17">
        <v>29</v>
      </c>
    </row>
    <row r="18" spans="1:10" x14ac:dyDescent="0.3">
      <c r="A18" s="156" t="s">
        <v>604</v>
      </c>
      <c r="B18" t="s">
        <v>0</v>
      </c>
      <c r="C18" s="157">
        <v>5</v>
      </c>
      <c r="D18" t="str">
        <f>VLOOKUP(A18,DataUsuario!B:D,2,FALSE)</f>
        <v>Gestión Humana y Sostenibilidad</v>
      </c>
      <c r="E18" t="str">
        <f>VLOOKUP(A18,DataUsuario!B:D,3,FALSE)</f>
        <v>Bienestar - Medico Ocupacional</v>
      </c>
      <c r="F18" t="s">
        <v>62</v>
      </c>
      <c r="I18" s="176">
        <v>4</v>
      </c>
      <c r="J18">
        <v>7</v>
      </c>
    </row>
    <row r="19" spans="1:10" x14ac:dyDescent="0.3">
      <c r="A19" s="159" t="s">
        <v>97</v>
      </c>
      <c r="B19" t="s">
        <v>0</v>
      </c>
      <c r="C19" s="160" t="s">
        <v>666</v>
      </c>
      <c r="D19" t="str">
        <f>VLOOKUP(A19,DataUsuario!B:D,2,FALSE)</f>
        <v>Gestión Humana y Sostenibilidad</v>
      </c>
      <c r="E19" t="str">
        <f>VLOOKUP(A19,DataUsuario!B:D,3,FALSE)</f>
        <v>Compensación y Nóminas</v>
      </c>
      <c r="F19" t="s">
        <v>62</v>
      </c>
      <c r="I19" s="176">
        <v>5</v>
      </c>
      <c r="J19">
        <v>22</v>
      </c>
    </row>
    <row r="20" spans="1:10" x14ac:dyDescent="0.3">
      <c r="A20" s="156" t="s">
        <v>299</v>
      </c>
      <c r="B20" t="s">
        <v>0</v>
      </c>
      <c r="C20" s="157" t="s">
        <v>666</v>
      </c>
      <c r="D20" t="str">
        <f>VLOOKUP(A20,DataUsuario!B:D,2,FALSE)</f>
        <v>Administración y Finanzas</v>
      </c>
      <c r="E20" t="str">
        <f>VLOOKUP(A20,DataUsuario!B:D,3,FALSE)</f>
        <v>Legal</v>
      </c>
      <c r="F20" t="s">
        <v>66</v>
      </c>
      <c r="I20" s="175" t="s">
        <v>0</v>
      </c>
      <c r="J20">
        <v>29</v>
      </c>
    </row>
    <row r="21" spans="1:10" x14ac:dyDescent="0.3">
      <c r="A21" s="159" t="s">
        <v>606</v>
      </c>
      <c r="B21" t="s">
        <v>0</v>
      </c>
      <c r="C21" s="160">
        <v>5</v>
      </c>
      <c r="D21" t="str">
        <f>VLOOKUP(A21,DataUsuario!B:D,2,FALSE)</f>
        <v>Gestión Humana y Sostenibilidad</v>
      </c>
      <c r="E21" t="str">
        <f>VLOOKUP(A21,DataUsuario!B:D,3,FALSE)</f>
        <v>Seguridad</v>
      </c>
      <c r="F21" t="s">
        <v>62</v>
      </c>
      <c r="I21" s="176">
        <v>4</v>
      </c>
      <c r="J21">
        <v>3</v>
      </c>
    </row>
    <row r="22" spans="1:10" x14ac:dyDescent="0.3">
      <c r="A22" s="156" t="s">
        <v>326</v>
      </c>
      <c r="B22" t="s">
        <v>0</v>
      </c>
      <c r="C22" s="157">
        <v>5</v>
      </c>
      <c r="D22" t="str">
        <f>VLOOKUP(A22,DataUsuario!B:D,2,FALSE)</f>
        <v>Operaciones</v>
      </c>
      <c r="E22" t="str">
        <f>VLOOKUP(A22,DataUsuario!B:D,3,FALSE)</f>
        <v>Calidad</v>
      </c>
      <c r="F22" t="s">
        <v>70</v>
      </c>
      <c r="I22" s="176">
        <v>5</v>
      </c>
      <c r="J22">
        <v>14</v>
      </c>
    </row>
    <row r="23" spans="1:10" x14ac:dyDescent="0.3">
      <c r="A23" s="159" t="s">
        <v>609</v>
      </c>
      <c r="B23" t="s">
        <v>0</v>
      </c>
      <c r="C23" s="160">
        <v>4</v>
      </c>
      <c r="D23" t="str">
        <f>VLOOKUP(A23,DataUsuario!B:D,2,FALSE)</f>
        <v>Agrícola</v>
      </c>
      <c r="E23" t="str">
        <f>VLOOKUP(A23,DataUsuario!B:D,3,FALSE)</f>
        <v>Mantenimiento de Riego y Bombas</v>
      </c>
      <c r="F23" t="s">
        <v>89</v>
      </c>
      <c r="I23" s="176" t="s">
        <v>666</v>
      </c>
      <c r="J23">
        <v>12</v>
      </c>
    </row>
    <row r="24" spans="1:10" x14ac:dyDescent="0.3">
      <c r="A24" s="156" t="s">
        <v>245</v>
      </c>
      <c r="B24" t="s">
        <v>0</v>
      </c>
      <c r="C24" s="157">
        <v>5</v>
      </c>
      <c r="D24" t="str">
        <f>VLOOKUP(A24,DataUsuario!B:D,2,FALSE)</f>
        <v>Gestión Humana y Sostenibilidad</v>
      </c>
      <c r="E24" t="str">
        <f>VLOOKUP(A24,DataUsuario!B:D,3,FALSE)</f>
        <v>Compensación y Nóminas</v>
      </c>
      <c r="F24" t="s">
        <v>62</v>
      </c>
      <c r="I24" s="175" t="s">
        <v>3</v>
      </c>
      <c r="J24">
        <v>29</v>
      </c>
    </row>
    <row r="25" spans="1:10" x14ac:dyDescent="0.3">
      <c r="A25" s="159" t="s">
        <v>287</v>
      </c>
      <c r="B25" t="s">
        <v>0</v>
      </c>
      <c r="C25" s="160">
        <v>5</v>
      </c>
      <c r="D25" t="str">
        <f>VLOOKUP(A25,DataUsuario!B:D,2,FALSE)</f>
        <v>Operaciones</v>
      </c>
      <c r="E25" t="str">
        <f>VLOOKUP(A25,DataUsuario!B:D,3,FALSE)</f>
        <v>Calidad</v>
      </c>
      <c r="F25" t="s">
        <v>70</v>
      </c>
      <c r="I25" s="176">
        <v>3</v>
      </c>
      <c r="J25">
        <v>2</v>
      </c>
    </row>
    <row r="26" spans="1:10" x14ac:dyDescent="0.3">
      <c r="A26" s="156" t="s">
        <v>439</v>
      </c>
      <c r="B26" t="s">
        <v>0</v>
      </c>
      <c r="C26" s="157" t="s">
        <v>666</v>
      </c>
      <c r="D26" t="str">
        <f>VLOOKUP(A26,DataUsuario!B:D,2,FALSE)</f>
        <v>Operaciones</v>
      </c>
      <c r="E26" t="str">
        <f>VLOOKUP(A26,DataUsuario!B:D,3,FALSE)</f>
        <v>Comercial</v>
      </c>
      <c r="F26" t="s">
        <v>70</v>
      </c>
      <c r="I26" s="176">
        <v>4</v>
      </c>
      <c r="J26">
        <v>7</v>
      </c>
    </row>
    <row r="27" spans="1:10" x14ac:dyDescent="0.3">
      <c r="A27" s="159" t="s">
        <v>95</v>
      </c>
      <c r="B27" t="s">
        <v>0</v>
      </c>
      <c r="C27" s="160">
        <v>4</v>
      </c>
      <c r="D27" t="str">
        <f>VLOOKUP(A27,DataUsuario!B:D,2,FALSE)</f>
        <v>Administración y Finanzas</v>
      </c>
      <c r="E27" t="str">
        <f>VLOOKUP(A27,DataUsuario!B:D,3,FALSE)</f>
        <v>Legal</v>
      </c>
      <c r="F27" t="s">
        <v>66</v>
      </c>
      <c r="I27" s="176">
        <v>5</v>
      </c>
      <c r="J27">
        <v>16</v>
      </c>
    </row>
    <row r="28" spans="1:10" x14ac:dyDescent="0.3">
      <c r="A28" s="156" t="s">
        <v>328</v>
      </c>
      <c r="B28" t="s">
        <v>0</v>
      </c>
      <c r="C28" s="157">
        <v>5</v>
      </c>
      <c r="D28" t="str">
        <f>VLOOKUP(A28,DataUsuario!B:D,2,FALSE)</f>
        <v>Administración y Finanzas</v>
      </c>
      <c r="E28" t="str">
        <f>VLOOKUP(A28,DataUsuario!B:D,3,FALSE)</f>
        <v>Administración</v>
      </c>
      <c r="F28" t="s">
        <v>66</v>
      </c>
      <c r="I28" s="176" t="s">
        <v>666</v>
      </c>
      <c r="J28">
        <v>4</v>
      </c>
    </row>
    <row r="29" spans="1:10" x14ac:dyDescent="0.3">
      <c r="A29" s="159" t="s">
        <v>322</v>
      </c>
      <c r="B29" t="s">
        <v>0</v>
      </c>
      <c r="C29" s="160">
        <v>5</v>
      </c>
      <c r="D29" t="str">
        <f>VLOOKUP(A29,DataUsuario!B:D,2,FALSE)</f>
        <v>Administración y Finanzas</v>
      </c>
      <c r="E29" t="str">
        <f>VLOOKUP(A29,DataUsuario!B:D,3,FALSE)</f>
        <v>Finanzas y Tesorería</v>
      </c>
      <c r="F29" t="s">
        <v>66</v>
      </c>
      <c r="I29" s="175" t="s">
        <v>4</v>
      </c>
      <c r="J29">
        <v>29</v>
      </c>
    </row>
    <row r="30" spans="1:10" x14ac:dyDescent="0.3">
      <c r="A30" s="156" t="s">
        <v>612</v>
      </c>
      <c r="B30" t="s">
        <v>0</v>
      </c>
      <c r="C30" s="157">
        <v>5</v>
      </c>
      <c r="D30" t="str">
        <f>VLOOKUP(A30,DataUsuario!B:D,2,FALSE)</f>
        <v>Operaciones</v>
      </c>
      <c r="E30" t="str">
        <f>VLOOKUP(A30,DataUsuario!B:D,3,FALSE)</f>
        <v>Mantenimiento CAT</v>
      </c>
      <c r="F30" t="s">
        <v>70</v>
      </c>
      <c r="I30" s="176">
        <v>3</v>
      </c>
      <c r="J30">
        <v>1</v>
      </c>
    </row>
    <row r="31" spans="1:10" x14ac:dyDescent="0.3">
      <c r="A31" s="159" t="s">
        <v>613</v>
      </c>
      <c r="B31" t="s">
        <v>0</v>
      </c>
      <c r="C31" s="160">
        <v>5</v>
      </c>
      <c r="D31" t="str">
        <f>VLOOKUP(A31,DataUsuario!B:D,2,FALSE)</f>
        <v>Administración y Finanzas</v>
      </c>
      <c r="E31" t="str">
        <f>VLOOKUP(A31,DataUsuario!B:D,3,FALSE)</f>
        <v>Control de Gestión</v>
      </c>
      <c r="F31" t="s">
        <v>66</v>
      </c>
      <c r="I31" s="176">
        <v>4</v>
      </c>
      <c r="J31">
        <v>4</v>
      </c>
    </row>
    <row r="32" spans="1:10" x14ac:dyDescent="0.3">
      <c r="A32" s="156" t="s">
        <v>376</v>
      </c>
      <c r="B32" t="s">
        <v>0</v>
      </c>
      <c r="C32" s="157">
        <v>5</v>
      </c>
      <c r="D32" t="str">
        <f>VLOOKUP(A32,DataUsuario!B:D,2,FALSE)</f>
        <v>Administración y Finanzas</v>
      </c>
      <c r="E32" t="str">
        <f>VLOOKUP(A32,DataUsuario!B:D,3,FALSE)</f>
        <v>Control de Gestión</v>
      </c>
      <c r="F32" t="s">
        <v>66</v>
      </c>
      <c r="I32" s="176">
        <v>5</v>
      </c>
      <c r="J32">
        <v>22</v>
      </c>
    </row>
    <row r="33" spans="1:10" x14ac:dyDescent="0.3">
      <c r="A33" s="159" t="s">
        <v>413</v>
      </c>
      <c r="B33" t="s">
        <v>0</v>
      </c>
      <c r="C33" s="160">
        <v>5</v>
      </c>
      <c r="D33" t="str">
        <f>VLOOKUP(A33,DataUsuario!B:D,2,FALSE)</f>
        <v>Administración y Finanzas</v>
      </c>
      <c r="E33" t="str">
        <f>VLOOKUP(A33,DataUsuario!B:D,3,FALSE)</f>
        <v>Contabilidad Tributaria</v>
      </c>
      <c r="F33" t="s">
        <v>66</v>
      </c>
      <c r="I33" s="176" t="s">
        <v>666</v>
      </c>
      <c r="J33">
        <v>2</v>
      </c>
    </row>
    <row r="34" spans="1:10" x14ac:dyDescent="0.3">
      <c r="A34" s="156" t="s">
        <v>614</v>
      </c>
      <c r="B34" t="s">
        <v>0</v>
      </c>
      <c r="C34" s="157" t="s">
        <v>666</v>
      </c>
      <c r="D34" t="str">
        <f>VLOOKUP(A34,DataUsuario!B:D,2,FALSE)</f>
        <v>Gestión Humana y Sostenibilidad</v>
      </c>
      <c r="E34" t="str">
        <f>VLOOKUP(A34,DataUsuario!B:D,3,FALSE)</f>
        <v>Gestor de Recursos Humanos</v>
      </c>
      <c r="F34" t="s">
        <v>62</v>
      </c>
      <c r="I34" s="146" t="s">
        <v>678</v>
      </c>
      <c r="J34">
        <v>145</v>
      </c>
    </row>
    <row r="35" spans="1:10" x14ac:dyDescent="0.3">
      <c r="A35" s="159" t="s">
        <v>65</v>
      </c>
      <c r="B35" t="s">
        <v>0</v>
      </c>
      <c r="C35" s="160">
        <v>5</v>
      </c>
      <c r="D35" t="str">
        <f>VLOOKUP(A35,DataUsuario!B:D,2,FALSE)</f>
        <v>Administración y Finanzas</v>
      </c>
      <c r="E35" t="str">
        <f>VLOOKUP(A35,DataUsuario!B:D,3,FALSE)</f>
        <v>Finanzas y Tesorería</v>
      </c>
      <c r="F35" t="s">
        <v>66</v>
      </c>
    </row>
    <row r="36" spans="1:10" x14ac:dyDescent="0.3">
      <c r="A36" s="156" t="s">
        <v>85</v>
      </c>
      <c r="B36" t="s">
        <v>0</v>
      </c>
      <c r="C36" s="157">
        <v>5</v>
      </c>
      <c r="D36" t="str">
        <f>VLOOKUP(A36,DataUsuario!B:D,2,FALSE)</f>
        <v>Operaciones</v>
      </c>
      <c r="E36" t="str">
        <f>VLOOKUP(A36,DataUsuario!B:D,3,FALSE)</f>
        <v>Comercial</v>
      </c>
      <c r="F36" t="s">
        <v>70</v>
      </c>
    </row>
    <row r="37" spans="1:10" x14ac:dyDescent="0.3">
      <c r="A37" s="159" t="s">
        <v>350</v>
      </c>
      <c r="B37" t="s">
        <v>0</v>
      </c>
      <c r="C37" s="160">
        <v>5</v>
      </c>
      <c r="D37" t="str">
        <f>VLOOKUP(A37,DataUsuario!B:D,2,FALSE)</f>
        <v>Agrícola</v>
      </c>
      <c r="E37" t="str">
        <f>VLOOKUP(A37,DataUsuario!B:D,3,FALSE)</f>
        <v>Planificador Agrícola</v>
      </c>
      <c r="F37" t="s">
        <v>89</v>
      </c>
    </row>
    <row r="38" spans="1:10" x14ac:dyDescent="0.3">
      <c r="A38" s="156" t="s">
        <v>120</v>
      </c>
      <c r="B38" t="s">
        <v>0</v>
      </c>
      <c r="C38" s="157">
        <v>4</v>
      </c>
      <c r="D38" t="str">
        <f>VLOOKUP(A38,DataUsuario!B:D,2,FALSE)</f>
        <v>Agrícola</v>
      </c>
      <c r="E38" t="str">
        <f>VLOOKUP(A38,DataUsuario!B:D,3,FALSE)</f>
        <v>Fundo Montelima</v>
      </c>
      <c r="F38" t="s">
        <v>89</v>
      </c>
    </row>
    <row r="39" spans="1:10" x14ac:dyDescent="0.3">
      <c r="A39" s="159" t="s">
        <v>617</v>
      </c>
      <c r="B39" t="s">
        <v>0</v>
      </c>
      <c r="C39" s="160" t="s">
        <v>666</v>
      </c>
      <c r="D39" t="str">
        <f>VLOOKUP(A39,DataUsuario!B:D,2,FALSE)</f>
        <v>Agrícola</v>
      </c>
      <c r="E39" t="str">
        <f>VLOOKUP(A39,DataUsuario!B:D,3,FALSE)</f>
        <v>Mantenimiento de Riego y Bombas</v>
      </c>
      <c r="F39" t="s">
        <v>89</v>
      </c>
    </row>
    <row r="40" spans="1:10" x14ac:dyDescent="0.3">
      <c r="A40" s="156" t="s">
        <v>345</v>
      </c>
      <c r="B40" t="s">
        <v>0</v>
      </c>
      <c r="C40" s="157" t="s">
        <v>666</v>
      </c>
      <c r="D40" t="str">
        <f>VLOOKUP(A40,DataUsuario!B:D,2,FALSE)</f>
        <v>Agrícola</v>
      </c>
      <c r="E40" t="str">
        <f>VLOOKUP(A40,DataUsuario!B:D,3,FALSE)</f>
        <v>Mantenimiento de Riego y Bombas</v>
      </c>
      <c r="F40" t="s">
        <v>89</v>
      </c>
    </row>
    <row r="41" spans="1:10" x14ac:dyDescent="0.3">
      <c r="A41" s="159" t="s">
        <v>618</v>
      </c>
      <c r="B41" t="s">
        <v>0</v>
      </c>
      <c r="C41" s="160">
        <v>4</v>
      </c>
      <c r="D41" t="str">
        <f>VLOOKUP(A41,DataUsuario!B:D,2,FALSE)</f>
        <v>Agrícola</v>
      </c>
      <c r="E41" t="str">
        <f>VLOOKUP(A41,DataUsuario!B:D,3,FALSE)</f>
        <v>Fundo San Vicente</v>
      </c>
      <c r="F41" t="s">
        <v>89</v>
      </c>
    </row>
    <row r="42" spans="1:10" x14ac:dyDescent="0.3">
      <c r="A42" s="156" t="s">
        <v>183</v>
      </c>
      <c r="B42" t="s">
        <v>0</v>
      </c>
      <c r="C42" s="157" t="s">
        <v>666</v>
      </c>
      <c r="D42" t="str">
        <f>VLOOKUP(A42,DataUsuario!B:D,2,FALSE)</f>
        <v>Agrícola</v>
      </c>
      <c r="E42" t="str">
        <f>VLOOKUP(A42,DataUsuario!B:D,3,FALSE)</f>
        <v>Planificador Agrícola</v>
      </c>
      <c r="F42" t="s">
        <v>89</v>
      </c>
    </row>
    <row r="43" spans="1:10" x14ac:dyDescent="0.3">
      <c r="A43" s="159" t="s">
        <v>82</v>
      </c>
      <c r="B43" t="s">
        <v>0</v>
      </c>
      <c r="C43" s="160">
        <v>4</v>
      </c>
      <c r="D43" t="str">
        <f>VLOOKUP(A43,DataUsuario!B:D,2,FALSE)</f>
        <v>Industrial y de Mantenimiento</v>
      </c>
      <c r="E43" t="str">
        <f>VLOOKUP(A43,DataUsuario!B:D,3,FALSE)</f>
        <v>Producción</v>
      </c>
      <c r="F43" t="s">
        <v>74</v>
      </c>
    </row>
    <row r="44" spans="1:10" x14ac:dyDescent="0.3">
      <c r="A44" s="156" t="s">
        <v>224</v>
      </c>
      <c r="B44" t="s">
        <v>0</v>
      </c>
      <c r="C44" s="157" t="s">
        <v>666</v>
      </c>
      <c r="D44" t="str">
        <f>VLOOKUP(A44,DataUsuario!B:D,2,FALSE)</f>
        <v>Agrícola</v>
      </c>
      <c r="E44" t="str">
        <f>VLOOKUP(A44,DataUsuario!B:D,3,FALSE)</f>
        <v>Laboratorio e Investigación Agricola</v>
      </c>
      <c r="F44" t="s">
        <v>89</v>
      </c>
    </row>
    <row r="45" spans="1:10" x14ac:dyDescent="0.3">
      <c r="A45" s="159" t="s">
        <v>152</v>
      </c>
      <c r="B45" t="s">
        <v>0</v>
      </c>
      <c r="C45" s="160">
        <v>5</v>
      </c>
      <c r="D45" t="str">
        <f>VLOOKUP(A45,DataUsuario!B:D,2,FALSE)</f>
        <v>Operaciones</v>
      </c>
      <c r="E45" t="str">
        <f>VLOOKUP(A45,DataUsuario!B:D,3,FALSE)</f>
        <v>Almacenes y Distribución PT</v>
      </c>
      <c r="F45" t="s">
        <v>70</v>
      </c>
    </row>
    <row r="46" spans="1:10" x14ac:dyDescent="0.3">
      <c r="A46" s="156" t="s">
        <v>622</v>
      </c>
      <c r="B46" t="s">
        <v>0</v>
      </c>
      <c r="C46" s="157">
        <v>5</v>
      </c>
      <c r="D46" t="str">
        <f>VLOOKUP(A46,DataUsuario!B:D,2,FALSE)</f>
        <v>Operaciones</v>
      </c>
      <c r="E46" t="str">
        <f>VLOOKUP(A46,DataUsuario!B:D,3,FALSE)</f>
        <v>Almacenes y Distribución PT</v>
      </c>
      <c r="F46" t="s">
        <v>70</v>
      </c>
    </row>
    <row r="47" spans="1:10" x14ac:dyDescent="0.3">
      <c r="A47" s="159" t="s">
        <v>365</v>
      </c>
      <c r="B47" t="s">
        <v>0</v>
      </c>
      <c r="C47" s="160">
        <v>4</v>
      </c>
      <c r="D47" t="str">
        <f>VLOOKUP(A47,DataUsuario!B:D,2,FALSE)</f>
        <v>Operaciones</v>
      </c>
      <c r="E47" t="str">
        <f>VLOOKUP(A47,DataUsuario!B:D,3,FALSE)</f>
        <v>Cosecha</v>
      </c>
      <c r="F47" t="s">
        <v>70</v>
      </c>
    </row>
    <row r="48" spans="1:10" x14ac:dyDescent="0.3">
      <c r="A48" s="156" t="s">
        <v>215</v>
      </c>
      <c r="B48" t="s">
        <v>0</v>
      </c>
      <c r="C48" s="157">
        <v>5</v>
      </c>
      <c r="D48" t="str">
        <f>VLOOKUP(A48,DataUsuario!B:D,2,FALSE)</f>
        <v>Gestión Humana y Sostenibilidad</v>
      </c>
      <c r="E48" t="str">
        <f>VLOOKUP(A48,DataUsuario!B:D,3,FALSE)</f>
        <v>Seguridad</v>
      </c>
      <c r="F48" t="s">
        <v>62</v>
      </c>
    </row>
    <row r="49" spans="1:6" x14ac:dyDescent="0.3">
      <c r="A49" s="159" t="s">
        <v>374</v>
      </c>
      <c r="B49" t="s">
        <v>0</v>
      </c>
      <c r="C49" s="160">
        <v>4</v>
      </c>
      <c r="D49" t="str">
        <f>VLOOKUP(A49,DataUsuario!B:D,2,FALSE)</f>
        <v>Agrícola</v>
      </c>
      <c r="E49" t="str">
        <f>VLOOKUP(A49,DataUsuario!B:D,3,FALSE)</f>
        <v>Mantenimiento de Riego y Bombas</v>
      </c>
      <c r="F49" t="s">
        <v>89</v>
      </c>
    </row>
    <row r="50" spans="1:6" x14ac:dyDescent="0.3">
      <c r="A50" s="156" t="s">
        <v>316</v>
      </c>
      <c r="B50" t="s">
        <v>0</v>
      </c>
      <c r="C50" s="157" t="s">
        <v>666</v>
      </c>
      <c r="D50" t="str">
        <f>VLOOKUP(A50,DataUsuario!B:D,2,FALSE)</f>
        <v>Administración y Finanzas</v>
      </c>
      <c r="E50" t="str">
        <f>VLOOKUP(A50,DataUsuario!B:D,3,FALSE)</f>
        <v>Compras</v>
      </c>
      <c r="F50" t="s">
        <v>66</v>
      </c>
    </row>
    <row r="51" spans="1:6" x14ac:dyDescent="0.3">
      <c r="A51" s="159" t="s">
        <v>626</v>
      </c>
      <c r="B51" t="s">
        <v>0</v>
      </c>
      <c r="C51" s="160" t="s">
        <v>666</v>
      </c>
      <c r="D51" t="str">
        <f>VLOOKUP(A51,DataUsuario!B:D,2,FALSE)</f>
        <v>Administración y Finanzas</v>
      </c>
      <c r="E51" t="str">
        <f>VLOOKUP(A51,DataUsuario!B:D,3,FALSE)</f>
        <v>Finanzas y Tesorería</v>
      </c>
      <c r="F51" t="s">
        <v>66</v>
      </c>
    </row>
    <row r="52" spans="1:6" x14ac:dyDescent="0.3">
      <c r="A52" s="156" t="s">
        <v>423</v>
      </c>
      <c r="B52" t="s">
        <v>0</v>
      </c>
      <c r="C52" s="157">
        <v>4</v>
      </c>
      <c r="D52" t="str">
        <f>VLOOKUP(A52,DataUsuario!B:D,2,FALSE)</f>
        <v>Industrial y de Mantenimiento</v>
      </c>
      <c r="E52" t="str">
        <f>VLOOKUP(A52,DataUsuario!B:D,3,FALSE)</f>
        <v>Producción</v>
      </c>
      <c r="F52" t="s">
        <v>74</v>
      </c>
    </row>
    <row r="53" spans="1:6" x14ac:dyDescent="0.3">
      <c r="A53" s="159" t="s">
        <v>387</v>
      </c>
      <c r="B53" t="s">
        <v>0</v>
      </c>
      <c r="C53" s="160" t="s">
        <v>666</v>
      </c>
      <c r="D53" t="str">
        <f>VLOOKUP(A53,DataUsuario!B:D,2,FALSE)</f>
        <v>Administración y Finanzas</v>
      </c>
      <c r="E53" t="str">
        <f>VLOOKUP(A53,DataUsuario!B:D,3,FALSE)</f>
        <v>Contabilidad Tributaria</v>
      </c>
      <c r="F53" t="s">
        <v>66</v>
      </c>
    </row>
    <row r="54" spans="1:6" x14ac:dyDescent="0.3">
      <c r="A54" s="156" t="s">
        <v>305</v>
      </c>
      <c r="B54" t="s">
        <v>0</v>
      </c>
      <c r="C54" s="157" t="s">
        <v>666</v>
      </c>
      <c r="D54" t="str">
        <f>VLOOKUP(A54,DataUsuario!B:D,2,FALSE)</f>
        <v>Industrial y de Mantenimiento</v>
      </c>
      <c r="E54" t="str">
        <f>VLOOKUP(A54,DataUsuario!B:D,3,FALSE)</f>
        <v>Producción</v>
      </c>
      <c r="F54" t="s">
        <v>74</v>
      </c>
    </row>
    <row r="55" spans="1:6" x14ac:dyDescent="0.3">
      <c r="A55" s="159" t="s">
        <v>303</v>
      </c>
      <c r="B55" t="s">
        <v>0</v>
      </c>
      <c r="C55" s="160">
        <v>4</v>
      </c>
      <c r="D55" t="str">
        <f>VLOOKUP(A55,DataUsuario!B:D,2,FALSE)</f>
        <v>Administración y Finanzas</v>
      </c>
      <c r="E55" t="str">
        <f>VLOOKUP(A55,DataUsuario!B:D,3,FALSE)</f>
        <v>Control de Gestión</v>
      </c>
      <c r="F55" t="s">
        <v>66</v>
      </c>
    </row>
    <row r="56" spans="1:6" x14ac:dyDescent="0.3">
      <c r="A56" s="156" t="s">
        <v>238</v>
      </c>
      <c r="B56" t="s">
        <v>0</v>
      </c>
      <c r="C56" s="157">
        <v>4</v>
      </c>
      <c r="D56" t="str">
        <f>VLOOKUP(A56,DataUsuario!B:D,2,FALSE)</f>
        <v>Industrial y de Mantenimiento</v>
      </c>
      <c r="E56" t="str">
        <f>VLOOKUP(A56,DataUsuario!B:D,3,FALSE)</f>
        <v>Producción</v>
      </c>
      <c r="F56" t="s">
        <v>74</v>
      </c>
    </row>
    <row r="57" spans="1:6" x14ac:dyDescent="0.3">
      <c r="A57" s="159" t="s">
        <v>630</v>
      </c>
      <c r="B57" t="s">
        <v>0</v>
      </c>
      <c r="C57" s="160">
        <v>5</v>
      </c>
      <c r="D57" t="str">
        <f>VLOOKUP(A57,DataUsuario!B:D,2,FALSE)</f>
        <v>Industrial y de Mantenimiento</v>
      </c>
      <c r="E57" t="str">
        <f>VLOOKUP(A57,DataUsuario!B:D,3,FALSE)</f>
        <v>Mantenimiento Industrial</v>
      </c>
      <c r="F57" t="s">
        <v>74</v>
      </c>
    </row>
    <row r="58" spans="1:6" x14ac:dyDescent="0.3">
      <c r="A58" s="156" t="s">
        <v>301</v>
      </c>
      <c r="B58" t="s">
        <v>0</v>
      </c>
      <c r="C58" s="157">
        <v>5</v>
      </c>
      <c r="D58" t="str">
        <f>VLOOKUP(A58,DataUsuario!B:D,2,FALSE)</f>
        <v>Administración y Finanzas</v>
      </c>
      <c r="E58" t="str">
        <f>VLOOKUP(A58,DataUsuario!B:D,3,FALSE)</f>
        <v>Contabilidad Tributaria</v>
      </c>
      <c r="F58" t="s">
        <v>66</v>
      </c>
    </row>
    <row r="59" spans="1:6" x14ac:dyDescent="0.3">
      <c r="A59" s="159" t="s">
        <v>435</v>
      </c>
      <c r="B59" t="s">
        <v>0</v>
      </c>
      <c r="C59" s="160">
        <v>5</v>
      </c>
      <c r="D59" t="str">
        <f>VLOOKUP(A59,DataUsuario!B:D,2,FALSE)</f>
        <v>Operaciones</v>
      </c>
      <c r="E59" t="str">
        <f>VLOOKUP(A59,DataUsuario!B:D,3,FALSE)</f>
        <v>Almacenes y Distribución PT</v>
      </c>
      <c r="F59" t="s">
        <v>70</v>
      </c>
    </row>
    <row r="60" spans="1:6" x14ac:dyDescent="0.3">
      <c r="A60" s="156" t="s">
        <v>383</v>
      </c>
      <c r="B60" t="s">
        <v>0</v>
      </c>
      <c r="C60" s="157">
        <v>4</v>
      </c>
      <c r="D60" t="str">
        <f>VLOOKUP(A60,DataUsuario!B:D,2,FALSE)</f>
        <v>Agrícola</v>
      </c>
      <c r="E60" t="str">
        <f>VLOOKUP(A60,DataUsuario!B:D,3,FALSE)</f>
        <v>Fundo Lobo</v>
      </c>
      <c r="F60" t="s">
        <v>89</v>
      </c>
    </row>
    <row r="61" spans="1:6" x14ac:dyDescent="0.3">
      <c r="A61" s="159" t="s">
        <v>307</v>
      </c>
      <c r="B61" t="s">
        <v>0</v>
      </c>
      <c r="C61" s="160">
        <v>5</v>
      </c>
      <c r="D61" t="str">
        <f>VLOOKUP(A61,DataUsuario!B:D,2,FALSE)</f>
        <v>Gestión Humana y Sostenibilidad</v>
      </c>
      <c r="E61" t="str">
        <f>VLOOKUP(A61,DataUsuario!B:D,3,FALSE)</f>
        <v>Comunicaciones y Responsabilidad Social</v>
      </c>
      <c r="F61" t="s">
        <v>62</v>
      </c>
    </row>
    <row r="62" spans="1:6" x14ac:dyDescent="0.3">
      <c r="A62" s="156" t="s">
        <v>631</v>
      </c>
      <c r="B62" t="s">
        <v>0</v>
      </c>
      <c r="C62" s="157" t="s">
        <v>666</v>
      </c>
      <c r="D62" t="str">
        <f>VLOOKUP(A62,DataUsuario!B:D,2,FALSE)</f>
        <v>Administración y Finanzas</v>
      </c>
      <c r="E62" t="str">
        <f>VLOOKUP(A62,DataUsuario!B:D,3,FALSE)</f>
        <v>Compras</v>
      </c>
      <c r="F62" t="s">
        <v>66</v>
      </c>
    </row>
    <row r="63" spans="1:6" x14ac:dyDescent="0.3">
      <c r="A63" s="159" t="s">
        <v>415</v>
      </c>
      <c r="B63" t="s">
        <v>0</v>
      </c>
      <c r="C63" s="160">
        <v>5</v>
      </c>
      <c r="D63" t="str">
        <f>VLOOKUP(A63,DataUsuario!B:D,2,FALSE)</f>
        <v>Administración y Finanzas</v>
      </c>
      <c r="E63" t="str">
        <f>VLOOKUP(A63,DataUsuario!B:D,3,FALSE)</f>
        <v>Administración</v>
      </c>
      <c r="F63" t="s">
        <v>66</v>
      </c>
    </row>
    <row r="64" spans="1:6" x14ac:dyDescent="0.3">
      <c r="A64" s="156" t="s">
        <v>128</v>
      </c>
      <c r="B64" t="s">
        <v>0</v>
      </c>
      <c r="C64" s="157">
        <v>5</v>
      </c>
      <c r="D64" t="str">
        <f>VLOOKUP(A64,DataUsuario!B:D,2,FALSE)</f>
        <v>Agrícola</v>
      </c>
      <c r="E64" t="str">
        <f>VLOOKUP(A64,DataUsuario!B:D,3,FALSE)</f>
        <v>Fundo Lobo</v>
      </c>
      <c r="F64" t="s">
        <v>89</v>
      </c>
    </row>
    <row r="65" spans="1:6" x14ac:dyDescent="0.3">
      <c r="A65" s="159" t="s">
        <v>632</v>
      </c>
      <c r="B65" t="s">
        <v>0</v>
      </c>
      <c r="C65" s="160">
        <v>4</v>
      </c>
      <c r="D65" t="str">
        <f>VLOOKUP(A65,DataUsuario!B:D,2,FALSE)</f>
        <v>Gestión Humana y Sostenibilidad</v>
      </c>
      <c r="E65" t="str">
        <f>VLOOKUP(A65,DataUsuario!B:D,3,FALSE)</f>
        <v>Gestor de Recursos Humanos</v>
      </c>
      <c r="F65" t="s">
        <v>62</v>
      </c>
    </row>
    <row r="66" spans="1:6" x14ac:dyDescent="0.3">
      <c r="A66" s="156" t="s">
        <v>205</v>
      </c>
      <c r="B66" t="s">
        <v>0</v>
      </c>
      <c r="C66" s="157">
        <v>5</v>
      </c>
      <c r="D66" t="str">
        <f>VLOOKUP(A66,DataUsuario!B:D,2,FALSE)</f>
        <v>Operaciones</v>
      </c>
      <c r="E66" t="str">
        <f>VLOOKUP(A66,DataUsuario!B:D,3,FALSE)</f>
        <v>Almacenes y Distribución PT</v>
      </c>
      <c r="F66" t="s">
        <v>70</v>
      </c>
    </row>
    <row r="67" spans="1:6" x14ac:dyDescent="0.3">
      <c r="A67" s="159" t="s">
        <v>633</v>
      </c>
      <c r="B67" t="s">
        <v>0</v>
      </c>
      <c r="C67" s="160">
        <v>5</v>
      </c>
      <c r="D67" t="str">
        <f>VLOOKUP(A67,DataUsuario!B:D,2,FALSE)</f>
        <v>Gestión Humana y Sostenibilidad</v>
      </c>
      <c r="E67" t="str">
        <f>VLOOKUP(A67,DataUsuario!B:D,3,FALSE)</f>
        <v>Bienestar - Medico Ocupacional</v>
      </c>
      <c r="F67" t="s">
        <v>62</v>
      </c>
    </row>
    <row r="68" spans="1:6" x14ac:dyDescent="0.3">
      <c r="A68" s="156" t="s">
        <v>634</v>
      </c>
      <c r="B68" t="s">
        <v>0</v>
      </c>
      <c r="C68" s="157">
        <v>4</v>
      </c>
      <c r="D68" t="str">
        <f>VLOOKUP(A68,DataUsuario!B:D,2,FALSE)</f>
        <v>Industrial y de Mantenimiento</v>
      </c>
      <c r="E68" t="str">
        <f>VLOOKUP(A68,DataUsuario!B:D,3,FALSE)</f>
        <v>Producción</v>
      </c>
      <c r="F68" t="s">
        <v>74</v>
      </c>
    </row>
    <row r="69" spans="1:6" x14ac:dyDescent="0.3">
      <c r="A69" s="159" t="s">
        <v>192</v>
      </c>
      <c r="B69" t="s">
        <v>0</v>
      </c>
      <c r="C69" s="160">
        <v>5</v>
      </c>
      <c r="D69" t="str">
        <f>VLOOKUP(A69,DataUsuario!B:D,2,FALSE)</f>
        <v>Agrícola</v>
      </c>
      <c r="E69" t="str">
        <f>VLOOKUP(A69,DataUsuario!B:D,3,FALSE)</f>
        <v>Mantenimiento de Riego y Bombas</v>
      </c>
      <c r="F69" t="s">
        <v>89</v>
      </c>
    </row>
    <row r="70" spans="1:6" x14ac:dyDescent="0.3">
      <c r="A70" s="156" t="s">
        <v>150</v>
      </c>
      <c r="B70" t="s">
        <v>0</v>
      </c>
      <c r="C70" s="157">
        <v>5</v>
      </c>
      <c r="D70" t="str">
        <f>VLOOKUP(A70,DataUsuario!B:D,2,FALSE)</f>
        <v>Industrial y de Mantenimiento</v>
      </c>
      <c r="E70" t="str">
        <f>VLOOKUP(A70,DataUsuario!B:D,3,FALSE)</f>
        <v>Producción</v>
      </c>
      <c r="F70" t="s">
        <v>74</v>
      </c>
    </row>
    <row r="71" spans="1:6" x14ac:dyDescent="0.3">
      <c r="A71" s="159" t="s">
        <v>181</v>
      </c>
      <c r="B71" t="s">
        <v>0</v>
      </c>
      <c r="C71" s="160">
        <v>4</v>
      </c>
      <c r="D71" t="str">
        <f>VLOOKUP(A71,DataUsuario!B:D,2,FALSE)</f>
        <v>Gestión Humana y Sostenibilidad</v>
      </c>
      <c r="E71" t="str">
        <f>VLOOKUP(A71,DataUsuario!B:D,3,FALSE)</f>
        <v>Compensación y Nóminas</v>
      </c>
      <c r="F71" t="s">
        <v>62</v>
      </c>
    </row>
    <row r="72" spans="1:6" x14ac:dyDescent="0.3">
      <c r="A72" s="156" t="s">
        <v>337</v>
      </c>
      <c r="B72" t="s">
        <v>0</v>
      </c>
      <c r="C72" s="157">
        <v>5</v>
      </c>
      <c r="D72" t="str">
        <f>VLOOKUP(A72,DataUsuario!B:D,2,FALSE)</f>
        <v>Agrícola</v>
      </c>
      <c r="E72" t="str">
        <f>VLOOKUP(A72,DataUsuario!B:D,3,FALSE)</f>
        <v>Fundo San Vicente</v>
      </c>
      <c r="F72" t="s">
        <v>89</v>
      </c>
    </row>
    <row r="73" spans="1:6" x14ac:dyDescent="0.3">
      <c r="A73" s="159" t="s">
        <v>369</v>
      </c>
      <c r="B73" t="s">
        <v>0</v>
      </c>
      <c r="C73" s="160" t="s">
        <v>666</v>
      </c>
      <c r="D73" t="str">
        <f>VLOOKUP(A73,DataUsuario!B:D,2,FALSE)</f>
        <v>Agrícola</v>
      </c>
      <c r="E73" t="str">
        <f>VLOOKUP(A73,DataUsuario!B:D,3,FALSE)</f>
        <v>Sistema Integral de Gestión</v>
      </c>
      <c r="F73" t="s">
        <v>89</v>
      </c>
    </row>
    <row r="74" spans="1:6" x14ac:dyDescent="0.3">
      <c r="A74" s="156" t="s">
        <v>637</v>
      </c>
      <c r="B74" t="s">
        <v>0</v>
      </c>
      <c r="C74" s="157">
        <v>5</v>
      </c>
      <c r="D74" t="str">
        <f>VLOOKUP(A74,DataUsuario!B:D,2,FALSE)</f>
        <v>Operaciones</v>
      </c>
      <c r="E74" t="str">
        <f>VLOOKUP(A74,DataUsuario!B:D,3,FALSE)</f>
        <v>Almacenes y Distribución PT</v>
      </c>
      <c r="F74" t="s">
        <v>70</v>
      </c>
    </row>
    <row r="75" spans="1:6" x14ac:dyDescent="0.3">
      <c r="A75" s="159" t="s">
        <v>362</v>
      </c>
      <c r="B75" t="s">
        <v>0</v>
      </c>
      <c r="C75" s="160">
        <v>5</v>
      </c>
      <c r="D75" t="str">
        <f>VLOOKUP(A75,DataUsuario!B:D,2,FALSE)</f>
        <v>Agrícola</v>
      </c>
      <c r="E75" t="str">
        <f>VLOOKUP(A75,DataUsuario!B:D,3,FALSE)</f>
        <v>Fundo Lobo</v>
      </c>
      <c r="F75" t="s">
        <v>89</v>
      </c>
    </row>
    <row r="76" spans="1:6" x14ac:dyDescent="0.3">
      <c r="A76" s="156" t="s">
        <v>198</v>
      </c>
      <c r="B76" t="s">
        <v>0</v>
      </c>
      <c r="C76" s="157">
        <v>4</v>
      </c>
      <c r="D76" t="str">
        <f>VLOOKUP(A76,DataUsuario!B:D,2,FALSE)</f>
        <v>Agrícola</v>
      </c>
      <c r="E76" t="str">
        <f>VLOOKUP(A76,DataUsuario!B:D,3,FALSE)</f>
        <v>Fundo Lobo</v>
      </c>
      <c r="F76" t="s">
        <v>89</v>
      </c>
    </row>
    <row r="77" spans="1:6" x14ac:dyDescent="0.3">
      <c r="A77" s="159" t="s">
        <v>256</v>
      </c>
      <c r="B77" t="s">
        <v>0</v>
      </c>
      <c r="C77" s="160" t="s">
        <v>666</v>
      </c>
      <c r="D77" t="str">
        <f>VLOOKUP(A77,DataUsuario!B:D,2,FALSE)</f>
        <v>Agrícola</v>
      </c>
      <c r="E77" t="str">
        <f>VLOOKUP(A77,DataUsuario!B:D,3,FALSE)</f>
        <v>Fundo Montelima</v>
      </c>
      <c r="F77" t="s">
        <v>89</v>
      </c>
    </row>
    <row r="78" spans="1:6" x14ac:dyDescent="0.3">
      <c r="A78" s="156" t="s">
        <v>421</v>
      </c>
      <c r="B78" t="s">
        <v>0</v>
      </c>
      <c r="C78" s="157">
        <v>4</v>
      </c>
      <c r="D78" t="str">
        <f>VLOOKUP(A78,DataUsuario!B:D,2,FALSE)</f>
        <v>Operaciones</v>
      </c>
      <c r="E78" t="str">
        <f>VLOOKUP(A78,DataUsuario!B:D,3,FALSE)</f>
        <v>Cosecha</v>
      </c>
      <c r="F78" t="s">
        <v>70</v>
      </c>
    </row>
    <row r="79" spans="1:6" x14ac:dyDescent="0.3">
      <c r="A79" s="159" t="s">
        <v>118</v>
      </c>
      <c r="B79" t="s">
        <v>0</v>
      </c>
      <c r="C79" s="160" t="s">
        <v>666</v>
      </c>
      <c r="D79" t="str">
        <f>VLOOKUP(A79,DataUsuario!B:D,2,FALSE)</f>
        <v>Agrícola</v>
      </c>
      <c r="E79" t="str">
        <f>VLOOKUP(A79,DataUsuario!B:D,3,FALSE)</f>
        <v>Fundo Lobo</v>
      </c>
      <c r="F79" t="s">
        <v>89</v>
      </c>
    </row>
    <row r="80" spans="1:6" x14ac:dyDescent="0.3">
      <c r="A80" s="156" t="s">
        <v>352</v>
      </c>
      <c r="B80" t="s">
        <v>0</v>
      </c>
      <c r="C80" s="157">
        <v>5</v>
      </c>
      <c r="D80" t="str">
        <f>VLOOKUP(A80,DataUsuario!B:D,2,FALSE)</f>
        <v>Gestión Humana y Sostenibilidad</v>
      </c>
      <c r="E80" t="str">
        <f>VLOOKUP(A80,DataUsuario!B:D,3,FALSE)</f>
        <v>Compensación y Nóminas</v>
      </c>
      <c r="F80" t="s">
        <v>62</v>
      </c>
    </row>
    <row r="81" spans="1:6" x14ac:dyDescent="0.3">
      <c r="A81" s="159" t="s">
        <v>170</v>
      </c>
      <c r="B81" t="s">
        <v>0</v>
      </c>
      <c r="C81" s="160">
        <v>5</v>
      </c>
      <c r="D81" t="str">
        <f>VLOOKUP(A81,DataUsuario!B:D,2,FALSE)</f>
        <v>Operaciones</v>
      </c>
      <c r="E81" t="str">
        <f>VLOOKUP(A81,DataUsuario!B:D,3,FALSE)</f>
        <v>Mantenimiento CAT</v>
      </c>
      <c r="F81" t="s">
        <v>70</v>
      </c>
    </row>
    <row r="82" spans="1:6" x14ac:dyDescent="0.3">
      <c r="A82" s="156" t="s">
        <v>200</v>
      </c>
      <c r="B82" t="s">
        <v>0</v>
      </c>
      <c r="C82" s="157">
        <v>5</v>
      </c>
      <c r="D82" t="str">
        <f>VLOOKUP(A82,DataUsuario!B:D,2,FALSE)</f>
        <v>Industrial y de Mantenimiento</v>
      </c>
      <c r="E82" t="str">
        <f>VLOOKUP(A82,DataUsuario!B:D,3,FALSE)</f>
        <v>Electricidad</v>
      </c>
      <c r="F82" t="s">
        <v>74</v>
      </c>
    </row>
    <row r="83" spans="1:6" x14ac:dyDescent="0.3">
      <c r="A83" s="159" t="s">
        <v>341</v>
      </c>
      <c r="B83" t="s">
        <v>0</v>
      </c>
      <c r="C83" s="160" t="s">
        <v>666</v>
      </c>
      <c r="D83" t="str">
        <f>VLOOKUP(A83,DataUsuario!B:D,2,FALSE)</f>
        <v>Administración y Finanzas</v>
      </c>
      <c r="E83" t="str">
        <f>VLOOKUP(A83,DataUsuario!B:D,3,FALSE)</f>
        <v>Contabilidad Tributaria</v>
      </c>
      <c r="F83" t="s">
        <v>66</v>
      </c>
    </row>
    <row r="84" spans="1:6" x14ac:dyDescent="0.3">
      <c r="A84" s="156" t="s">
        <v>643</v>
      </c>
      <c r="B84" t="s">
        <v>0</v>
      </c>
      <c r="C84" s="157">
        <v>5</v>
      </c>
      <c r="D84" t="str">
        <f>VLOOKUP(A84,DataUsuario!B:D,2,FALSE)</f>
        <v>Gestión Humana y Sostenibilidad</v>
      </c>
      <c r="E84" t="str">
        <f>VLOOKUP(A84,DataUsuario!B:D,3,FALSE)</f>
        <v>Gestor de Recursos Humanos</v>
      </c>
      <c r="F84" t="s">
        <v>62</v>
      </c>
    </row>
    <row r="85" spans="1:6" x14ac:dyDescent="0.3">
      <c r="A85" s="159" t="s">
        <v>217</v>
      </c>
      <c r="B85" t="s">
        <v>0</v>
      </c>
      <c r="C85" s="160">
        <v>4</v>
      </c>
      <c r="D85" t="str">
        <f>VLOOKUP(A85,DataUsuario!B:D,2,FALSE)</f>
        <v>Agrícola</v>
      </c>
      <c r="E85" t="str">
        <f>VLOOKUP(A85,DataUsuario!B:D,3,FALSE)</f>
        <v>Mantenimiento de Riego y Bombas</v>
      </c>
      <c r="F85" t="s">
        <v>89</v>
      </c>
    </row>
    <row r="86" spans="1:6" x14ac:dyDescent="0.3">
      <c r="A86" s="156" t="s">
        <v>267</v>
      </c>
      <c r="B86" t="s">
        <v>0</v>
      </c>
      <c r="C86" s="157">
        <v>5</v>
      </c>
      <c r="D86" t="str">
        <f>VLOOKUP(A86,DataUsuario!B:D,2,FALSE)</f>
        <v>Gestión Humana y Sostenibilidad</v>
      </c>
      <c r="E86" t="str">
        <f>VLOOKUP(A86,DataUsuario!B:D,3,FALSE)</f>
        <v>Sostenibilidad</v>
      </c>
      <c r="F86" t="s">
        <v>62</v>
      </c>
    </row>
    <row r="87" spans="1:6" x14ac:dyDescent="0.3">
      <c r="A87" s="159" t="s">
        <v>347</v>
      </c>
      <c r="B87" t="s">
        <v>0</v>
      </c>
      <c r="C87" s="160">
        <v>5</v>
      </c>
      <c r="D87" t="str">
        <f>VLOOKUP(A87,DataUsuario!B:D,2,FALSE)</f>
        <v>Operaciones</v>
      </c>
      <c r="E87" t="str">
        <f>VLOOKUP(A87,DataUsuario!B:D,3,FALSE)</f>
        <v>Almacenes y Distribución PT</v>
      </c>
      <c r="F87" t="s">
        <v>70</v>
      </c>
    </row>
    <row r="88" spans="1:6" x14ac:dyDescent="0.3">
      <c r="A88" s="156" t="s">
        <v>102</v>
      </c>
      <c r="B88" t="s">
        <v>0</v>
      </c>
      <c r="C88" s="157">
        <v>5</v>
      </c>
      <c r="D88" t="str">
        <f>VLOOKUP(A88,DataUsuario!B:D,2,FALSE)</f>
        <v>Operaciones</v>
      </c>
      <c r="E88" t="str">
        <f>VLOOKUP(A88,DataUsuario!B:D,3,FALSE)</f>
        <v>Almacenes y Distribución PT</v>
      </c>
      <c r="F88" t="s">
        <v>70</v>
      </c>
    </row>
    <row r="89" spans="1:6" x14ac:dyDescent="0.3">
      <c r="A89" s="159" t="s">
        <v>249</v>
      </c>
      <c r="B89" t="s">
        <v>0</v>
      </c>
      <c r="C89" s="160">
        <v>5</v>
      </c>
      <c r="D89" t="str">
        <f>VLOOKUP(A89,DataUsuario!B:D,2,FALSE)</f>
        <v>Administración y Finanzas</v>
      </c>
      <c r="E89" t="str">
        <f>VLOOKUP(A89,DataUsuario!B:D,3,FALSE)</f>
        <v>Compras</v>
      </c>
      <c r="F89" t="s">
        <v>66</v>
      </c>
    </row>
    <row r="90" spans="1:6" x14ac:dyDescent="0.3">
      <c r="A90" s="156" t="s">
        <v>409</v>
      </c>
      <c r="B90" t="s">
        <v>0</v>
      </c>
      <c r="C90" s="157">
        <v>4</v>
      </c>
      <c r="D90" t="str">
        <f>VLOOKUP(A90,DataUsuario!B:D,2,FALSE)</f>
        <v>Agrícola</v>
      </c>
      <c r="E90" t="str">
        <f>VLOOKUP(A90,DataUsuario!B:D,3,FALSE)</f>
        <v>Fundo Lobo</v>
      </c>
      <c r="F90" t="s">
        <v>89</v>
      </c>
    </row>
    <row r="91" spans="1:6" x14ac:dyDescent="0.3">
      <c r="A91" s="159" t="s">
        <v>136</v>
      </c>
      <c r="B91" t="s">
        <v>0</v>
      </c>
      <c r="C91" s="160">
        <v>4</v>
      </c>
      <c r="D91" t="str">
        <f>VLOOKUP(A91,DataUsuario!B:D,2,FALSE)</f>
        <v>Operaciones</v>
      </c>
      <c r="E91" t="str">
        <f>VLOOKUP(A91,DataUsuario!B:D,3,FALSE)</f>
        <v>Comercial</v>
      </c>
      <c r="F91" t="s">
        <v>70</v>
      </c>
    </row>
    <row r="92" spans="1:6" x14ac:dyDescent="0.3">
      <c r="A92" s="156" t="s">
        <v>649</v>
      </c>
      <c r="B92" t="s">
        <v>0</v>
      </c>
      <c r="C92" s="157" t="s">
        <v>666</v>
      </c>
      <c r="D92" t="str">
        <f>VLOOKUP(A92,DataUsuario!B:D,2,FALSE)</f>
        <v>Gestión Humana y Sostenibilidad</v>
      </c>
      <c r="E92" t="str">
        <f>VLOOKUP(A92,DataUsuario!B:D,3,FALSE)</f>
        <v>Control Presupuestal</v>
      </c>
      <c r="F92" t="s">
        <v>62</v>
      </c>
    </row>
    <row r="93" spans="1:6" x14ac:dyDescent="0.3">
      <c r="A93" s="159" t="s">
        <v>651</v>
      </c>
      <c r="B93" t="s">
        <v>0</v>
      </c>
      <c r="C93" s="160">
        <v>4</v>
      </c>
      <c r="D93" t="str">
        <f>VLOOKUP(A93,DataUsuario!B:D,2,FALSE)</f>
        <v>Operaciones</v>
      </c>
      <c r="E93" t="str">
        <f>VLOOKUP(A93,DataUsuario!B:D,3,FALSE)</f>
        <v>Almacenes y Distribución PT</v>
      </c>
      <c r="F93" t="s">
        <v>70</v>
      </c>
    </row>
    <row r="94" spans="1:6" x14ac:dyDescent="0.3">
      <c r="A94" s="156" t="s">
        <v>320</v>
      </c>
      <c r="B94" t="s">
        <v>0</v>
      </c>
      <c r="C94" s="157">
        <v>5</v>
      </c>
      <c r="D94" t="str">
        <f>VLOOKUP(A94,DataUsuario!B:D,2,FALSE)</f>
        <v>Gestión Humana y Sostenibilidad</v>
      </c>
      <c r="E94" t="str">
        <f>VLOOKUP(A94,DataUsuario!B:D,3,FALSE)</f>
        <v>Sostenibilidad</v>
      </c>
      <c r="F94" t="s">
        <v>62</v>
      </c>
    </row>
    <row r="95" spans="1:6" x14ac:dyDescent="0.3">
      <c r="A95" s="159" t="s">
        <v>230</v>
      </c>
      <c r="B95" t="s">
        <v>0</v>
      </c>
      <c r="C95" s="160">
        <v>4</v>
      </c>
      <c r="D95" t="str">
        <f>VLOOKUP(A95,DataUsuario!B:D,2,FALSE)</f>
        <v>Agrícola</v>
      </c>
      <c r="E95" t="str">
        <f>VLOOKUP(A95,DataUsuario!B:D,3,FALSE)</f>
        <v>Fundo Lobo</v>
      </c>
      <c r="F95" t="s">
        <v>89</v>
      </c>
    </row>
    <row r="96" spans="1:6" x14ac:dyDescent="0.3">
      <c r="A96" s="156" t="s">
        <v>314</v>
      </c>
      <c r="B96" t="s">
        <v>0</v>
      </c>
      <c r="C96" s="157">
        <v>4</v>
      </c>
      <c r="D96" t="str">
        <f>VLOOKUP(A96,DataUsuario!B:D,2,FALSE)</f>
        <v>Industrial y de Mantenimiento</v>
      </c>
      <c r="E96" t="str">
        <f>VLOOKUP(A96,DataUsuario!B:D,3,FALSE)</f>
        <v>Mantenimiento Industrial</v>
      </c>
      <c r="F96" t="s">
        <v>74</v>
      </c>
    </row>
    <row r="97" spans="1:6" x14ac:dyDescent="0.3">
      <c r="A97" s="159" t="s">
        <v>99</v>
      </c>
      <c r="B97" t="s">
        <v>0</v>
      </c>
      <c r="C97" s="160">
        <v>5</v>
      </c>
      <c r="D97" t="str">
        <f>VLOOKUP(A97,DataUsuario!B:D,2,FALSE)</f>
        <v>Gestión Humana y Sostenibilidad</v>
      </c>
      <c r="E97" t="str">
        <f>VLOOKUP(A97,DataUsuario!B:D,3,FALSE)</f>
        <v>Gestor de Recursos Humanos</v>
      </c>
      <c r="F97" t="s">
        <v>62</v>
      </c>
    </row>
    <row r="98" spans="1:6" x14ac:dyDescent="0.3">
      <c r="A98" s="156" t="s">
        <v>391</v>
      </c>
      <c r="B98" t="s">
        <v>0</v>
      </c>
      <c r="C98" s="157">
        <v>5</v>
      </c>
      <c r="D98" t="str">
        <f>VLOOKUP(A98,DataUsuario!B:D,2,FALSE)</f>
        <v>Administración y Finanzas</v>
      </c>
      <c r="E98" t="str">
        <f>VLOOKUP(A98,DataUsuario!B:D,3,FALSE)</f>
        <v>Finanzas y Tesorería</v>
      </c>
      <c r="F98" t="s">
        <v>66</v>
      </c>
    </row>
    <row r="99" spans="1:6" x14ac:dyDescent="0.3">
      <c r="A99" s="159" t="s">
        <v>372</v>
      </c>
      <c r="B99" t="s">
        <v>0</v>
      </c>
      <c r="C99" s="160">
        <v>5</v>
      </c>
      <c r="D99" t="str">
        <f>VLOOKUP(A99,DataUsuario!B:D,2,FALSE)</f>
        <v>Agrícola</v>
      </c>
      <c r="E99" t="str">
        <f>VLOOKUP(A99,DataUsuario!B:D,3,FALSE)</f>
        <v>Laboratorio e Investigación Agricola</v>
      </c>
      <c r="F99" t="s">
        <v>89</v>
      </c>
    </row>
    <row r="100" spans="1:6" x14ac:dyDescent="0.3">
      <c r="A100" s="156" t="s">
        <v>156</v>
      </c>
      <c r="B100" t="s">
        <v>0</v>
      </c>
      <c r="C100" s="157" t="s">
        <v>666</v>
      </c>
      <c r="D100" t="str">
        <f>VLOOKUP(A100,DataUsuario!B:D,2,FALSE)</f>
        <v>Administración y Finanzas</v>
      </c>
      <c r="E100" t="str">
        <f>VLOOKUP(A100,DataUsuario!B:D,3,FALSE)</f>
        <v>Compras</v>
      </c>
      <c r="F100" t="s">
        <v>66</v>
      </c>
    </row>
    <row r="101" spans="1:6" x14ac:dyDescent="0.3">
      <c r="A101" s="159" t="s">
        <v>258</v>
      </c>
      <c r="B101" t="s">
        <v>0</v>
      </c>
      <c r="C101" s="160">
        <v>4</v>
      </c>
      <c r="D101" t="str">
        <f>VLOOKUP(A101,DataUsuario!B:D,2,FALSE)</f>
        <v>Operaciones</v>
      </c>
      <c r="E101" t="str">
        <f>VLOOKUP(A101,DataUsuario!B:D,3,FALSE)</f>
        <v>Calidad</v>
      </c>
      <c r="F101" t="s">
        <v>70</v>
      </c>
    </row>
    <row r="102" spans="1:6" x14ac:dyDescent="0.3">
      <c r="A102" s="156" t="s">
        <v>61</v>
      </c>
      <c r="B102" t="s">
        <v>0</v>
      </c>
      <c r="C102" s="157">
        <v>4</v>
      </c>
      <c r="D102" t="str">
        <f>VLOOKUP(A102,DataUsuario!B:D,2,FALSE)</f>
        <v>Gestión Humana y Sostenibilidad</v>
      </c>
      <c r="E102" t="str">
        <f>VLOOKUP(A102,DataUsuario!B:D,3,FALSE)</f>
        <v>Compensación y Nóminas</v>
      </c>
      <c r="F102" t="s">
        <v>62</v>
      </c>
    </row>
    <row r="103" spans="1:6" x14ac:dyDescent="0.3">
      <c r="A103" s="159" t="s">
        <v>289</v>
      </c>
      <c r="B103" t="s">
        <v>0</v>
      </c>
      <c r="C103" s="160">
        <v>5</v>
      </c>
      <c r="D103" t="str">
        <f>VLOOKUP(A103,DataUsuario!B:D,2,FALSE)</f>
        <v>Agrícola</v>
      </c>
      <c r="E103" t="str">
        <f>VLOOKUP(A103,DataUsuario!B:D,3,FALSE)</f>
        <v>Mantenimiento de Riego y Bombas</v>
      </c>
      <c r="F103" t="s">
        <v>89</v>
      </c>
    </row>
    <row r="104" spans="1:6" x14ac:dyDescent="0.3">
      <c r="A104" s="156" t="s">
        <v>158</v>
      </c>
      <c r="B104" t="s">
        <v>0</v>
      </c>
      <c r="C104" s="157" t="s">
        <v>666</v>
      </c>
      <c r="D104" t="str">
        <f>VLOOKUP(A104,DataUsuario!B:D,2,FALSE)</f>
        <v>Operaciones</v>
      </c>
      <c r="E104" t="str">
        <f>VLOOKUP(A104,DataUsuario!B:D,3,FALSE)</f>
        <v>Calidad</v>
      </c>
      <c r="F104" t="s">
        <v>70</v>
      </c>
    </row>
    <row r="105" spans="1:6" x14ac:dyDescent="0.3">
      <c r="A105" s="159" t="s">
        <v>251</v>
      </c>
      <c r="B105" t="s">
        <v>0</v>
      </c>
      <c r="C105" s="160" t="s">
        <v>666</v>
      </c>
      <c r="D105" t="str">
        <f>VLOOKUP(A105,DataUsuario!B:D,2,FALSE)</f>
        <v>Industrial y de Mantenimiento</v>
      </c>
      <c r="E105" t="str">
        <f>VLOOKUP(A105,DataUsuario!B:D,3,FALSE)</f>
        <v>Automatización</v>
      </c>
      <c r="F105" t="s">
        <v>74</v>
      </c>
    </row>
    <row r="106" spans="1:6" x14ac:dyDescent="0.3">
      <c r="A106" s="156" t="s">
        <v>653</v>
      </c>
      <c r="B106" t="s">
        <v>0</v>
      </c>
      <c r="C106" s="157">
        <v>5</v>
      </c>
      <c r="D106" t="str">
        <f>VLOOKUP(A106,DataUsuario!B:D,2,FALSE)</f>
        <v>Industrial y de Mantenimiento</v>
      </c>
      <c r="E106" t="str">
        <f>VLOOKUP(A106,DataUsuario!B:D,3,FALSE)</f>
        <v>Mantenimiento Industrial</v>
      </c>
      <c r="F106" t="s">
        <v>74</v>
      </c>
    </row>
    <row r="107" spans="1:6" x14ac:dyDescent="0.3">
      <c r="A107" s="159" t="s">
        <v>279</v>
      </c>
      <c r="B107" t="s">
        <v>0</v>
      </c>
      <c r="C107" s="160">
        <v>4</v>
      </c>
      <c r="D107" t="str">
        <f>VLOOKUP(A107,DataUsuario!B:D,2,FALSE)</f>
        <v>Operaciones</v>
      </c>
      <c r="E107" t="str">
        <f>VLOOKUP(A107,DataUsuario!B:D,3,FALSE)</f>
        <v>Transporte</v>
      </c>
      <c r="F107" t="s">
        <v>70</v>
      </c>
    </row>
    <row r="108" spans="1:6" x14ac:dyDescent="0.3">
      <c r="A108" s="156" t="s">
        <v>655</v>
      </c>
      <c r="B108" t="s">
        <v>0</v>
      </c>
      <c r="C108" s="157">
        <v>5</v>
      </c>
      <c r="D108" t="str">
        <f>VLOOKUP(A108,DataUsuario!B:D,2,FALSE)</f>
        <v>Operaciones</v>
      </c>
      <c r="E108" t="str">
        <f>VLOOKUP(A108,DataUsuario!B:D,3,FALSE)</f>
        <v>Almacenes y Distribución PT</v>
      </c>
      <c r="F108" t="s">
        <v>70</v>
      </c>
    </row>
    <row r="109" spans="1:6" x14ac:dyDescent="0.3">
      <c r="A109" s="159" t="s">
        <v>202</v>
      </c>
      <c r="B109" t="s">
        <v>0</v>
      </c>
      <c r="C109" s="160" t="s">
        <v>666</v>
      </c>
      <c r="D109" t="str">
        <f>VLOOKUP(A109,DataUsuario!B:D,2,FALSE)</f>
        <v>Agrícola</v>
      </c>
      <c r="E109" t="str">
        <f>VLOOKUP(A109,DataUsuario!B:D,3,FALSE)</f>
        <v>Fundo La Huaca</v>
      </c>
      <c r="F109" t="s">
        <v>89</v>
      </c>
    </row>
    <row r="110" spans="1:6" x14ac:dyDescent="0.3">
      <c r="A110" s="156" t="s">
        <v>154</v>
      </c>
      <c r="B110" t="s">
        <v>0</v>
      </c>
      <c r="C110" s="157">
        <v>4</v>
      </c>
      <c r="D110" t="str">
        <f>VLOOKUP(A110,DataUsuario!B:D,2,FALSE)</f>
        <v>Industrial y de Mantenimiento</v>
      </c>
      <c r="E110" t="str">
        <f>VLOOKUP(A110,DataUsuario!B:D,3,FALSE)</f>
        <v>Mantenimiento Industrial</v>
      </c>
      <c r="F110" t="s">
        <v>74</v>
      </c>
    </row>
    <row r="111" spans="1:6" x14ac:dyDescent="0.3">
      <c r="A111" s="159" t="s">
        <v>332</v>
      </c>
      <c r="B111" t="s">
        <v>0</v>
      </c>
      <c r="C111" s="160">
        <v>2</v>
      </c>
      <c r="D111" t="str">
        <f>VLOOKUP(A111,DataUsuario!B:D,2,FALSE)</f>
        <v>Agrícola</v>
      </c>
      <c r="E111" t="str">
        <f>VLOOKUP(A111,DataUsuario!B:D,3,FALSE)</f>
        <v>Gerencia Agrícola</v>
      </c>
      <c r="F111" t="s">
        <v>89</v>
      </c>
    </row>
    <row r="112" spans="1:6" x14ac:dyDescent="0.3">
      <c r="A112" s="156" t="s">
        <v>359</v>
      </c>
      <c r="B112" t="s">
        <v>0</v>
      </c>
      <c r="C112" s="157">
        <v>4</v>
      </c>
      <c r="D112" t="str">
        <f>VLOOKUP(A112,DataUsuario!B:D,2,FALSE)</f>
        <v>Operaciones</v>
      </c>
      <c r="E112" t="str">
        <f>VLOOKUP(A112,DataUsuario!B:D,3,FALSE)</f>
        <v>Gerencia de Operaciones</v>
      </c>
      <c r="F112" t="s">
        <v>70</v>
      </c>
    </row>
    <row r="113" spans="1:6" x14ac:dyDescent="0.3">
      <c r="A113" s="159" t="s">
        <v>172</v>
      </c>
      <c r="B113" t="s">
        <v>0</v>
      </c>
      <c r="C113" s="160">
        <v>3</v>
      </c>
      <c r="D113" t="str">
        <f>VLOOKUP(A113,DataUsuario!B:D,2,FALSE)</f>
        <v>Gestión Humana y Sostenibilidad</v>
      </c>
      <c r="E113" t="str">
        <f>VLOOKUP(A113,DataUsuario!B:D,3,FALSE)</f>
        <v>Gestor de Recursos Humanos</v>
      </c>
      <c r="F113" t="s">
        <v>62</v>
      </c>
    </row>
    <row r="114" spans="1:6" x14ac:dyDescent="0.3">
      <c r="A114" s="156" t="s">
        <v>260</v>
      </c>
      <c r="B114" t="s">
        <v>0</v>
      </c>
      <c r="C114" s="157">
        <v>2</v>
      </c>
      <c r="D114" t="str">
        <f>VLOOKUP(A114,DataUsuario!B:D,2,FALSE)</f>
        <v>Industrial y de Mantenimiento</v>
      </c>
      <c r="E114" t="str">
        <f>VLOOKUP(A114,DataUsuario!B:D,3,FALSE)</f>
        <v>Producción</v>
      </c>
      <c r="F114" t="s">
        <v>74</v>
      </c>
    </row>
    <row r="115" spans="1:6" x14ac:dyDescent="0.3">
      <c r="A115" s="159" t="s">
        <v>242</v>
      </c>
      <c r="B115" t="s">
        <v>0</v>
      </c>
      <c r="C115" s="160">
        <v>4</v>
      </c>
      <c r="D115" t="str">
        <f>VLOOKUP(A115,DataUsuario!B:D,2,FALSE)</f>
        <v>Agrícola</v>
      </c>
      <c r="E115" t="str">
        <f>VLOOKUP(A115,DataUsuario!B:D,3,FALSE)</f>
        <v>Fundo Montelima</v>
      </c>
      <c r="F115" t="s">
        <v>89</v>
      </c>
    </row>
    <row r="116" spans="1:6" x14ac:dyDescent="0.3">
      <c r="A116" s="156" t="s">
        <v>661</v>
      </c>
      <c r="B116" t="s">
        <v>0</v>
      </c>
      <c r="C116" s="157">
        <v>5</v>
      </c>
      <c r="D116" t="str">
        <f>VLOOKUP(A116,DataUsuario!B:D,2,FALSE)</f>
        <v>Gestión Humana y Sostenibilidad</v>
      </c>
      <c r="E116" t="str">
        <f>VLOOKUP(A116,DataUsuario!B:D,3,FALSE)</f>
        <v>Gestión Humana</v>
      </c>
      <c r="F116" t="s">
        <v>62</v>
      </c>
    </row>
    <row r="117" spans="1:6" x14ac:dyDescent="0.3">
      <c r="A117" s="159" t="s">
        <v>138</v>
      </c>
      <c r="B117" t="s">
        <v>0</v>
      </c>
      <c r="C117" s="160">
        <v>5</v>
      </c>
      <c r="D117" t="str">
        <f>VLOOKUP(A117,DataUsuario!B:D,2,FALSE)</f>
        <v>Gestión Humana y Sostenibilidad</v>
      </c>
      <c r="E117" t="str">
        <f>VLOOKUP(A117,DataUsuario!B:D,3,FALSE)</f>
        <v>Gestion del Talento</v>
      </c>
      <c r="F117" t="s">
        <v>62</v>
      </c>
    </row>
    <row r="118" spans="1:6" x14ac:dyDescent="0.3">
      <c r="A118" s="156" t="s">
        <v>662</v>
      </c>
      <c r="B118" t="s">
        <v>0</v>
      </c>
      <c r="C118" s="157">
        <v>5</v>
      </c>
      <c r="D118" t="str">
        <f>VLOOKUP(A118,DataUsuario!B:D,2,FALSE)</f>
        <v>Gestión Humana y Sostenibilidad</v>
      </c>
      <c r="E118" t="str">
        <f>VLOOKUP(A118,DataUsuario!B:D,3,FALSE)</f>
        <v>Relaciones Laborales</v>
      </c>
      <c r="F118" t="s">
        <v>62</v>
      </c>
    </row>
    <row r="119" spans="1:6" x14ac:dyDescent="0.3">
      <c r="A119" s="159" t="s">
        <v>663</v>
      </c>
      <c r="B119" t="s">
        <v>0</v>
      </c>
      <c r="C119" s="160">
        <v>5</v>
      </c>
      <c r="D119" t="str">
        <f>VLOOKUP(A119,DataUsuario!B:D,2,FALSE)</f>
        <v>Administración y Finanzas</v>
      </c>
      <c r="E119" t="str">
        <f>VLOOKUP(A119,DataUsuario!B:D,3,FALSE)</f>
        <v>Contabilidad Tributaria</v>
      </c>
      <c r="F119" t="s">
        <v>66</v>
      </c>
    </row>
    <row r="120" spans="1:6" x14ac:dyDescent="0.3">
      <c r="A120" s="156" t="s">
        <v>247</v>
      </c>
      <c r="B120" t="s">
        <v>0</v>
      </c>
      <c r="C120" s="157">
        <v>5</v>
      </c>
      <c r="D120" t="str">
        <f>VLOOKUP(A120,DataUsuario!B:D,2,FALSE)</f>
        <v>Industrial y de Mantenimiento</v>
      </c>
      <c r="E120" t="str">
        <f>VLOOKUP(A120,DataUsuario!B:D,3,FALSE)</f>
        <v>Mantenimiento Industrial</v>
      </c>
      <c r="F120" t="s">
        <v>74</v>
      </c>
    </row>
    <row r="121" spans="1:6" x14ac:dyDescent="0.3">
      <c r="A121" s="159" t="s">
        <v>271</v>
      </c>
      <c r="B121" t="s">
        <v>0</v>
      </c>
      <c r="C121" s="160">
        <v>5</v>
      </c>
      <c r="D121" t="str">
        <f>VLOOKUP(A121,DataUsuario!B:D,2,FALSE)</f>
        <v>Operaciones</v>
      </c>
      <c r="E121" t="str">
        <f>VLOOKUP(A121,DataUsuario!B:D,3,FALSE)</f>
        <v>Calidad</v>
      </c>
      <c r="F121" t="s">
        <v>70</v>
      </c>
    </row>
    <row r="122" spans="1:6" x14ac:dyDescent="0.3">
      <c r="A122" s="156" t="s">
        <v>291</v>
      </c>
      <c r="B122" t="s">
        <v>0</v>
      </c>
      <c r="C122" s="157" t="s">
        <v>666</v>
      </c>
      <c r="D122" t="str">
        <f>VLOOKUP(A122,DataUsuario!B:D,2,FALSE)</f>
        <v>Gestión Humana y Sostenibilidad</v>
      </c>
      <c r="E122" t="str">
        <f>VLOOKUP(A122,DataUsuario!B:D,3,FALSE)</f>
        <v>Gerencia Gestión Humana y Sostenibilidad</v>
      </c>
      <c r="F122" t="s">
        <v>62</v>
      </c>
    </row>
    <row r="123" spans="1:6" x14ac:dyDescent="0.3">
      <c r="A123" s="159" t="s">
        <v>80</v>
      </c>
      <c r="B123" t="s">
        <v>0</v>
      </c>
      <c r="C123" s="160" t="s">
        <v>666</v>
      </c>
      <c r="D123" t="str">
        <f>VLOOKUP(A123,DataUsuario!B:D,2,FALSE)</f>
        <v>Administración y Finanzas</v>
      </c>
      <c r="E123" t="str">
        <f>VLOOKUP(A123,DataUsuario!B:D,3,FALSE)</f>
        <v>Compras</v>
      </c>
      <c r="F123" t="s">
        <v>66</v>
      </c>
    </row>
    <row r="124" spans="1:6" x14ac:dyDescent="0.3">
      <c r="A124" s="156" t="s">
        <v>88</v>
      </c>
      <c r="B124" t="s">
        <v>0</v>
      </c>
      <c r="C124" s="157">
        <v>5</v>
      </c>
      <c r="D124" t="str">
        <f>VLOOKUP(A124,DataUsuario!B:D,2,FALSE)</f>
        <v>Agrícola</v>
      </c>
      <c r="E124" t="str">
        <f>VLOOKUP(A124,DataUsuario!B:D,3,FALSE)</f>
        <v>Fundo Lobo</v>
      </c>
      <c r="F124" t="s">
        <v>89</v>
      </c>
    </row>
    <row r="125" spans="1:6" x14ac:dyDescent="0.3">
      <c r="A125" s="159" t="s">
        <v>143</v>
      </c>
      <c r="B125" t="s">
        <v>0</v>
      </c>
      <c r="C125" s="160">
        <v>5</v>
      </c>
      <c r="D125" t="str">
        <f>VLOOKUP(A125,DataUsuario!B:D,2,FALSE)</f>
        <v>Operaciones</v>
      </c>
      <c r="E125" t="str">
        <f>VLOOKUP(A125,DataUsuario!B:D,3,FALSE)</f>
        <v>Transporte</v>
      </c>
      <c r="F125" t="s">
        <v>70</v>
      </c>
    </row>
    <row r="126" spans="1:6" x14ac:dyDescent="0.3">
      <c r="A126" s="162" t="s">
        <v>123</v>
      </c>
      <c r="B126" t="s">
        <v>0</v>
      </c>
      <c r="C126" s="163" t="s">
        <v>666</v>
      </c>
      <c r="D126" t="str">
        <f>VLOOKUP(A126,DataUsuario!B:D,2,FALSE)</f>
        <v>Administración y Finanzas</v>
      </c>
      <c r="E126" t="str">
        <f>VLOOKUP(A126,DataUsuario!B:D,3,FALSE)</f>
        <v>Gerencia Administración y Finanzas</v>
      </c>
      <c r="F126" t="s">
        <v>66</v>
      </c>
    </row>
    <row r="127" spans="1:6" x14ac:dyDescent="0.3">
      <c r="A127" s="156" t="s">
        <v>133</v>
      </c>
      <c r="B127" t="s">
        <v>1</v>
      </c>
      <c r="C127" s="157">
        <v>5</v>
      </c>
      <c r="D127" t="str">
        <f>VLOOKUP(A127,DataUsuario!B:D,2,FALSE)</f>
        <v>Industrial y de Mantenimiento</v>
      </c>
      <c r="E127" t="str">
        <f>VLOOKUP(A127,DataUsuario!B:D,3,FALSE)</f>
        <v>Electricidad</v>
      </c>
      <c r="F127" t="s">
        <v>74</v>
      </c>
    </row>
    <row r="128" spans="1:6" x14ac:dyDescent="0.3">
      <c r="A128" s="159" t="s">
        <v>397</v>
      </c>
      <c r="B128" t="s">
        <v>1</v>
      </c>
      <c r="C128" s="160">
        <v>5</v>
      </c>
      <c r="D128" t="str">
        <f>VLOOKUP(A128,DataUsuario!B:D,2,FALSE)</f>
        <v>Administración y Finanzas</v>
      </c>
      <c r="E128" t="str">
        <f>VLOOKUP(A128,DataUsuario!B:D,3,FALSE)</f>
        <v>Control de Gestión</v>
      </c>
      <c r="F128" t="s">
        <v>66</v>
      </c>
    </row>
    <row r="129" spans="1:6" x14ac:dyDescent="0.3">
      <c r="A129" s="156" t="s">
        <v>92</v>
      </c>
      <c r="B129" t="s">
        <v>1</v>
      </c>
      <c r="C129" s="157">
        <v>5</v>
      </c>
      <c r="D129" t="str">
        <f>VLOOKUP(A129,DataUsuario!B:D,2,FALSE)</f>
        <v>Administración y Finanzas</v>
      </c>
      <c r="E129" t="str">
        <f>VLOOKUP(A129,DataUsuario!B:D,3,FALSE)</f>
        <v>Control de Gestión</v>
      </c>
      <c r="F129" t="s">
        <v>66</v>
      </c>
    </row>
    <row r="130" spans="1:6" x14ac:dyDescent="0.3">
      <c r="A130" s="159" t="s">
        <v>213</v>
      </c>
      <c r="B130" t="s">
        <v>1</v>
      </c>
      <c r="C130" s="160">
        <v>4</v>
      </c>
      <c r="D130" t="str">
        <f>VLOOKUP(A130,DataUsuario!B:D,2,FALSE)</f>
        <v>Gestión Humana y Sostenibilidad</v>
      </c>
      <c r="E130" t="str">
        <f>VLOOKUP(A130,DataUsuario!B:D,3,FALSE)</f>
        <v>Seguridad</v>
      </c>
      <c r="F130" t="s">
        <v>62</v>
      </c>
    </row>
    <row r="131" spans="1:6" x14ac:dyDescent="0.3">
      <c r="A131" s="156" t="s">
        <v>520</v>
      </c>
      <c r="B131" t="s">
        <v>1</v>
      </c>
      <c r="C131" s="157">
        <v>5</v>
      </c>
      <c r="D131" t="str">
        <f>VLOOKUP(A131,DataUsuario!B:D,2,FALSE)</f>
        <v>Administración y Finanzas</v>
      </c>
      <c r="E131" t="str">
        <f>VLOOKUP(A131,DataUsuario!B:D,3,FALSE)</f>
        <v>Contabilidad Tributaria</v>
      </c>
      <c r="F131" t="s">
        <v>66</v>
      </c>
    </row>
    <row r="132" spans="1:6" x14ac:dyDescent="0.3">
      <c r="A132" s="159" t="s">
        <v>145</v>
      </c>
      <c r="B132" t="s">
        <v>1</v>
      </c>
      <c r="C132" s="160">
        <v>5</v>
      </c>
      <c r="D132" t="str">
        <f>VLOOKUP(A132,DataUsuario!B:D,2,FALSE)</f>
        <v>Administración y Finanzas</v>
      </c>
      <c r="E132" t="str">
        <f>VLOOKUP(A132,DataUsuario!B:D,3,FALSE)</f>
        <v>Legal</v>
      </c>
      <c r="F132" t="s">
        <v>66</v>
      </c>
    </row>
    <row r="133" spans="1:6" x14ac:dyDescent="0.3">
      <c r="A133" s="156" t="s">
        <v>207</v>
      </c>
      <c r="B133" t="s">
        <v>1</v>
      </c>
      <c r="C133" s="157">
        <v>5</v>
      </c>
      <c r="D133" t="str">
        <f>VLOOKUP(A133,DataUsuario!B:D,2,FALSE)</f>
        <v>Administración y Finanzas</v>
      </c>
      <c r="E133" t="str">
        <f>VLOOKUP(A133,DataUsuario!B:D,3,FALSE)</f>
        <v>Riesgos y Cumplimiento</v>
      </c>
      <c r="F133" t="s">
        <v>66</v>
      </c>
    </row>
    <row r="134" spans="1:6" x14ac:dyDescent="0.3">
      <c r="A134" s="159" t="s">
        <v>115</v>
      </c>
      <c r="B134" t="s">
        <v>1</v>
      </c>
      <c r="C134" s="160">
        <v>5</v>
      </c>
      <c r="D134" t="str">
        <f>VLOOKUP(A134,DataUsuario!B:D,2,FALSE)</f>
        <v>Industrial y de Mantenimiento</v>
      </c>
      <c r="E134" t="str">
        <f>VLOOKUP(A134,DataUsuario!B:D,3,FALSE)</f>
        <v>Mantenimiento de Transportes</v>
      </c>
      <c r="F134" t="s">
        <v>74</v>
      </c>
    </row>
    <row r="135" spans="1:6" x14ac:dyDescent="0.3">
      <c r="A135" s="156" t="s">
        <v>254</v>
      </c>
      <c r="B135" t="s">
        <v>1</v>
      </c>
      <c r="C135" s="157">
        <v>5</v>
      </c>
      <c r="D135" t="str">
        <f>VLOOKUP(A135,DataUsuario!B:D,2,FALSE)</f>
        <v>Administración y Finanzas</v>
      </c>
      <c r="E135" t="str">
        <f>VLOOKUP(A135,DataUsuario!B:D,3,FALSE)</f>
        <v>Administración</v>
      </c>
      <c r="F135" t="s">
        <v>66</v>
      </c>
    </row>
    <row r="136" spans="1:6" x14ac:dyDescent="0.3">
      <c r="A136" s="159" t="s">
        <v>601</v>
      </c>
      <c r="B136" t="s">
        <v>1</v>
      </c>
      <c r="C136" s="160">
        <v>4</v>
      </c>
      <c r="D136" t="str">
        <f>VLOOKUP(A136,DataUsuario!B:D,2,FALSE)</f>
        <v>Operaciones</v>
      </c>
      <c r="E136" t="str">
        <f>VLOOKUP(A136,DataUsuario!B:D,3,FALSE)</f>
        <v>Almacenes y Distribución PT</v>
      </c>
      <c r="F136" t="s">
        <v>70</v>
      </c>
    </row>
    <row r="137" spans="1:6" x14ac:dyDescent="0.3">
      <c r="A137" s="156" t="s">
        <v>285</v>
      </c>
      <c r="B137" t="s">
        <v>1</v>
      </c>
      <c r="C137" s="157">
        <v>4</v>
      </c>
      <c r="D137" t="str">
        <f>VLOOKUP(A137,DataUsuario!B:D,2,FALSE)</f>
        <v>Operaciones</v>
      </c>
      <c r="E137" t="str">
        <f>VLOOKUP(A137,DataUsuario!B:D,3,FALSE)</f>
        <v>Comercial</v>
      </c>
      <c r="F137" t="s">
        <v>70</v>
      </c>
    </row>
    <row r="138" spans="1:6" x14ac:dyDescent="0.3">
      <c r="A138" s="159" t="s">
        <v>602</v>
      </c>
      <c r="B138" t="s">
        <v>1</v>
      </c>
      <c r="C138" s="160">
        <v>5</v>
      </c>
      <c r="D138" t="str">
        <f>VLOOKUP(A138,DataUsuario!B:D,2,FALSE)</f>
        <v>Operaciones</v>
      </c>
      <c r="E138" t="str">
        <f>VLOOKUP(A138,DataUsuario!B:D,3,FALSE)</f>
        <v>Cosecha</v>
      </c>
      <c r="F138" t="s">
        <v>70</v>
      </c>
    </row>
    <row r="139" spans="1:6" x14ac:dyDescent="0.3">
      <c r="A139" s="156" t="s">
        <v>431</v>
      </c>
      <c r="B139" t="s">
        <v>1</v>
      </c>
      <c r="C139" s="157">
        <v>4</v>
      </c>
      <c r="D139" t="str">
        <f>VLOOKUP(A139,DataUsuario!B:D,2,FALSE)</f>
        <v>Agrícola</v>
      </c>
      <c r="E139" t="str">
        <f>VLOOKUP(A139,DataUsuario!B:D,3,FALSE)</f>
        <v>Fundo San Vicente</v>
      </c>
      <c r="F139" t="s">
        <v>89</v>
      </c>
    </row>
    <row r="140" spans="1:6" x14ac:dyDescent="0.3">
      <c r="A140" s="159" t="s">
        <v>318</v>
      </c>
      <c r="B140" t="s">
        <v>1</v>
      </c>
      <c r="C140" s="160">
        <v>5</v>
      </c>
      <c r="D140" t="str">
        <f>VLOOKUP(A140,DataUsuario!B:D,2,FALSE)</f>
        <v>Operaciones</v>
      </c>
      <c r="E140" t="str">
        <f>VLOOKUP(A140,DataUsuario!B:D,3,FALSE)</f>
        <v>Cosecha</v>
      </c>
      <c r="F140" t="s">
        <v>70</v>
      </c>
    </row>
    <row r="141" spans="1:6" x14ac:dyDescent="0.3">
      <c r="A141" s="156" t="s">
        <v>176</v>
      </c>
      <c r="B141" t="s">
        <v>1</v>
      </c>
      <c r="C141" s="157">
        <v>5</v>
      </c>
      <c r="D141" t="str">
        <f>VLOOKUP(A141,DataUsuario!B:D,2,FALSE)</f>
        <v>Administración y Finanzas</v>
      </c>
      <c r="E141" t="str">
        <f>VLOOKUP(A141,DataUsuario!B:D,3,FALSE)</f>
        <v>Cadenas Productivas</v>
      </c>
      <c r="F141" t="s">
        <v>66</v>
      </c>
    </row>
    <row r="142" spans="1:6" x14ac:dyDescent="0.3">
      <c r="A142" s="159" t="s">
        <v>312</v>
      </c>
      <c r="B142" t="s">
        <v>1</v>
      </c>
      <c r="C142" s="160">
        <v>5</v>
      </c>
      <c r="D142" t="str">
        <f>VLOOKUP(A142,DataUsuario!B:D,2,FALSE)</f>
        <v>Operaciones</v>
      </c>
      <c r="E142" t="str">
        <f>VLOOKUP(A142,DataUsuario!B:D,3,FALSE)</f>
        <v>Calidad</v>
      </c>
      <c r="F142" t="s">
        <v>70</v>
      </c>
    </row>
    <row r="143" spans="1:6" x14ac:dyDescent="0.3">
      <c r="A143" s="156" t="s">
        <v>604</v>
      </c>
      <c r="B143" t="s">
        <v>1</v>
      </c>
      <c r="C143" s="157">
        <v>3</v>
      </c>
      <c r="D143" t="str">
        <f>VLOOKUP(A143,DataUsuario!B:D,2,FALSE)</f>
        <v>Gestión Humana y Sostenibilidad</v>
      </c>
      <c r="E143" t="str">
        <f>VLOOKUP(A143,DataUsuario!B:D,3,FALSE)</f>
        <v>Bienestar - Medico Ocupacional</v>
      </c>
      <c r="F143" t="s">
        <v>62</v>
      </c>
    </row>
    <row r="144" spans="1:6" x14ac:dyDescent="0.3">
      <c r="A144" s="159" t="s">
        <v>97</v>
      </c>
      <c r="B144" t="s">
        <v>1</v>
      </c>
      <c r="C144" s="160">
        <v>5</v>
      </c>
      <c r="D144" t="str">
        <f>VLOOKUP(A144,DataUsuario!B:D,2,FALSE)</f>
        <v>Gestión Humana y Sostenibilidad</v>
      </c>
      <c r="E144" t="str">
        <f>VLOOKUP(A144,DataUsuario!B:D,3,FALSE)</f>
        <v>Compensación y Nóminas</v>
      </c>
      <c r="F144" t="s">
        <v>62</v>
      </c>
    </row>
    <row r="145" spans="1:6" x14ac:dyDescent="0.3">
      <c r="A145" s="156" t="s">
        <v>299</v>
      </c>
      <c r="B145" t="s">
        <v>1</v>
      </c>
      <c r="C145" s="157">
        <v>4</v>
      </c>
      <c r="D145" t="str">
        <f>VLOOKUP(A145,DataUsuario!B:D,2,FALSE)</f>
        <v>Administración y Finanzas</v>
      </c>
      <c r="E145" t="str">
        <f>VLOOKUP(A145,DataUsuario!B:D,3,FALSE)</f>
        <v>Legal</v>
      </c>
      <c r="F145" t="s">
        <v>66</v>
      </c>
    </row>
    <row r="146" spans="1:6" x14ac:dyDescent="0.3">
      <c r="A146" s="159" t="s">
        <v>606</v>
      </c>
      <c r="B146" t="s">
        <v>1</v>
      </c>
      <c r="C146" s="160">
        <v>4</v>
      </c>
      <c r="D146" t="str">
        <f>VLOOKUP(A146,DataUsuario!B:D,2,FALSE)</f>
        <v>Gestión Humana y Sostenibilidad</v>
      </c>
      <c r="E146" t="str">
        <f>VLOOKUP(A146,DataUsuario!B:D,3,FALSE)</f>
        <v>Seguridad</v>
      </c>
      <c r="F146" t="s">
        <v>62</v>
      </c>
    </row>
    <row r="147" spans="1:6" x14ac:dyDescent="0.3">
      <c r="A147" s="156" t="s">
        <v>326</v>
      </c>
      <c r="B147" t="s">
        <v>1</v>
      </c>
      <c r="C147" s="157">
        <v>4</v>
      </c>
      <c r="D147" t="str">
        <f>VLOOKUP(A147,DataUsuario!B:D,2,FALSE)</f>
        <v>Operaciones</v>
      </c>
      <c r="E147" t="str">
        <f>VLOOKUP(A147,DataUsuario!B:D,3,FALSE)</f>
        <v>Calidad</v>
      </c>
      <c r="F147" t="s">
        <v>70</v>
      </c>
    </row>
    <row r="148" spans="1:6" x14ac:dyDescent="0.3">
      <c r="A148" s="159" t="s">
        <v>609</v>
      </c>
      <c r="B148" t="s">
        <v>1</v>
      </c>
      <c r="C148" s="160">
        <v>4</v>
      </c>
      <c r="D148" t="str">
        <f>VLOOKUP(A148,DataUsuario!B:D,2,FALSE)</f>
        <v>Agrícola</v>
      </c>
      <c r="E148" t="str">
        <f>VLOOKUP(A148,DataUsuario!B:D,3,FALSE)</f>
        <v>Mantenimiento de Riego y Bombas</v>
      </c>
      <c r="F148" t="s">
        <v>89</v>
      </c>
    </row>
    <row r="149" spans="1:6" x14ac:dyDescent="0.3">
      <c r="A149" s="156" t="s">
        <v>245</v>
      </c>
      <c r="B149" t="s">
        <v>1</v>
      </c>
      <c r="C149" s="157">
        <v>5</v>
      </c>
      <c r="D149" t="str">
        <f>VLOOKUP(A149,DataUsuario!B:D,2,FALSE)</f>
        <v>Gestión Humana y Sostenibilidad</v>
      </c>
      <c r="E149" t="str">
        <f>VLOOKUP(A149,DataUsuario!B:D,3,FALSE)</f>
        <v>Compensación y Nóminas</v>
      </c>
      <c r="F149" t="s">
        <v>62</v>
      </c>
    </row>
    <row r="150" spans="1:6" x14ac:dyDescent="0.3">
      <c r="A150" s="159" t="s">
        <v>287</v>
      </c>
      <c r="B150" t="s">
        <v>1</v>
      </c>
      <c r="C150" s="160">
        <v>5</v>
      </c>
      <c r="D150" t="str">
        <f>VLOOKUP(A150,DataUsuario!B:D,2,FALSE)</f>
        <v>Operaciones</v>
      </c>
      <c r="E150" t="str">
        <f>VLOOKUP(A150,DataUsuario!B:D,3,FALSE)</f>
        <v>Calidad</v>
      </c>
      <c r="F150" t="s">
        <v>70</v>
      </c>
    </row>
    <row r="151" spans="1:6" x14ac:dyDescent="0.3">
      <c r="A151" s="156" t="s">
        <v>439</v>
      </c>
      <c r="B151" t="s">
        <v>1</v>
      </c>
      <c r="C151" s="157">
        <v>5</v>
      </c>
      <c r="D151" t="str">
        <f>VLOOKUP(A151,DataUsuario!B:D,2,FALSE)</f>
        <v>Operaciones</v>
      </c>
      <c r="E151" t="str">
        <f>VLOOKUP(A151,DataUsuario!B:D,3,FALSE)</f>
        <v>Comercial</v>
      </c>
      <c r="F151" t="s">
        <v>70</v>
      </c>
    </row>
    <row r="152" spans="1:6" x14ac:dyDescent="0.3">
      <c r="A152" s="159" t="s">
        <v>95</v>
      </c>
      <c r="B152" t="s">
        <v>1</v>
      </c>
      <c r="C152" s="160">
        <v>5</v>
      </c>
      <c r="D152" t="str">
        <f>VLOOKUP(A152,DataUsuario!B:D,2,FALSE)</f>
        <v>Administración y Finanzas</v>
      </c>
      <c r="E152" t="str">
        <f>VLOOKUP(A152,DataUsuario!B:D,3,FALSE)</f>
        <v>Legal</v>
      </c>
      <c r="F152" t="s">
        <v>66</v>
      </c>
    </row>
    <row r="153" spans="1:6" x14ac:dyDescent="0.3">
      <c r="A153" s="156" t="s">
        <v>328</v>
      </c>
      <c r="B153" t="s">
        <v>1</v>
      </c>
      <c r="C153" s="157">
        <v>5</v>
      </c>
      <c r="D153" t="str">
        <f>VLOOKUP(A153,DataUsuario!B:D,2,FALSE)</f>
        <v>Administración y Finanzas</v>
      </c>
      <c r="E153" t="str">
        <f>VLOOKUP(A153,DataUsuario!B:D,3,FALSE)</f>
        <v>Administración</v>
      </c>
      <c r="F153" t="s">
        <v>66</v>
      </c>
    </row>
    <row r="154" spans="1:6" x14ac:dyDescent="0.3">
      <c r="A154" s="159" t="s">
        <v>322</v>
      </c>
      <c r="B154" t="s">
        <v>1</v>
      </c>
      <c r="C154" s="160">
        <v>5</v>
      </c>
      <c r="D154" t="str">
        <f>VLOOKUP(A154,DataUsuario!B:D,2,FALSE)</f>
        <v>Administración y Finanzas</v>
      </c>
      <c r="E154" t="str">
        <f>VLOOKUP(A154,DataUsuario!B:D,3,FALSE)</f>
        <v>Finanzas y Tesorería</v>
      </c>
      <c r="F154" t="s">
        <v>66</v>
      </c>
    </row>
    <row r="155" spans="1:6" x14ac:dyDescent="0.3">
      <c r="A155" s="156" t="s">
        <v>612</v>
      </c>
      <c r="B155" t="s">
        <v>1</v>
      </c>
      <c r="C155" s="157">
        <v>4</v>
      </c>
      <c r="D155" t="str">
        <f>VLOOKUP(A155,DataUsuario!B:D,2,FALSE)</f>
        <v>Operaciones</v>
      </c>
      <c r="E155" t="str">
        <f>VLOOKUP(A155,DataUsuario!B:D,3,FALSE)</f>
        <v>Mantenimiento CAT</v>
      </c>
      <c r="F155" t="s">
        <v>70</v>
      </c>
    </row>
    <row r="156" spans="1:6" x14ac:dyDescent="0.3">
      <c r="A156" s="159" t="s">
        <v>613</v>
      </c>
      <c r="B156" t="s">
        <v>1</v>
      </c>
      <c r="C156" s="160">
        <v>5</v>
      </c>
      <c r="D156" t="str">
        <f>VLOOKUP(A156,DataUsuario!B:D,2,FALSE)</f>
        <v>Administración y Finanzas</v>
      </c>
      <c r="E156" t="str">
        <f>VLOOKUP(A156,DataUsuario!B:D,3,FALSE)</f>
        <v>Control de Gestión</v>
      </c>
      <c r="F156" t="s">
        <v>66</v>
      </c>
    </row>
    <row r="157" spans="1:6" x14ac:dyDescent="0.3">
      <c r="A157" s="156" t="s">
        <v>376</v>
      </c>
      <c r="B157" t="s">
        <v>1</v>
      </c>
      <c r="C157" s="157">
        <v>5</v>
      </c>
      <c r="D157" t="str">
        <f>VLOOKUP(A157,DataUsuario!B:D,2,FALSE)</f>
        <v>Administración y Finanzas</v>
      </c>
      <c r="E157" t="str">
        <f>VLOOKUP(A157,DataUsuario!B:D,3,FALSE)</f>
        <v>Control de Gestión</v>
      </c>
      <c r="F157" t="s">
        <v>66</v>
      </c>
    </row>
    <row r="158" spans="1:6" x14ac:dyDescent="0.3">
      <c r="A158" s="159" t="s">
        <v>413</v>
      </c>
      <c r="B158" t="s">
        <v>1</v>
      </c>
      <c r="C158" s="160">
        <v>5</v>
      </c>
      <c r="D158" t="str">
        <f>VLOOKUP(A158,DataUsuario!B:D,2,FALSE)</f>
        <v>Administración y Finanzas</v>
      </c>
      <c r="E158" t="str">
        <f>VLOOKUP(A158,DataUsuario!B:D,3,FALSE)</f>
        <v>Contabilidad Tributaria</v>
      </c>
      <c r="F158" t="s">
        <v>66</v>
      </c>
    </row>
    <row r="159" spans="1:6" x14ac:dyDescent="0.3">
      <c r="A159" s="156" t="s">
        <v>614</v>
      </c>
      <c r="B159" t="s">
        <v>1</v>
      </c>
      <c r="C159" s="157">
        <v>5</v>
      </c>
      <c r="D159" t="str">
        <f>VLOOKUP(A159,DataUsuario!B:D,2,FALSE)</f>
        <v>Gestión Humana y Sostenibilidad</v>
      </c>
      <c r="E159" t="str">
        <f>VLOOKUP(A159,DataUsuario!B:D,3,FALSE)</f>
        <v>Gestor de Recursos Humanos</v>
      </c>
      <c r="F159" t="s">
        <v>62</v>
      </c>
    </row>
    <row r="160" spans="1:6" x14ac:dyDescent="0.3">
      <c r="A160" s="159" t="s">
        <v>65</v>
      </c>
      <c r="B160" t="s">
        <v>1</v>
      </c>
      <c r="C160" s="160">
        <v>4</v>
      </c>
      <c r="D160" t="str">
        <f>VLOOKUP(A160,DataUsuario!B:D,2,FALSE)</f>
        <v>Administración y Finanzas</v>
      </c>
      <c r="E160" t="str">
        <f>VLOOKUP(A160,DataUsuario!B:D,3,FALSE)</f>
        <v>Finanzas y Tesorería</v>
      </c>
      <c r="F160" t="s">
        <v>66</v>
      </c>
    </row>
    <row r="161" spans="1:6" x14ac:dyDescent="0.3">
      <c r="A161" s="156" t="s">
        <v>85</v>
      </c>
      <c r="B161" t="s">
        <v>1</v>
      </c>
      <c r="C161" s="157">
        <v>5</v>
      </c>
      <c r="D161" t="str">
        <f>VLOOKUP(A161,DataUsuario!B:D,2,FALSE)</f>
        <v>Operaciones</v>
      </c>
      <c r="E161" t="str">
        <f>VLOOKUP(A161,DataUsuario!B:D,3,FALSE)</f>
        <v>Comercial</v>
      </c>
      <c r="F161" t="s">
        <v>70</v>
      </c>
    </row>
    <row r="162" spans="1:6" x14ac:dyDescent="0.3">
      <c r="A162" s="159" t="s">
        <v>350</v>
      </c>
      <c r="B162" t="s">
        <v>1</v>
      </c>
      <c r="C162" s="160">
        <v>4</v>
      </c>
      <c r="D162" t="str">
        <f>VLOOKUP(A162,DataUsuario!B:D,2,FALSE)</f>
        <v>Agrícola</v>
      </c>
      <c r="E162" t="str">
        <f>VLOOKUP(A162,DataUsuario!B:D,3,FALSE)</f>
        <v>Planificador Agrícola</v>
      </c>
      <c r="F162" t="s">
        <v>89</v>
      </c>
    </row>
    <row r="163" spans="1:6" x14ac:dyDescent="0.3">
      <c r="A163" s="156" t="s">
        <v>120</v>
      </c>
      <c r="B163" t="s">
        <v>1</v>
      </c>
      <c r="C163" s="157">
        <v>4</v>
      </c>
      <c r="D163" t="str">
        <f>VLOOKUP(A163,DataUsuario!B:D,2,FALSE)</f>
        <v>Agrícola</v>
      </c>
      <c r="E163" t="str">
        <f>VLOOKUP(A163,DataUsuario!B:D,3,FALSE)</f>
        <v>Fundo Montelima</v>
      </c>
      <c r="F163" t="s">
        <v>89</v>
      </c>
    </row>
    <row r="164" spans="1:6" x14ac:dyDescent="0.3">
      <c r="A164" s="159" t="s">
        <v>617</v>
      </c>
      <c r="B164" t="s">
        <v>1</v>
      </c>
      <c r="C164" s="160">
        <v>4</v>
      </c>
      <c r="D164" t="str">
        <f>VLOOKUP(A164,DataUsuario!B:D,2,FALSE)</f>
        <v>Agrícola</v>
      </c>
      <c r="E164" t="str">
        <f>VLOOKUP(A164,DataUsuario!B:D,3,FALSE)</f>
        <v>Mantenimiento de Riego y Bombas</v>
      </c>
      <c r="F164" t="s">
        <v>89</v>
      </c>
    </row>
    <row r="165" spans="1:6" x14ac:dyDescent="0.3">
      <c r="A165" s="156" t="s">
        <v>345</v>
      </c>
      <c r="B165" t="s">
        <v>1</v>
      </c>
      <c r="C165" s="157">
        <v>4</v>
      </c>
      <c r="D165" t="str">
        <f>VLOOKUP(A165,DataUsuario!B:D,2,FALSE)</f>
        <v>Agrícola</v>
      </c>
      <c r="E165" t="str">
        <f>VLOOKUP(A165,DataUsuario!B:D,3,FALSE)</f>
        <v>Mantenimiento de Riego y Bombas</v>
      </c>
      <c r="F165" t="s">
        <v>89</v>
      </c>
    </row>
    <row r="166" spans="1:6" x14ac:dyDescent="0.3">
      <c r="A166" s="159" t="s">
        <v>618</v>
      </c>
      <c r="B166" t="s">
        <v>1</v>
      </c>
      <c r="C166" s="160">
        <v>4</v>
      </c>
      <c r="D166" t="str">
        <f>VLOOKUP(A166,DataUsuario!B:D,2,FALSE)</f>
        <v>Agrícola</v>
      </c>
      <c r="E166" t="str">
        <f>VLOOKUP(A166,DataUsuario!B:D,3,FALSE)</f>
        <v>Fundo San Vicente</v>
      </c>
      <c r="F166" t="s">
        <v>89</v>
      </c>
    </row>
    <row r="167" spans="1:6" x14ac:dyDescent="0.3">
      <c r="A167" s="156" t="s">
        <v>183</v>
      </c>
      <c r="B167" t="s">
        <v>1</v>
      </c>
      <c r="C167" s="157">
        <v>5</v>
      </c>
      <c r="D167" t="str">
        <f>VLOOKUP(A167,DataUsuario!B:D,2,FALSE)</f>
        <v>Agrícola</v>
      </c>
      <c r="E167" t="str">
        <f>VLOOKUP(A167,DataUsuario!B:D,3,FALSE)</f>
        <v>Planificador Agrícola</v>
      </c>
      <c r="F167" t="s">
        <v>89</v>
      </c>
    </row>
    <row r="168" spans="1:6" x14ac:dyDescent="0.3">
      <c r="A168" s="159" t="s">
        <v>82</v>
      </c>
      <c r="B168" t="s">
        <v>1</v>
      </c>
      <c r="C168" s="160">
        <v>4</v>
      </c>
      <c r="D168" t="str">
        <f>VLOOKUP(A168,DataUsuario!B:D,2,FALSE)</f>
        <v>Industrial y de Mantenimiento</v>
      </c>
      <c r="E168" t="str">
        <f>VLOOKUP(A168,DataUsuario!B:D,3,FALSE)</f>
        <v>Producción</v>
      </c>
      <c r="F168" t="s">
        <v>74</v>
      </c>
    </row>
    <row r="169" spans="1:6" x14ac:dyDescent="0.3">
      <c r="A169" s="156" t="s">
        <v>224</v>
      </c>
      <c r="B169" t="s">
        <v>1</v>
      </c>
      <c r="C169" s="157">
        <v>5</v>
      </c>
      <c r="D169" t="str">
        <f>VLOOKUP(A169,DataUsuario!B:D,2,FALSE)</f>
        <v>Agrícola</v>
      </c>
      <c r="E169" t="str">
        <f>VLOOKUP(A169,DataUsuario!B:D,3,FALSE)</f>
        <v>Laboratorio e Investigación Agricola</v>
      </c>
      <c r="F169" t="s">
        <v>89</v>
      </c>
    </row>
    <row r="170" spans="1:6" x14ac:dyDescent="0.3">
      <c r="A170" s="159" t="s">
        <v>152</v>
      </c>
      <c r="B170" t="s">
        <v>1</v>
      </c>
      <c r="C170" s="160">
        <v>5</v>
      </c>
      <c r="D170" t="str">
        <f>VLOOKUP(A170,DataUsuario!B:D,2,FALSE)</f>
        <v>Operaciones</v>
      </c>
      <c r="E170" t="str">
        <f>VLOOKUP(A170,DataUsuario!B:D,3,FALSE)</f>
        <v>Almacenes y Distribución PT</v>
      </c>
      <c r="F170" t="s">
        <v>70</v>
      </c>
    </row>
    <row r="171" spans="1:6" x14ac:dyDescent="0.3">
      <c r="A171" s="156" t="s">
        <v>622</v>
      </c>
      <c r="B171" t="s">
        <v>1</v>
      </c>
      <c r="C171" s="157">
        <v>4</v>
      </c>
      <c r="D171" t="str">
        <f>VLOOKUP(A171,DataUsuario!B:D,2,FALSE)</f>
        <v>Operaciones</v>
      </c>
      <c r="E171" t="str">
        <f>VLOOKUP(A171,DataUsuario!B:D,3,FALSE)</f>
        <v>Almacenes y Distribución PT</v>
      </c>
      <c r="F171" t="s">
        <v>70</v>
      </c>
    </row>
    <row r="172" spans="1:6" x14ac:dyDescent="0.3">
      <c r="A172" s="159" t="s">
        <v>365</v>
      </c>
      <c r="B172" t="s">
        <v>1</v>
      </c>
      <c r="C172" s="160">
        <v>4</v>
      </c>
      <c r="D172" t="str">
        <f>VLOOKUP(A172,DataUsuario!B:D,2,FALSE)</f>
        <v>Operaciones</v>
      </c>
      <c r="E172" t="str">
        <f>VLOOKUP(A172,DataUsuario!B:D,3,FALSE)</f>
        <v>Cosecha</v>
      </c>
      <c r="F172" t="s">
        <v>70</v>
      </c>
    </row>
    <row r="173" spans="1:6" x14ac:dyDescent="0.3">
      <c r="A173" s="156" t="s">
        <v>215</v>
      </c>
      <c r="B173" t="s">
        <v>1</v>
      </c>
      <c r="C173" s="157">
        <v>5</v>
      </c>
      <c r="D173" t="str">
        <f>VLOOKUP(A173,DataUsuario!B:D,2,FALSE)</f>
        <v>Gestión Humana y Sostenibilidad</v>
      </c>
      <c r="E173" t="str">
        <f>VLOOKUP(A173,DataUsuario!B:D,3,FALSE)</f>
        <v>Seguridad</v>
      </c>
      <c r="F173" t="s">
        <v>62</v>
      </c>
    </row>
    <row r="174" spans="1:6" x14ac:dyDescent="0.3">
      <c r="A174" s="159" t="s">
        <v>374</v>
      </c>
      <c r="B174" t="s">
        <v>1</v>
      </c>
      <c r="C174" s="160">
        <v>4</v>
      </c>
      <c r="D174" t="str">
        <f>VLOOKUP(A174,DataUsuario!B:D,2,FALSE)</f>
        <v>Agrícola</v>
      </c>
      <c r="E174" t="str">
        <f>VLOOKUP(A174,DataUsuario!B:D,3,FALSE)</f>
        <v>Mantenimiento de Riego y Bombas</v>
      </c>
      <c r="F174" t="s">
        <v>89</v>
      </c>
    </row>
    <row r="175" spans="1:6" x14ac:dyDescent="0.3">
      <c r="A175" s="156" t="s">
        <v>316</v>
      </c>
      <c r="B175" t="s">
        <v>1</v>
      </c>
      <c r="C175" s="157">
        <v>5</v>
      </c>
      <c r="D175" t="str">
        <f>VLOOKUP(A175,DataUsuario!B:D,2,FALSE)</f>
        <v>Administración y Finanzas</v>
      </c>
      <c r="E175" t="str">
        <f>VLOOKUP(A175,DataUsuario!B:D,3,FALSE)</f>
        <v>Compras</v>
      </c>
      <c r="F175" t="s">
        <v>66</v>
      </c>
    </row>
    <row r="176" spans="1:6" x14ac:dyDescent="0.3">
      <c r="A176" s="159" t="s">
        <v>626</v>
      </c>
      <c r="B176" t="s">
        <v>1</v>
      </c>
      <c r="C176" s="160">
        <v>4</v>
      </c>
      <c r="D176" t="str">
        <f>VLOOKUP(A176,DataUsuario!B:D,2,FALSE)</f>
        <v>Administración y Finanzas</v>
      </c>
      <c r="E176" t="str">
        <f>VLOOKUP(A176,DataUsuario!B:D,3,FALSE)</f>
        <v>Finanzas y Tesorería</v>
      </c>
      <c r="F176" t="s">
        <v>66</v>
      </c>
    </row>
    <row r="177" spans="1:6" x14ac:dyDescent="0.3">
      <c r="A177" s="156" t="s">
        <v>423</v>
      </c>
      <c r="B177" t="s">
        <v>1</v>
      </c>
      <c r="C177" s="157">
        <v>4</v>
      </c>
      <c r="D177" t="str">
        <f>VLOOKUP(A177,DataUsuario!B:D,2,FALSE)</f>
        <v>Industrial y de Mantenimiento</v>
      </c>
      <c r="E177" t="str">
        <f>VLOOKUP(A177,DataUsuario!B:D,3,FALSE)</f>
        <v>Producción</v>
      </c>
      <c r="F177" t="s">
        <v>74</v>
      </c>
    </row>
    <row r="178" spans="1:6" x14ac:dyDescent="0.3">
      <c r="A178" s="159" t="s">
        <v>387</v>
      </c>
      <c r="B178" t="s">
        <v>1</v>
      </c>
      <c r="C178" s="160">
        <v>4</v>
      </c>
      <c r="D178" t="str">
        <f>VLOOKUP(A178,DataUsuario!B:D,2,FALSE)</f>
        <v>Administración y Finanzas</v>
      </c>
      <c r="E178" t="str">
        <f>VLOOKUP(A178,DataUsuario!B:D,3,FALSE)</f>
        <v>Contabilidad Tributaria</v>
      </c>
      <c r="F178" t="s">
        <v>66</v>
      </c>
    </row>
    <row r="179" spans="1:6" x14ac:dyDescent="0.3">
      <c r="A179" s="156" t="s">
        <v>305</v>
      </c>
      <c r="B179" t="s">
        <v>1</v>
      </c>
      <c r="C179" s="157">
        <v>3</v>
      </c>
      <c r="D179" t="str">
        <f>VLOOKUP(A179,DataUsuario!B:D,2,FALSE)</f>
        <v>Industrial y de Mantenimiento</v>
      </c>
      <c r="E179" t="str">
        <f>VLOOKUP(A179,DataUsuario!B:D,3,FALSE)</f>
        <v>Producción</v>
      </c>
      <c r="F179" t="s">
        <v>74</v>
      </c>
    </row>
    <row r="180" spans="1:6" x14ac:dyDescent="0.3">
      <c r="A180" s="159" t="s">
        <v>303</v>
      </c>
      <c r="B180" t="s">
        <v>1</v>
      </c>
      <c r="C180" s="160">
        <v>5</v>
      </c>
      <c r="D180" t="str">
        <f>VLOOKUP(A180,DataUsuario!B:D,2,FALSE)</f>
        <v>Administración y Finanzas</v>
      </c>
      <c r="E180" t="str">
        <f>VLOOKUP(A180,DataUsuario!B:D,3,FALSE)</f>
        <v>Control de Gestión</v>
      </c>
      <c r="F180" t="s">
        <v>66</v>
      </c>
    </row>
    <row r="181" spans="1:6" x14ac:dyDescent="0.3">
      <c r="A181" s="156" t="s">
        <v>238</v>
      </c>
      <c r="B181" t="s">
        <v>1</v>
      </c>
      <c r="C181" s="157">
        <v>4</v>
      </c>
      <c r="D181" t="str">
        <f>VLOOKUP(A181,DataUsuario!B:D,2,FALSE)</f>
        <v>Industrial y de Mantenimiento</v>
      </c>
      <c r="E181" t="str">
        <f>VLOOKUP(A181,DataUsuario!B:D,3,FALSE)</f>
        <v>Producción</v>
      </c>
      <c r="F181" t="s">
        <v>74</v>
      </c>
    </row>
    <row r="182" spans="1:6" x14ac:dyDescent="0.3">
      <c r="A182" s="159" t="s">
        <v>630</v>
      </c>
      <c r="B182" t="s">
        <v>1</v>
      </c>
      <c r="C182" s="160">
        <v>5</v>
      </c>
      <c r="D182" t="str">
        <f>VLOOKUP(A182,DataUsuario!B:D,2,FALSE)</f>
        <v>Industrial y de Mantenimiento</v>
      </c>
      <c r="E182" t="str">
        <f>VLOOKUP(A182,DataUsuario!B:D,3,FALSE)</f>
        <v>Mantenimiento Industrial</v>
      </c>
      <c r="F182" t="s">
        <v>74</v>
      </c>
    </row>
    <row r="183" spans="1:6" x14ac:dyDescent="0.3">
      <c r="A183" s="156" t="s">
        <v>301</v>
      </c>
      <c r="B183" t="s">
        <v>1</v>
      </c>
      <c r="C183" s="157">
        <v>5</v>
      </c>
      <c r="D183" t="str">
        <f>VLOOKUP(A183,DataUsuario!B:D,2,FALSE)</f>
        <v>Administración y Finanzas</v>
      </c>
      <c r="E183" t="str">
        <f>VLOOKUP(A183,DataUsuario!B:D,3,FALSE)</f>
        <v>Contabilidad Tributaria</v>
      </c>
      <c r="F183" t="s">
        <v>66</v>
      </c>
    </row>
    <row r="184" spans="1:6" x14ac:dyDescent="0.3">
      <c r="A184" s="159" t="s">
        <v>435</v>
      </c>
      <c r="B184" t="s">
        <v>1</v>
      </c>
      <c r="C184" s="160">
        <v>5</v>
      </c>
      <c r="D184" t="str">
        <f>VLOOKUP(A184,DataUsuario!B:D,2,FALSE)</f>
        <v>Operaciones</v>
      </c>
      <c r="E184" t="str">
        <f>VLOOKUP(A184,DataUsuario!B:D,3,FALSE)</f>
        <v>Almacenes y Distribución PT</v>
      </c>
      <c r="F184" t="s">
        <v>70</v>
      </c>
    </row>
    <row r="185" spans="1:6" x14ac:dyDescent="0.3">
      <c r="A185" s="156" t="s">
        <v>383</v>
      </c>
      <c r="B185" t="s">
        <v>1</v>
      </c>
      <c r="C185" s="157">
        <v>4</v>
      </c>
      <c r="D185" t="str">
        <f>VLOOKUP(A185,DataUsuario!B:D,2,FALSE)</f>
        <v>Agrícola</v>
      </c>
      <c r="E185" t="str">
        <f>VLOOKUP(A185,DataUsuario!B:D,3,FALSE)</f>
        <v>Fundo Lobo</v>
      </c>
      <c r="F185" t="s">
        <v>89</v>
      </c>
    </row>
    <row r="186" spans="1:6" x14ac:dyDescent="0.3">
      <c r="A186" s="159" t="s">
        <v>307</v>
      </c>
      <c r="B186" t="s">
        <v>1</v>
      </c>
      <c r="C186" s="160">
        <v>5</v>
      </c>
      <c r="D186" t="str">
        <f>VLOOKUP(A186,DataUsuario!B:D,2,FALSE)</f>
        <v>Gestión Humana y Sostenibilidad</v>
      </c>
      <c r="E186" t="str">
        <f>VLOOKUP(A186,DataUsuario!B:D,3,FALSE)</f>
        <v>Comunicaciones y Responsabilidad Social</v>
      </c>
      <c r="F186" t="s">
        <v>62</v>
      </c>
    </row>
    <row r="187" spans="1:6" x14ac:dyDescent="0.3">
      <c r="A187" s="156" t="s">
        <v>631</v>
      </c>
      <c r="B187" t="s">
        <v>1</v>
      </c>
      <c r="C187" s="157">
        <v>4</v>
      </c>
      <c r="D187" t="str">
        <f>VLOOKUP(A187,DataUsuario!B:D,2,FALSE)</f>
        <v>Administración y Finanzas</v>
      </c>
      <c r="E187" t="str">
        <f>VLOOKUP(A187,DataUsuario!B:D,3,FALSE)</f>
        <v>Compras</v>
      </c>
      <c r="F187" t="s">
        <v>66</v>
      </c>
    </row>
    <row r="188" spans="1:6" x14ac:dyDescent="0.3">
      <c r="A188" s="159" t="s">
        <v>415</v>
      </c>
      <c r="B188" t="s">
        <v>1</v>
      </c>
      <c r="C188" s="160">
        <v>5</v>
      </c>
      <c r="D188" t="str">
        <f>VLOOKUP(A188,DataUsuario!B:D,2,FALSE)</f>
        <v>Administración y Finanzas</v>
      </c>
      <c r="E188" t="str">
        <f>VLOOKUP(A188,DataUsuario!B:D,3,FALSE)</f>
        <v>Administración</v>
      </c>
      <c r="F188" t="s">
        <v>66</v>
      </c>
    </row>
    <row r="189" spans="1:6" x14ac:dyDescent="0.3">
      <c r="A189" s="156" t="s">
        <v>128</v>
      </c>
      <c r="B189" t="s">
        <v>1</v>
      </c>
      <c r="C189" s="157">
        <v>5</v>
      </c>
      <c r="D189" t="str">
        <f>VLOOKUP(A189,DataUsuario!B:D,2,FALSE)</f>
        <v>Agrícola</v>
      </c>
      <c r="E189" t="str">
        <f>VLOOKUP(A189,DataUsuario!B:D,3,FALSE)</f>
        <v>Fundo Lobo</v>
      </c>
      <c r="F189" t="s">
        <v>89</v>
      </c>
    </row>
    <row r="190" spans="1:6" x14ac:dyDescent="0.3">
      <c r="A190" s="159" t="s">
        <v>632</v>
      </c>
      <c r="B190" t="s">
        <v>1</v>
      </c>
      <c r="C190" s="160">
        <v>4</v>
      </c>
      <c r="D190" t="str">
        <f>VLOOKUP(A190,DataUsuario!B:D,2,FALSE)</f>
        <v>Gestión Humana y Sostenibilidad</v>
      </c>
      <c r="E190" t="str">
        <f>VLOOKUP(A190,DataUsuario!B:D,3,FALSE)</f>
        <v>Gestor de Recursos Humanos</v>
      </c>
      <c r="F190" t="s">
        <v>62</v>
      </c>
    </row>
    <row r="191" spans="1:6" x14ac:dyDescent="0.3">
      <c r="A191" s="156" t="s">
        <v>205</v>
      </c>
      <c r="B191" t="s">
        <v>1</v>
      </c>
      <c r="C191" s="157">
        <v>4</v>
      </c>
      <c r="D191" t="str">
        <f>VLOOKUP(A191,DataUsuario!B:D,2,FALSE)</f>
        <v>Operaciones</v>
      </c>
      <c r="E191" t="str">
        <f>VLOOKUP(A191,DataUsuario!B:D,3,FALSE)</f>
        <v>Almacenes y Distribución PT</v>
      </c>
      <c r="F191" t="s">
        <v>70</v>
      </c>
    </row>
    <row r="192" spans="1:6" x14ac:dyDescent="0.3">
      <c r="A192" s="159" t="s">
        <v>633</v>
      </c>
      <c r="B192" t="s">
        <v>1</v>
      </c>
      <c r="C192" s="160">
        <v>5</v>
      </c>
      <c r="D192" t="str">
        <f>VLOOKUP(A192,DataUsuario!B:D,2,FALSE)</f>
        <v>Gestión Humana y Sostenibilidad</v>
      </c>
      <c r="E192" t="str">
        <f>VLOOKUP(A192,DataUsuario!B:D,3,FALSE)</f>
        <v>Bienestar - Medico Ocupacional</v>
      </c>
      <c r="F192" t="s">
        <v>62</v>
      </c>
    </row>
    <row r="193" spans="1:6" x14ac:dyDescent="0.3">
      <c r="A193" s="156" t="s">
        <v>634</v>
      </c>
      <c r="B193" t="s">
        <v>1</v>
      </c>
      <c r="C193" s="157">
        <v>4</v>
      </c>
      <c r="D193" t="str">
        <f>VLOOKUP(A193,DataUsuario!B:D,2,FALSE)</f>
        <v>Industrial y de Mantenimiento</v>
      </c>
      <c r="E193" t="str">
        <f>VLOOKUP(A193,DataUsuario!B:D,3,FALSE)</f>
        <v>Producción</v>
      </c>
      <c r="F193" t="s">
        <v>74</v>
      </c>
    </row>
    <row r="194" spans="1:6" x14ac:dyDescent="0.3">
      <c r="A194" s="159" t="s">
        <v>192</v>
      </c>
      <c r="B194" t="s">
        <v>1</v>
      </c>
      <c r="C194" s="160">
        <v>5</v>
      </c>
      <c r="D194" t="str">
        <f>VLOOKUP(A194,DataUsuario!B:D,2,FALSE)</f>
        <v>Agrícola</v>
      </c>
      <c r="E194" t="str">
        <f>VLOOKUP(A194,DataUsuario!B:D,3,FALSE)</f>
        <v>Mantenimiento de Riego y Bombas</v>
      </c>
      <c r="F194" t="s">
        <v>89</v>
      </c>
    </row>
    <row r="195" spans="1:6" x14ac:dyDescent="0.3">
      <c r="A195" s="156" t="s">
        <v>150</v>
      </c>
      <c r="B195" t="s">
        <v>1</v>
      </c>
      <c r="C195" s="157">
        <v>5</v>
      </c>
      <c r="D195" t="str">
        <f>VLOOKUP(A195,DataUsuario!B:D,2,FALSE)</f>
        <v>Industrial y de Mantenimiento</v>
      </c>
      <c r="E195" t="str">
        <f>VLOOKUP(A195,DataUsuario!B:D,3,FALSE)</f>
        <v>Producción</v>
      </c>
      <c r="F195" t="s">
        <v>74</v>
      </c>
    </row>
    <row r="196" spans="1:6" x14ac:dyDescent="0.3">
      <c r="A196" s="159" t="s">
        <v>181</v>
      </c>
      <c r="B196" t="s">
        <v>1</v>
      </c>
      <c r="C196" s="160">
        <v>4</v>
      </c>
      <c r="D196" t="str">
        <f>VLOOKUP(A196,DataUsuario!B:D,2,FALSE)</f>
        <v>Gestión Humana y Sostenibilidad</v>
      </c>
      <c r="E196" t="str">
        <f>VLOOKUP(A196,DataUsuario!B:D,3,FALSE)</f>
        <v>Compensación y Nóminas</v>
      </c>
      <c r="F196" t="s">
        <v>62</v>
      </c>
    </row>
    <row r="197" spans="1:6" x14ac:dyDescent="0.3">
      <c r="A197" s="156" t="s">
        <v>337</v>
      </c>
      <c r="B197" t="s">
        <v>1</v>
      </c>
      <c r="C197" s="157">
        <v>5</v>
      </c>
      <c r="D197" t="str">
        <f>VLOOKUP(A197,DataUsuario!B:D,2,FALSE)</f>
        <v>Agrícola</v>
      </c>
      <c r="E197" t="str">
        <f>VLOOKUP(A197,DataUsuario!B:D,3,FALSE)</f>
        <v>Fundo San Vicente</v>
      </c>
      <c r="F197" t="s">
        <v>89</v>
      </c>
    </row>
    <row r="198" spans="1:6" x14ac:dyDescent="0.3">
      <c r="A198" s="159" t="s">
        <v>369</v>
      </c>
      <c r="B198" t="s">
        <v>1</v>
      </c>
      <c r="C198" s="160">
        <v>4</v>
      </c>
      <c r="D198" t="str">
        <f>VLOOKUP(A198,DataUsuario!B:D,2,FALSE)</f>
        <v>Agrícola</v>
      </c>
      <c r="E198" t="str">
        <f>VLOOKUP(A198,DataUsuario!B:D,3,FALSE)</f>
        <v>Sistema Integral de Gestión</v>
      </c>
      <c r="F198" t="s">
        <v>89</v>
      </c>
    </row>
    <row r="199" spans="1:6" x14ac:dyDescent="0.3">
      <c r="A199" s="156" t="s">
        <v>637</v>
      </c>
      <c r="B199" t="s">
        <v>1</v>
      </c>
      <c r="C199" s="157">
        <v>5</v>
      </c>
      <c r="D199" t="str">
        <f>VLOOKUP(A199,DataUsuario!B:D,2,FALSE)</f>
        <v>Operaciones</v>
      </c>
      <c r="E199" t="str">
        <f>VLOOKUP(A199,DataUsuario!B:D,3,FALSE)</f>
        <v>Almacenes y Distribución PT</v>
      </c>
      <c r="F199" t="s">
        <v>70</v>
      </c>
    </row>
    <row r="200" spans="1:6" x14ac:dyDescent="0.3">
      <c r="A200" s="159" t="s">
        <v>362</v>
      </c>
      <c r="B200" t="s">
        <v>1</v>
      </c>
      <c r="C200" s="160">
        <v>5</v>
      </c>
      <c r="D200" t="str">
        <f>VLOOKUP(A200,DataUsuario!B:D,2,FALSE)</f>
        <v>Agrícola</v>
      </c>
      <c r="E200" t="str">
        <f>VLOOKUP(A200,DataUsuario!B:D,3,FALSE)</f>
        <v>Fundo Lobo</v>
      </c>
      <c r="F200" t="s">
        <v>89</v>
      </c>
    </row>
    <row r="201" spans="1:6" x14ac:dyDescent="0.3">
      <c r="A201" s="156" t="s">
        <v>198</v>
      </c>
      <c r="B201" t="s">
        <v>1</v>
      </c>
      <c r="C201" s="157">
        <v>5</v>
      </c>
      <c r="D201" t="str">
        <f>VLOOKUP(A201,DataUsuario!B:D,2,FALSE)</f>
        <v>Agrícola</v>
      </c>
      <c r="E201" t="str">
        <f>VLOOKUP(A201,DataUsuario!B:D,3,FALSE)</f>
        <v>Fundo Lobo</v>
      </c>
      <c r="F201" t="s">
        <v>89</v>
      </c>
    </row>
    <row r="202" spans="1:6" x14ac:dyDescent="0.3">
      <c r="A202" s="159" t="s">
        <v>256</v>
      </c>
      <c r="B202" t="s">
        <v>1</v>
      </c>
      <c r="C202" s="160">
        <v>4</v>
      </c>
      <c r="D202" t="str">
        <f>VLOOKUP(A202,DataUsuario!B:D,2,FALSE)</f>
        <v>Agrícola</v>
      </c>
      <c r="E202" t="str">
        <f>VLOOKUP(A202,DataUsuario!B:D,3,FALSE)</f>
        <v>Fundo Montelima</v>
      </c>
      <c r="F202" t="s">
        <v>89</v>
      </c>
    </row>
    <row r="203" spans="1:6" x14ac:dyDescent="0.3">
      <c r="A203" s="156" t="s">
        <v>421</v>
      </c>
      <c r="B203" t="s">
        <v>1</v>
      </c>
      <c r="C203" s="157">
        <v>4</v>
      </c>
      <c r="D203" t="str">
        <f>VLOOKUP(A203,DataUsuario!B:D,2,FALSE)</f>
        <v>Operaciones</v>
      </c>
      <c r="E203" t="str">
        <f>VLOOKUP(A203,DataUsuario!B:D,3,FALSE)</f>
        <v>Cosecha</v>
      </c>
      <c r="F203" t="s">
        <v>70</v>
      </c>
    </row>
    <row r="204" spans="1:6" x14ac:dyDescent="0.3">
      <c r="A204" s="159" t="s">
        <v>118</v>
      </c>
      <c r="B204" t="s">
        <v>1</v>
      </c>
      <c r="C204" s="160">
        <v>5</v>
      </c>
      <c r="D204" t="str">
        <f>VLOOKUP(A204,DataUsuario!B:D,2,FALSE)</f>
        <v>Agrícola</v>
      </c>
      <c r="E204" t="str">
        <f>VLOOKUP(A204,DataUsuario!B:D,3,FALSE)</f>
        <v>Fundo Lobo</v>
      </c>
      <c r="F204" t="s">
        <v>89</v>
      </c>
    </row>
    <row r="205" spans="1:6" x14ac:dyDescent="0.3">
      <c r="A205" s="156" t="s">
        <v>352</v>
      </c>
      <c r="B205" t="s">
        <v>1</v>
      </c>
      <c r="C205" s="157">
        <v>4</v>
      </c>
      <c r="D205" t="str">
        <f>VLOOKUP(A205,DataUsuario!B:D,2,FALSE)</f>
        <v>Gestión Humana y Sostenibilidad</v>
      </c>
      <c r="E205" t="str">
        <f>VLOOKUP(A205,DataUsuario!B:D,3,FALSE)</f>
        <v>Compensación y Nóminas</v>
      </c>
      <c r="F205" t="s">
        <v>62</v>
      </c>
    </row>
    <row r="206" spans="1:6" x14ac:dyDescent="0.3">
      <c r="A206" s="159" t="s">
        <v>170</v>
      </c>
      <c r="B206" t="s">
        <v>1</v>
      </c>
      <c r="C206" s="160">
        <v>5</v>
      </c>
      <c r="D206" t="str">
        <f>VLOOKUP(A206,DataUsuario!B:D,2,FALSE)</f>
        <v>Operaciones</v>
      </c>
      <c r="E206" t="str">
        <f>VLOOKUP(A206,DataUsuario!B:D,3,FALSE)</f>
        <v>Mantenimiento CAT</v>
      </c>
      <c r="F206" t="s">
        <v>70</v>
      </c>
    </row>
    <row r="207" spans="1:6" x14ac:dyDescent="0.3">
      <c r="A207" s="156" t="s">
        <v>200</v>
      </c>
      <c r="B207" t="s">
        <v>1</v>
      </c>
      <c r="C207" s="157">
        <v>5</v>
      </c>
      <c r="D207" t="str">
        <f>VLOOKUP(A207,DataUsuario!B:D,2,FALSE)</f>
        <v>Industrial y de Mantenimiento</v>
      </c>
      <c r="E207" t="str">
        <f>VLOOKUP(A207,DataUsuario!B:D,3,FALSE)</f>
        <v>Electricidad</v>
      </c>
      <c r="F207" t="s">
        <v>74</v>
      </c>
    </row>
    <row r="208" spans="1:6" x14ac:dyDescent="0.3">
      <c r="A208" s="159" t="s">
        <v>341</v>
      </c>
      <c r="B208" t="s">
        <v>1</v>
      </c>
      <c r="C208" s="160">
        <v>5</v>
      </c>
      <c r="D208" t="str">
        <f>VLOOKUP(A208,DataUsuario!B:D,2,FALSE)</f>
        <v>Administración y Finanzas</v>
      </c>
      <c r="E208" t="str">
        <f>VLOOKUP(A208,DataUsuario!B:D,3,FALSE)</f>
        <v>Contabilidad Tributaria</v>
      </c>
      <c r="F208" t="s">
        <v>66</v>
      </c>
    </row>
    <row r="209" spans="1:6" x14ac:dyDescent="0.3">
      <c r="A209" s="156" t="s">
        <v>643</v>
      </c>
      <c r="B209" t="s">
        <v>1</v>
      </c>
      <c r="C209" s="157">
        <v>5</v>
      </c>
      <c r="D209" t="str">
        <f>VLOOKUP(A209,DataUsuario!B:D,2,FALSE)</f>
        <v>Gestión Humana y Sostenibilidad</v>
      </c>
      <c r="E209" t="str">
        <f>VLOOKUP(A209,DataUsuario!B:D,3,FALSE)</f>
        <v>Gestor de Recursos Humanos</v>
      </c>
      <c r="F209" t="s">
        <v>62</v>
      </c>
    </row>
    <row r="210" spans="1:6" x14ac:dyDescent="0.3">
      <c r="A210" s="159" t="s">
        <v>217</v>
      </c>
      <c r="B210" t="s">
        <v>1</v>
      </c>
      <c r="C210" s="160">
        <v>4</v>
      </c>
      <c r="D210" t="str">
        <f>VLOOKUP(A210,DataUsuario!B:D,2,FALSE)</f>
        <v>Agrícola</v>
      </c>
      <c r="E210" t="str">
        <f>VLOOKUP(A210,DataUsuario!B:D,3,FALSE)</f>
        <v>Mantenimiento de Riego y Bombas</v>
      </c>
      <c r="F210" t="s">
        <v>89</v>
      </c>
    </row>
    <row r="211" spans="1:6" x14ac:dyDescent="0.3">
      <c r="A211" s="156" t="s">
        <v>267</v>
      </c>
      <c r="B211" t="s">
        <v>1</v>
      </c>
      <c r="C211" s="157">
        <v>5</v>
      </c>
      <c r="D211" t="str">
        <f>VLOOKUP(A211,DataUsuario!B:D,2,FALSE)</f>
        <v>Gestión Humana y Sostenibilidad</v>
      </c>
      <c r="E211" t="str">
        <f>VLOOKUP(A211,DataUsuario!B:D,3,FALSE)</f>
        <v>Sostenibilidad</v>
      </c>
      <c r="F211" t="s">
        <v>62</v>
      </c>
    </row>
    <row r="212" spans="1:6" x14ac:dyDescent="0.3">
      <c r="A212" s="159" t="s">
        <v>347</v>
      </c>
      <c r="B212" t="s">
        <v>1</v>
      </c>
      <c r="C212" s="160">
        <v>5</v>
      </c>
      <c r="D212" t="str">
        <f>VLOOKUP(A212,DataUsuario!B:D,2,FALSE)</f>
        <v>Operaciones</v>
      </c>
      <c r="E212" t="str">
        <f>VLOOKUP(A212,DataUsuario!B:D,3,FALSE)</f>
        <v>Almacenes y Distribución PT</v>
      </c>
      <c r="F212" t="s">
        <v>70</v>
      </c>
    </row>
    <row r="213" spans="1:6" x14ac:dyDescent="0.3">
      <c r="A213" s="156" t="s">
        <v>102</v>
      </c>
      <c r="B213" t="s">
        <v>1</v>
      </c>
      <c r="C213" s="157">
        <v>5</v>
      </c>
      <c r="D213" t="str">
        <f>VLOOKUP(A213,DataUsuario!B:D,2,FALSE)</f>
        <v>Operaciones</v>
      </c>
      <c r="E213" t="str">
        <f>VLOOKUP(A213,DataUsuario!B:D,3,FALSE)</f>
        <v>Almacenes y Distribución PT</v>
      </c>
      <c r="F213" t="s">
        <v>70</v>
      </c>
    </row>
    <row r="214" spans="1:6" x14ac:dyDescent="0.3">
      <c r="A214" s="159" t="s">
        <v>249</v>
      </c>
      <c r="B214" t="s">
        <v>1</v>
      </c>
      <c r="C214" s="160">
        <v>5</v>
      </c>
      <c r="D214" t="str">
        <f>VLOOKUP(A214,DataUsuario!B:D,2,FALSE)</f>
        <v>Administración y Finanzas</v>
      </c>
      <c r="E214" t="str">
        <f>VLOOKUP(A214,DataUsuario!B:D,3,FALSE)</f>
        <v>Compras</v>
      </c>
      <c r="F214" t="s">
        <v>66</v>
      </c>
    </row>
    <row r="215" spans="1:6" x14ac:dyDescent="0.3">
      <c r="A215" s="156" t="s">
        <v>409</v>
      </c>
      <c r="B215" t="s">
        <v>1</v>
      </c>
      <c r="C215" s="157">
        <v>4</v>
      </c>
      <c r="D215" t="str">
        <f>VLOOKUP(A215,DataUsuario!B:D,2,FALSE)</f>
        <v>Agrícola</v>
      </c>
      <c r="E215" t="str">
        <f>VLOOKUP(A215,DataUsuario!B:D,3,FALSE)</f>
        <v>Fundo Lobo</v>
      </c>
      <c r="F215" t="s">
        <v>89</v>
      </c>
    </row>
    <row r="216" spans="1:6" x14ac:dyDescent="0.3">
      <c r="A216" s="159" t="s">
        <v>136</v>
      </c>
      <c r="B216" t="s">
        <v>1</v>
      </c>
      <c r="C216" s="160">
        <v>5</v>
      </c>
      <c r="D216" t="str">
        <f>VLOOKUP(A216,DataUsuario!B:D,2,FALSE)</f>
        <v>Operaciones</v>
      </c>
      <c r="E216" t="str">
        <f>VLOOKUP(A216,DataUsuario!B:D,3,FALSE)</f>
        <v>Comercial</v>
      </c>
      <c r="F216" t="s">
        <v>70</v>
      </c>
    </row>
    <row r="217" spans="1:6" x14ac:dyDescent="0.3">
      <c r="A217" s="156" t="s">
        <v>649</v>
      </c>
      <c r="B217" t="s">
        <v>1</v>
      </c>
      <c r="C217" s="157">
        <v>4</v>
      </c>
      <c r="D217" t="str">
        <f>VLOOKUP(A217,DataUsuario!B:D,2,FALSE)</f>
        <v>Gestión Humana y Sostenibilidad</v>
      </c>
      <c r="E217" t="str">
        <f>VLOOKUP(A217,DataUsuario!B:D,3,FALSE)</f>
        <v>Control Presupuestal</v>
      </c>
      <c r="F217" t="s">
        <v>62</v>
      </c>
    </row>
    <row r="218" spans="1:6" x14ac:dyDescent="0.3">
      <c r="A218" s="159" t="s">
        <v>651</v>
      </c>
      <c r="B218" t="s">
        <v>1</v>
      </c>
      <c r="C218" s="160">
        <v>4</v>
      </c>
      <c r="D218" t="str">
        <f>VLOOKUP(A218,DataUsuario!B:D,2,FALSE)</f>
        <v>Operaciones</v>
      </c>
      <c r="E218" t="str">
        <f>VLOOKUP(A218,DataUsuario!B:D,3,FALSE)</f>
        <v>Almacenes y Distribución PT</v>
      </c>
      <c r="F218" t="s">
        <v>70</v>
      </c>
    </row>
    <row r="219" spans="1:6" x14ac:dyDescent="0.3">
      <c r="A219" s="156" t="s">
        <v>320</v>
      </c>
      <c r="B219" t="s">
        <v>1</v>
      </c>
      <c r="C219" s="157">
        <v>5</v>
      </c>
      <c r="D219" t="str">
        <f>VLOOKUP(A219,DataUsuario!B:D,2,FALSE)</f>
        <v>Gestión Humana y Sostenibilidad</v>
      </c>
      <c r="E219" t="str">
        <f>VLOOKUP(A219,DataUsuario!B:D,3,FALSE)</f>
        <v>Sostenibilidad</v>
      </c>
      <c r="F219" t="s">
        <v>62</v>
      </c>
    </row>
    <row r="220" spans="1:6" x14ac:dyDescent="0.3">
      <c r="A220" s="159" t="s">
        <v>230</v>
      </c>
      <c r="B220" t="s">
        <v>1</v>
      </c>
      <c r="C220" s="160">
        <v>4</v>
      </c>
      <c r="D220" t="str">
        <f>VLOOKUP(A220,DataUsuario!B:D,2,FALSE)</f>
        <v>Agrícola</v>
      </c>
      <c r="E220" t="str">
        <f>VLOOKUP(A220,DataUsuario!B:D,3,FALSE)</f>
        <v>Fundo Lobo</v>
      </c>
      <c r="F220" t="s">
        <v>89</v>
      </c>
    </row>
    <row r="221" spans="1:6" x14ac:dyDescent="0.3">
      <c r="A221" s="156" t="s">
        <v>314</v>
      </c>
      <c r="B221" t="s">
        <v>1</v>
      </c>
      <c r="C221" s="157">
        <v>4</v>
      </c>
      <c r="D221" t="str">
        <f>VLOOKUP(A221,DataUsuario!B:D,2,FALSE)</f>
        <v>Industrial y de Mantenimiento</v>
      </c>
      <c r="E221" t="str">
        <f>VLOOKUP(A221,DataUsuario!B:D,3,FALSE)</f>
        <v>Mantenimiento Industrial</v>
      </c>
      <c r="F221" t="s">
        <v>74</v>
      </c>
    </row>
    <row r="222" spans="1:6" x14ac:dyDescent="0.3">
      <c r="A222" s="159" t="s">
        <v>99</v>
      </c>
      <c r="B222" t="s">
        <v>1</v>
      </c>
      <c r="C222" s="160">
        <v>5</v>
      </c>
      <c r="D222" t="str">
        <f>VLOOKUP(A222,DataUsuario!B:D,2,FALSE)</f>
        <v>Gestión Humana y Sostenibilidad</v>
      </c>
      <c r="E222" t="str">
        <f>VLOOKUP(A222,DataUsuario!B:D,3,FALSE)</f>
        <v>Gestor de Recursos Humanos</v>
      </c>
      <c r="F222" t="s">
        <v>62</v>
      </c>
    </row>
    <row r="223" spans="1:6" x14ac:dyDescent="0.3">
      <c r="A223" s="156" t="s">
        <v>391</v>
      </c>
      <c r="B223" t="s">
        <v>1</v>
      </c>
      <c r="C223" s="157">
        <v>5</v>
      </c>
      <c r="D223" t="str">
        <f>VLOOKUP(A223,DataUsuario!B:D,2,FALSE)</f>
        <v>Administración y Finanzas</v>
      </c>
      <c r="E223" t="str">
        <f>VLOOKUP(A223,DataUsuario!B:D,3,FALSE)</f>
        <v>Finanzas y Tesorería</v>
      </c>
      <c r="F223" t="s">
        <v>66</v>
      </c>
    </row>
    <row r="224" spans="1:6" x14ac:dyDescent="0.3">
      <c r="A224" s="159" t="s">
        <v>372</v>
      </c>
      <c r="B224" t="s">
        <v>1</v>
      </c>
      <c r="C224" s="160">
        <v>5</v>
      </c>
      <c r="D224" t="str">
        <f>VLOOKUP(A224,DataUsuario!B:D,2,FALSE)</f>
        <v>Agrícola</v>
      </c>
      <c r="E224" t="str">
        <f>VLOOKUP(A224,DataUsuario!B:D,3,FALSE)</f>
        <v>Laboratorio e Investigación Agricola</v>
      </c>
      <c r="F224" t="s">
        <v>89</v>
      </c>
    </row>
    <row r="225" spans="1:6" x14ac:dyDescent="0.3">
      <c r="A225" s="156" t="s">
        <v>156</v>
      </c>
      <c r="B225" t="s">
        <v>1</v>
      </c>
      <c r="C225" s="157">
        <v>5</v>
      </c>
      <c r="D225" t="str">
        <f>VLOOKUP(A225,DataUsuario!B:D,2,FALSE)</f>
        <v>Administración y Finanzas</v>
      </c>
      <c r="E225" t="str">
        <f>VLOOKUP(A225,DataUsuario!B:D,3,FALSE)</f>
        <v>Compras</v>
      </c>
      <c r="F225" t="s">
        <v>66</v>
      </c>
    </row>
    <row r="226" spans="1:6" x14ac:dyDescent="0.3">
      <c r="A226" s="159" t="s">
        <v>258</v>
      </c>
      <c r="B226" t="s">
        <v>1</v>
      </c>
      <c r="C226" s="160">
        <v>4</v>
      </c>
      <c r="D226" t="str">
        <f>VLOOKUP(A226,DataUsuario!B:D,2,FALSE)</f>
        <v>Operaciones</v>
      </c>
      <c r="E226" t="str">
        <f>VLOOKUP(A226,DataUsuario!B:D,3,FALSE)</f>
        <v>Calidad</v>
      </c>
      <c r="F226" t="s">
        <v>70</v>
      </c>
    </row>
    <row r="227" spans="1:6" x14ac:dyDescent="0.3">
      <c r="A227" s="156" t="s">
        <v>61</v>
      </c>
      <c r="B227" t="s">
        <v>1</v>
      </c>
      <c r="C227" s="157">
        <v>4</v>
      </c>
      <c r="D227" t="str">
        <f>VLOOKUP(A227,DataUsuario!B:D,2,FALSE)</f>
        <v>Gestión Humana y Sostenibilidad</v>
      </c>
      <c r="E227" t="str">
        <f>VLOOKUP(A227,DataUsuario!B:D,3,FALSE)</f>
        <v>Compensación y Nóminas</v>
      </c>
      <c r="F227" t="s">
        <v>62</v>
      </c>
    </row>
    <row r="228" spans="1:6" x14ac:dyDescent="0.3">
      <c r="A228" s="159" t="s">
        <v>289</v>
      </c>
      <c r="B228" t="s">
        <v>1</v>
      </c>
      <c r="C228" s="160">
        <v>5</v>
      </c>
      <c r="D228" t="str">
        <f>VLOOKUP(A228,DataUsuario!B:D,2,FALSE)</f>
        <v>Agrícola</v>
      </c>
      <c r="E228" t="str">
        <f>VLOOKUP(A228,DataUsuario!B:D,3,FALSE)</f>
        <v>Mantenimiento de Riego y Bombas</v>
      </c>
      <c r="F228" t="s">
        <v>89</v>
      </c>
    </row>
    <row r="229" spans="1:6" x14ac:dyDescent="0.3">
      <c r="A229" s="156" t="s">
        <v>158</v>
      </c>
      <c r="B229" t="s">
        <v>1</v>
      </c>
      <c r="C229" s="157">
        <v>4</v>
      </c>
      <c r="D229" t="str">
        <f>VLOOKUP(A229,DataUsuario!B:D,2,FALSE)</f>
        <v>Operaciones</v>
      </c>
      <c r="E229" t="str">
        <f>VLOOKUP(A229,DataUsuario!B:D,3,FALSE)</f>
        <v>Calidad</v>
      </c>
      <c r="F229" t="s">
        <v>70</v>
      </c>
    </row>
    <row r="230" spans="1:6" x14ac:dyDescent="0.3">
      <c r="A230" s="159" t="s">
        <v>251</v>
      </c>
      <c r="B230" t="s">
        <v>1</v>
      </c>
      <c r="C230" s="160" t="s">
        <v>666</v>
      </c>
      <c r="D230" t="str">
        <f>VLOOKUP(A230,DataUsuario!B:D,2,FALSE)</f>
        <v>Industrial y de Mantenimiento</v>
      </c>
      <c r="E230" t="str">
        <f>VLOOKUP(A230,DataUsuario!B:D,3,FALSE)</f>
        <v>Automatización</v>
      </c>
      <c r="F230" t="s">
        <v>74</v>
      </c>
    </row>
    <row r="231" spans="1:6" x14ac:dyDescent="0.3">
      <c r="A231" s="156" t="s">
        <v>653</v>
      </c>
      <c r="B231" t="s">
        <v>1</v>
      </c>
      <c r="C231" s="157">
        <v>5</v>
      </c>
      <c r="D231" t="str">
        <f>VLOOKUP(A231,DataUsuario!B:D,2,FALSE)</f>
        <v>Industrial y de Mantenimiento</v>
      </c>
      <c r="E231" t="str">
        <f>VLOOKUP(A231,DataUsuario!B:D,3,FALSE)</f>
        <v>Mantenimiento Industrial</v>
      </c>
      <c r="F231" t="s">
        <v>74</v>
      </c>
    </row>
    <row r="232" spans="1:6" x14ac:dyDescent="0.3">
      <c r="A232" s="159" t="s">
        <v>279</v>
      </c>
      <c r="B232" t="s">
        <v>1</v>
      </c>
      <c r="C232" s="160">
        <v>4</v>
      </c>
      <c r="D232" t="str">
        <f>VLOOKUP(A232,DataUsuario!B:D,2,FALSE)</f>
        <v>Operaciones</v>
      </c>
      <c r="E232" t="str">
        <f>VLOOKUP(A232,DataUsuario!B:D,3,FALSE)</f>
        <v>Transporte</v>
      </c>
      <c r="F232" t="s">
        <v>70</v>
      </c>
    </row>
    <row r="233" spans="1:6" x14ac:dyDescent="0.3">
      <c r="A233" s="156" t="s">
        <v>655</v>
      </c>
      <c r="B233" t="s">
        <v>1</v>
      </c>
      <c r="C233" s="157">
        <v>5</v>
      </c>
      <c r="D233" t="str">
        <f>VLOOKUP(A233,DataUsuario!B:D,2,FALSE)</f>
        <v>Operaciones</v>
      </c>
      <c r="E233" t="str">
        <f>VLOOKUP(A233,DataUsuario!B:D,3,FALSE)</f>
        <v>Almacenes y Distribución PT</v>
      </c>
      <c r="F233" t="s">
        <v>70</v>
      </c>
    </row>
    <row r="234" spans="1:6" x14ac:dyDescent="0.3">
      <c r="A234" s="159" t="s">
        <v>202</v>
      </c>
      <c r="B234" t="s">
        <v>1</v>
      </c>
      <c r="C234" s="160" t="s">
        <v>666</v>
      </c>
      <c r="D234" t="str">
        <f>VLOOKUP(A234,DataUsuario!B:D,2,FALSE)</f>
        <v>Agrícola</v>
      </c>
      <c r="E234" t="str">
        <f>VLOOKUP(A234,DataUsuario!B:D,3,FALSE)</f>
        <v>Fundo La Huaca</v>
      </c>
      <c r="F234" t="s">
        <v>89</v>
      </c>
    </row>
    <row r="235" spans="1:6" x14ac:dyDescent="0.3">
      <c r="A235" s="156" t="s">
        <v>154</v>
      </c>
      <c r="B235" t="s">
        <v>1</v>
      </c>
      <c r="C235" s="157">
        <v>4</v>
      </c>
      <c r="D235" t="str">
        <f>VLOOKUP(A235,DataUsuario!B:D,2,FALSE)</f>
        <v>Industrial y de Mantenimiento</v>
      </c>
      <c r="E235" t="str">
        <f>VLOOKUP(A235,DataUsuario!B:D,3,FALSE)</f>
        <v>Mantenimiento Industrial</v>
      </c>
      <c r="F235" t="s">
        <v>74</v>
      </c>
    </row>
    <row r="236" spans="1:6" x14ac:dyDescent="0.3">
      <c r="A236" s="159" t="s">
        <v>332</v>
      </c>
      <c r="B236" t="s">
        <v>1</v>
      </c>
      <c r="C236" s="160">
        <v>5</v>
      </c>
      <c r="D236" t="str">
        <f>VLOOKUP(A236,DataUsuario!B:D,2,FALSE)</f>
        <v>Agrícola</v>
      </c>
      <c r="E236" t="str">
        <f>VLOOKUP(A236,DataUsuario!B:D,3,FALSE)</f>
        <v>Gerencia Agrícola</v>
      </c>
      <c r="F236" t="s">
        <v>89</v>
      </c>
    </row>
    <row r="237" spans="1:6" x14ac:dyDescent="0.3">
      <c r="A237" s="156" t="s">
        <v>359</v>
      </c>
      <c r="B237" t="s">
        <v>1</v>
      </c>
      <c r="C237" s="157">
        <v>4</v>
      </c>
      <c r="D237" t="str">
        <f>VLOOKUP(A237,DataUsuario!B:D,2,FALSE)</f>
        <v>Operaciones</v>
      </c>
      <c r="E237" t="str">
        <f>VLOOKUP(A237,DataUsuario!B:D,3,FALSE)</f>
        <v>Gerencia de Operaciones</v>
      </c>
      <c r="F237" t="s">
        <v>70</v>
      </c>
    </row>
    <row r="238" spans="1:6" x14ac:dyDescent="0.3">
      <c r="A238" s="159" t="s">
        <v>172</v>
      </c>
      <c r="B238" t="s">
        <v>1</v>
      </c>
      <c r="C238" s="160">
        <v>3</v>
      </c>
      <c r="D238" t="str">
        <f>VLOOKUP(A238,DataUsuario!B:D,2,FALSE)</f>
        <v>Gestión Humana y Sostenibilidad</v>
      </c>
      <c r="E238" t="str">
        <f>VLOOKUP(A238,DataUsuario!B:D,3,FALSE)</f>
        <v>Gestor de Recursos Humanos</v>
      </c>
      <c r="F238" t="s">
        <v>62</v>
      </c>
    </row>
    <row r="239" spans="1:6" x14ac:dyDescent="0.3">
      <c r="A239" s="156" t="s">
        <v>260</v>
      </c>
      <c r="B239" t="s">
        <v>1</v>
      </c>
      <c r="C239" s="157">
        <v>3</v>
      </c>
      <c r="D239" t="str">
        <f>VLOOKUP(A239,DataUsuario!B:D,2,FALSE)</f>
        <v>Industrial y de Mantenimiento</v>
      </c>
      <c r="E239" t="str">
        <f>VLOOKUP(A239,DataUsuario!B:D,3,FALSE)</f>
        <v>Producción</v>
      </c>
      <c r="F239" t="s">
        <v>74</v>
      </c>
    </row>
    <row r="240" spans="1:6" x14ac:dyDescent="0.3">
      <c r="A240" s="159" t="s">
        <v>242</v>
      </c>
      <c r="B240" t="s">
        <v>1</v>
      </c>
      <c r="C240" s="160">
        <v>4</v>
      </c>
      <c r="D240" t="str">
        <f>VLOOKUP(A240,DataUsuario!B:D,2,FALSE)</f>
        <v>Agrícola</v>
      </c>
      <c r="E240" t="str">
        <f>VLOOKUP(A240,DataUsuario!B:D,3,FALSE)</f>
        <v>Fundo Montelima</v>
      </c>
      <c r="F240" t="s">
        <v>89</v>
      </c>
    </row>
    <row r="241" spans="1:6" x14ac:dyDescent="0.3">
      <c r="A241" s="156" t="s">
        <v>661</v>
      </c>
      <c r="B241" t="s">
        <v>1</v>
      </c>
      <c r="C241" s="157">
        <v>4</v>
      </c>
      <c r="D241" t="str">
        <f>VLOOKUP(A241,DataUsuario!B:D,2,FALSE)</f>
        <v>Gestión Humana y Sostenibilidad</v>
      </c>
      <c r="E241" t="str">
        <f>VLOOKUP(A241,DataUsuario!B:D,3,FALSE)</f>
        <v>Gestión Humana</v>
      </c>
      <c r="F241" t="s">
        <v>62</v>
      </c>
    </row>
    <row r="242" spans="1:6" x14ac:dyDescent="0.3">
      <c r="A242" s="159" t="s">
        <v>138</v>
      </c>
      <c r="B242" t="s">
        <v>1</v>
      </c>
      <c r="C242" s="160">
        <v>2</v>
      </c>
      <c r="D242" t="str">
        <f>VLOOKUP(A242,DataUsuario!B:D,2,FALSE)</f>
        <v>Gestión Humana y Sostenibilidad</v>
      </c>
      <c r="E242" t="str">
        <f>VLOOKUP(A242,DataUsuario!B:D,3,FALSE)</f>
        <v>Gestion del Talento</v>
      </c>
      <c r="F242" t="s">
        <v>62</v>
      </c>
    </row>
    <row r="243" spans="1:6" x14ac:dyDescent="0.3">
      <c r="A243" s="156" t="s">
        <v>662</v>
      </c>
      <c r="B243" t="s">
        <v>1</v>
      </c>
      <c r="C243" s="157">
        <v>5</v>
      </c>
      <c r="D243" t="str">
        <f>VLOOKUP(A243,DataUsuario!B:D,2,FALSE)</f>
        <v>Gestión Humana y Sostenibilidad</v>
      </c>
      <c r="E243" t="str">
        <f>VLOOKUP(A243,DataUsuario!B:D,3,FALSE)</f>
        <v>Relaciones Laborales</v>
      </c>
      <c r="F243" t="s">
        <v>62</v>
      </c>
    </row>
    <row r="244" spans="1:6" x14ac:dyDescent="0.3">
      <c r="A244" s="159" t="s">
        <v>663</v>
      </c>
      <c r="B244" t="s">
        <v>1</v>
      </c>
      <c r="C244" s="160">
        <v>5</v>
      </c>
      <c r="D244" t="str">
        <f>VLOOKUP(A244,DataUsuario!B:D,2,FALSE)</f>
        <v>Administración y Finanzas</v>
      </c>
      <c r="E244" t="str">
        <f>VLOOKUP(A244,DataUsuario!B:D,3,FALSE)</f>
        <v>Contabilidad Tributaria</v>
      </c>
      <c r="F244" t="s">
        <v>66</v>
      </c>
    </row>
    <row r="245" spans="1:6" x14ac:dyDescent="0.3">
      <c r="A245" s="156" t="s">
        <v>247</v>
      </c>
      <c r="B245" t="s">
        <v>1</v>
      </c>
      <c r="C245" s="157">
        <v>5</v>
      </c>
      <c r="D245" t="str">
        <f>VLOOKUP(A245,DataUsuario!B:D,2,FALSE)</f>
        <v>Industrial y de Mantenimiento</v>
      </c>
      <c r="E245" t="str">
        <f>VLOOKUP(A245,DataUsuario!B:D,3,FALSE)</f>
        <v>Mantenimiento Industrial</v>
      </c>
      <c r="F245" t="s">
        <v>74</v>
      </c>
    </row>
    <row r="246" spans="1:6" x14ac:dyDescent="0.3">
      <c r="A246" s="159" t="s">
        <v>271</v>
      </c>
      <c r="B246" t="s">
        <v>1</v>
      </c>
      <c r="C246" s="160">
        <v>5</v>
      </c>
      <c r="D246" t="str">
        <f>VLOOKUP(A246,DataUsuario!B:D,2,FALSE)</f>
        <v>Operaciones</v>
      </c>
      <c r="E246" t="str">
        <f>VLOOKUP(A246,DataUsuario!B:D,3,FALSE)</f>
        <v>Calidad</v>
      </c>
      <c r="F246" t="s">
        <v>70</v>
      </c>
    </row>
    <row r="247" spans="1:6" x14ac:dyDescent="0.3">
      <c r="A247" s="156" t="s">
        <v>291</v>
      </c>
      <c r="B247" t="s">
        <v>1</v>
      </c>
      <c r="C247" s="157">
        <v>5</v>
      </c>
      <c r="D247" t="str">
        <f>VLOOKUP(A247,DataUsuario!B:D,2,FALSE)</f>
        <v>Gestión Humana y Sostenibilidad</v>
      </c>
      <c r="E247" t="str">
        <f>VLOOKUP(A247,DataUsuario!B:D,3,FALSE)</f>
        <v>Gerencia Gestión Humana y Sostenibilidad</v>
      </c>
      <c r="F247" t="s">
        <v>62</v>
      </c>
    </row>
    <row r="248" spans="1:6" x14ac:dyDescent="0.3">
      <c r="A248" s="159" t="s">
        <v>80</v>
      </c>
      <c r="B248" t="s">
        <v>1</v>
      </c>
      <c r="C248" s="160">
        <v>4</v>
      </c>
      <c r="D248" t="str">
        <f>VLOOKUP(A248,DataUsuario!B:D,2,FALSE)</f>
        <v>Administración y Finanzas</v>
      </c>
      <c r="E248" t="str">
        <f>VLOOKUP(A248,DataUsuario!B:D,3,FALSE)</f>
        <v>Compras</v>
      </c>
      <c r="F248" t="s">
        <v>66</v>
      </c>
    </row>
    <row r="249" spans="1:6" x14ac:dyDescent="0.3">
      <c r="A249" s="156" t="s">
        <v>88</v>
      </c>
      <c r="B249" t="s">
        <v>1</v>
      </c>
      <c r="C249" s="157">
        <v>5</v>
      </c>
      <c r="D249" t="str">
        <f>VLOOKUP(A249,DataUsuario!B:D,2,FALSE)</f>
        <v>Agrícola</v>
      </c>
      <c r="E249" t="str">
        <f>VLOOKUP(A249,DataUsuario!B:D,3,FALSE)</f>
        <v>Fundo Lobo</v>
      </c>
      <c r="F249" t="s">
        <v>89</v>
      </c>
    </row>
    <row r="250" spans="1:6" x14ac:dyDescent="0.3">
      <c r="A250" s="159" t="s">
        <v>143</v>
      </c>
      <c r="B250" t="s">
        <v>1</v>
      </c>
      <c r="C250" s="160">
        <v>5</v>
      </c>
      <c r="D250" t="str">
        <f>VLOOKUP(A250,DataUsuario!B:D,2,FALSE)</f>
        <v>Operaciones</v>
      </c>
      <c r="E250" t="str">
        <f>VLOOKUP(A250,DataUsuario!B:D,3,FALSE)</f>
        <v>Transporte</v>
      </c>
      <c r="F250" t="s">
        <v>70</v>
      </c>
    </row>
    <row r="251" spans="1:6" x14ac:dyDescent="0.3">
      <c r="A251" s="162" t="s">
        <v>123</v>
      </c>
      <c r="B251" t="s">
        <v>1</v>
      </c>
      <c r="C251" s="163">
        <v>4</v>
      </c>
      <c r="D251" t="str">
        <f>VLOOKUP(A251,DataUsuario!B:D,2,FALSE)</f>
        <v>Administración y Finanzas</v>
      </c>
      <c r="E251" t="str">
        <f>VLOOKUP(A251,DataUsuario!B:D,3,FALSE)</f>
        <v>Gerencia Administración y Finanzas</v>
      </c>
      <c r="F251" t="s">
        <v>66</v>
      </c>
    </row>
    <row r="252" spans="1:6" x14ac:dyDescent="0.3">
      <c r="A252" s="156" t="s">
        <v>133</v>
      </c>
      <c r="B252" t="s">
        <v>2</v>
      </c>
      <c r="C252" s="157">
        <v>5</v>
      </c>
      <c r="D252" t="str">
        <f>VLOOKUP(A252,DataUsuario!B:D,2,FALSE)</f>
        <v>Industrial y de Mantenimiento</v>
      </c>
      <c r="E252" t="str">
        <f>VLOOKUP(A252,DataUsuario!B:D,3,FALSE)</f>
        <v>Electricidad</v>
      </c>
      <c r="F252" t="s">
        <v>74</v>
      </c>
    </row>
    <row r="253" spans="1:6" x14ac:dyDescent="0.3">
      <c r="A253" s="159" t="s">
        <v>397</v>
      </c>
      <c r="B253" t="s">
        <v>2</v>
      </c>
      <c r="C253" s="160">
        <v>4</v>
      </c>
      <c r="D253" t="str">
        <f>VLOOKUP(A253,DataUsuario!B:D,2,FALSE)</f>
        <v>Administración y Finanzas</v>
      </c>
      <c r="E253" t="str">
        <f>VLOOKUP(A253,DataUsuario!B:D,3,FALSE)</f>
        <v>Control de Gestión</v>
      </c>
      <c r="F253" t="s">
        <v>66</v>
      </c>
    </row>
    <row r="254" spans="1:6" x14ac:dyDescent="0.3">
      <c r="A254" s="156" t="s">
        <v>92</v>
      </c>
      <c r="B254" t="s">
        <v>2</v>
      </c>
      <c r="C254" s="157">
        <v>5</v>
      </c>
      <c r="D254" t="str">
        <f>VLOOKUP(A254,DataUsuario!B:D,2,FALSE)</f>
        <v>Administración y Finanzas</v>
      </c>
      <c r="E254" t="str">
        <f>VLOOKUP(A254,DataUsuario!B:D,3,FALSE)</f>
        <v>Control de Gestión</v>
      </c>
      <c r="F254" t="s">
        <v>66</v>
      </c>
    </row>
    <row r="255" spans="1:6" x14ac:dyDescent="0.3">
      <c r="A255" s="159" t="s">
        <v>213</v>
      </c>
      <c r="B255" t="s">
        <v>2</v>
      </c>
      <c r="C255" s="160">
        <v>4</v>
      </c>
      <c r="D255" t="str">
        <f>VLOOKUP(A255,DataUsuario!B:D,2,FALSE)</f>
        <v>Gestión Humana y Sostenibilidad</v>
      </c>
      <c r="E255" t="str">
        <f>VLOOKUP(A255,DataUsuario!B:D,3,FALSE)</f>
        <v>Seguridad</v>
      </c>
      <c r="F255" t="s">
        <v>62</v>
      </c>
    </row>
    <row r="256" spans="1:6" x14ac:dyDescent="0.3">
      <c r="A256" s="156" t="s">
        <v>520</v>
      </c>
      <c r="B256" t="s">
        <v>2</v>
      </c>
      <c r="C256" s="157" t="s">
        <v>666</v>
      </c>
      <c r="D256" t="str">
        <f>VLOOKUP(A256,DataUsuario!B:D,2,FALSE)</f>
        <v>Administración y Finanzas</v>
      </c>
      <c r="E256" t="str">
        <f>VLOOKUP(A256,DataUsuario!B:D,3,FALSE)</f>
        <v>Contabilidad Tributaria</v>
      </c>
      <c r="F256" t="s">
        <v>66</v>
      </c>
    </row>
    <row r="257" spans="1:6" x14ac:dyDescent="0.3">
      <c r="A257" s="159" t="s">
        <v>145</v>
      </c>
      <c r="B257" t="s">
        <v>2</v>
      </c>
      <c r="C257" s="160" t="s">
        <v>666</v>
      </c>
      <c r="D257" t="str">
        <f>VLOOKUP(A257,DataUsuario!B:D,2,FALSE)</f>
        <v>Administración y Finanzas</v>
      </c>
      <c r="E257" t="str">
        <f>VLOOKUP(A257,DataUsuario!B:D,3,FALSE)</f>
        <v>Legal</v>
      </c>
      <c r="F257" t="s">
        <v>66</v>
      </c>
    </row>
    <row r="258" spans="1:6" x14ac:dyDescent="0.3">
      <c r="A258" s="156" t="s">
        <v>207</v>
      </c>
      <c r="B258" t="s">
        <v>2</v>
      </c>
      <c r="C258" s="157">
        <v>5</v>
      </c>
      <c r="D258" t="str">
        <f>VLOOKUP(A258,DataUsuario!B:D,2,FALSE)</f>
        <v>Administración y Finanzas</v>
      </c>
      <c r="E258" t="str">
        <f>VLOOKUP(A258,DataUsuario!B:D,3,FALSE)</f>
        <v>Riesgos y Cumplimiento</v>
      </c>
      <c r="F258" t="s">
        <v>66</v>
      </c>
    </row>
    <row r="259" spans="1:6" x14ac:dyDescent="0.3">
      <c r="A259" s="159" t="s">
        <v>115</v>
      </c>
      <c r="B259" t="s">
        <v>2</v>
      </c>
      <c r="C259" s="160" t="s">
        <v>666</v>
      </c>
      <c r="D259" t="str">
        <f>VLOOKUP(A259,DataUsuario!B:D,2,FALSE)</f>
        <v>Industrial y de Mantenimiento</v>
      </c>
      <c r="E259" t="str">
        <f>VLOOKUP(A259,DataUsuario!B:D,3,FALSE)</f>
        <v>Mantenimiento de Transportes</v>
      </c>
      <c r="F259" t="s">
        <v>74</v>
      </c>
    </row>
    <row r="260" spans="1:6" x14ac:dyDescent="0.3">
      <c r="A260" s="156" t="s">
        <v>254</v>
      </c>
      <c r="B260" t="s">
        <v>2</v>
      </c>
      <c r="C260" s="157">
        <v>4</v>
      </c>
      <c r="D260" t="str">
        <f>VLOOKUP(A260,DataUsuario!B:D,2,FALSE)</f>
        <v>Administración y Finanzas</v>
      </c>
      <c r="E260" t="str">
        <f>VLOOKUP(A260,DataUsuario!B:D,3,FALSE)</f>
        <v>Administración</v>
      </c>
      <c r="F260" t="s">
        <v>66</v>
      </c>
    </row>
    <row r="261" spans="1:6" x14ac:dyDescent="0.3">
      <c r="A261" s="159" t="s">
        <v>601</v>
      </c>
      <c r="B261" t="s">
        <v>2</v>
      </c>
      <c r="C261" s="160">
        <v>4</v>
      </c>
      <c r="D261" t="str">
        <f>VLOOKUP(A261,DataUsuario!B:D,2,FALSE)</f>
        <v>Operaciones</v>
      </c>
      <c r="E261" t="str">
        <f>VLOOKUP(A261,DataUsuario!B:D,3,FALSE)</f>
        <v>Almacenes y Distribución PT</v>
      </c>
      <c r="F261" t="s">
        <v>70</v>
      </c>
    </row>
    <row r="262" spans="1:6" x14ac:dyDescent="0.3">
      <c r="A262" s="156" t="s">
        <v>285</v>
      </c>
      <c r="B262" t="s">
        <v>2</v>
      </c>
      <c r="C262" s="157">
        <v>5</v>
      </c>
      <c r="D262" t="str">
        <f>VLOOKUP(A262,DataUsuario!B:D,2,FALSE)</f>
        <v>Operaciones</v>
      </c>
      <c r="E262" t="str">
        <f>VLOOKUP(A262,DataUsuario!B:D,3,FALSE)</f>
        <v>Comercial</v>
      </c>
      <c r="F262" t="s">
        <v>70</v>
      </c>
    </row>
    <row r="263" spans="1:6" x14ac:dyDescent="0.3">
      <c r="A263" s="159" t="s">
        <v>602</v>
      </c>
      <c r="B263" t="s">
        <v>2</v>
      </c>
      <c r="C263" s="160">
        <v>5</v>
      </c>
      <c r="D263" t="str">
        <f>VLOOKUP(A263,DataUsuario!B:D,2,FALSE)</f>
        <v>Operaciones</v>
      </c>
      <c r="E263" t="str">
        <f>VLOOKUP(A263,DataUsuario!B:D,3,FALSE)</f>
        <v>Cosecha</v>
      </c>
      <c r="F263" t="s">
        <v>70</v>
      </c>
    </row>
    <row r="264" spans="1:6" x14ac:dyDescent="0.3">
      <c r="A264" s="156" t="s">
        <v>431</v>
      </c>
      <c r="B264" t="s">
        <v>2</v>
      </c>
      <c r="C264" s="157">
        <v>4</v>
      </c>
      <c r="D264" t="str">
        <f>VLOOKUP(A264,DataUsuario!B:D,2,FALSE)</f>
        <v>Agrícola</v>
      </c>
      <c r="E264" t="str">
        <f>VLOOKUP(A264,DataUsuario!B:D,3,FALSE)</f>
        <v>Fundo San Vicente</v>
      </c>
      <c r="F264" t="s">
        <v>89</v>
      </c>
    </row>
    <row r="265" spans="1:6" x14ac:dyDescent="0.3">
      <c r="A265" s="159" t="s">
        <v>318</v>
      </c>
      <c r="B265" t="s">
        <v>2</v>
      </c>
      <c r="C265" s="160">
        <v>5</v>
      </c>
      <c r="D265" t="str">
        <f>VLOOKUP(A265,DataUsuario!B:D,2,FALSE)</f>
        <v>Operaciones</v>
      </c>
      <c r="E265" t="str">
        <f>VLOOKUP(A265,DataUsuario!B:D,3,FALSE)</f>
        <v>Cosecha</v>
      </c>
      <c r="F265" t="s">
        <v>70</v>
      </c>
    </row>
    <row r="266" spans="1:6" x14ac:dyDescent="0.3">
      <c r="A266" s="156" t="s">
        <v>176</v>
      </c>
      <c r="B266" t="s">
        <v>2</v>
      </c>
      <c r="C266" s="157">
        <v>5</v>
      </c>
      <c r="D266" t="str">
        <f>VLOOKUP(A266,DataUsuario!B:D,2,FALSE)</f>
        <v>Administración y Finanzas</v>
      </c>
      <c r="E266" t="str">
        <f>VLOOKUP(A266,DataUsuario!B:D,3,FALSE)</f>
        <v>Cadenas Productivas</v>
      </c>
      <c r="F266" t="s">
        <v>66</v>
      </c>
    </row>
    <row r="267" spans="1:6" x14ac:dyDescent="0.3">
      <c r="A267" s="159" t="s">
        <v>312</v>
      </c>
      <c r="B267" t="s">
        <v>2</v>
      </c>
      <c r="C267" s="160">
        <v>5</v>
      </c>
      <c r="D267" t="str">
        <f>VLOOKUP(A267,DataUsuario!B:D,2,FALSE)</f>
        <v>Operaciones</v>
      </c>
      <c r="E267" t="str">
        <f>VLOOKUP(A267,DataUsuario!B:D,3,FALSE)</f>
        <v>Calidad</v>
      </c>
      <c r="F267" t="s">
        <v>70</v>
      </c>
    </row>
    <row r="268" spans="1:6" x14ac:dyDescent="0.3">
      <c r="A268" s="156" t="s">
        <v>604</v>
      </c>
      <c r="B268" t="s">
        <v>2</v>
      </c>
      <c r="C268" s="157">
        <v>5</v>
      </c>
      <c r="D268" t="str">
        <f>VLOOKUP(A268,DataUsuario!B:D,2,FALSE)</f>
        <v>Gestión Humana y Sostenibilidad</v>
      </c>
      <c r="E268" t="str">
        <f>VLOOKUP(A268,DataUsuario!B:D,3,FALSE)</f>
        <v>Bienestar - Medico Ocupacional</v>
      </c>
      <c r="F268" t="s">
        <v>62</v>
      </c>
    </row>
    <row r="269" spans="1:6" x14ac:dyDescent="0.3">
      <c r="A269" s="159" t="s">
        <v>97</v>
      </c>
      <c r="B269" t="s">
        <v>2</v>
      </c>
      <c r="C269" s="160">
        <v>5</v>
      </c>
      <c r="D269" t="str">
        <f>VLOOKUP(A269,DataUsuario!B:D,2,FALSE)</f>
        <v>Gestión Humana y Sostenibilidad</v>
      </c>
      <c r="E269" t="str">
        <f>VLOOKUP(A269,DataUsuario!B:D,3,FALSE)</f>
        <v>Compensación y Nóminas</v>
      </c>
      <c r="F269" t="s">
        <v>62</v>
      </c>
    </row>
    <row r="270" spans="1:6" x14ac:dyDescent="0.3">
      <c r="A270" s="156" t="s">
        <v>299</v>
      </c>
      <c r="B270" t="s">
        <v>2</v>
      </c>
      <c r="C270" s="157">
        <v>4</v>
      </c>
      <c r="D270" t="str">
        <f>VLOOKUP(A270,DataUsuario!B:D,2,FALSE)</f>
        <v>Administración y Finanzas</v>
      </c>
      <c r="E270" t="str">
        <f>VLOOKUP(A270,DataUsuario!B:D,3,FALSE)</f>
        <v>Legal</v>
      </c>
      <c r="F270" t="s">
        <v>66</v>
      </c>
    </row>
    <row r="271" spans="1:6" x14ac:dyDescent="0.3">
      <c r="A271" s="159" t="s">
        <v>606</v>
      </c>
      <c r="B271" t="s">
        <v>2</v>
      </c>
      <c r="C271" s="160">
        <v>4</v>
      </c>
      <c r="D271" t="str">
        <f>VLOOKUP(A271,DataUsuario!B:D,2,FALSE)</f>
        <v>Gestión Humana y Sostenibilidad</v>
      </c>
      <c r="E271" t="str">
        <f>VLOOKUP(A271,DataUsuario!B:D,3,FALSE)</f>
        <v>Seguridad</v>
      </c>
      <c r="F271" t="s">
        <v>62</v>
      </c>
    </row>
    <row r="272" spans="1:6" x14ac:dyDescent="0.3">
      <c r="A272" s="156" t="s">
        <v>326</v>
      </c>
      <c r="B272" t="s">
        <v>2</v>
      </c>
      <c r="C272" s="157">
        <v>4</v>
      </c>
      <c r="D272" t="str">
        <f>VLOOKUP(A272,DataUsuario!B:D,2,FALSE)</f>
        <v>Operaciones</v>
      </c>
      <c r="E272" t="str">
        <f>VLOOKUP(A272,DataUsuario!B:D,3,FALSE)</f>
        <v>Calidad</v>
      </c>
      <c r="F272" t="s">
        <v>70</v>
      </c>
    </row>
    <row r="273" spans="1:6" x14ac:dyDescent="0.3">
      <c r="A273" s="159" t="s">
        <v>609</v>
      </c>
      <c r="B273" t="s">
        <v>2</v>
      </c>
      <c r="C273" s="160">
        <v>4</v>
      </c>
      <c r="D273" t="str">
        <f>VLOOKUP(A273,DataUsuario!B:D,2,FALSE)</f>
        <v>Agrícola</v>
      </c>
      <c r="E273" t="str">
        <f>VLOOKUP(A273,DataUsuario!B:D,3,FALSE)</f>
        <v>Mantenimiento de Riego y Bombas</v>
      </c>
      <c r="F273" t="s">
        <v>89</v>
      </c>
    </row>
    <row r="274" spans="1:6" x14ac:dyDescent="0.3">
      <c r="A274" s="156" t="s">
        <v>245</v>
      </c>
      <c r="B274" t="s">
        <v>2</v>
      </c>
      <c r="C274" s="157">
        <v>5</v>
      </c>
      <c r="D274" t="str">
        <f>VLOOKUP(A274,DataUsuario!B:D,2,FALSE)</f>
        <v>Gestión Humana y Sostenibilidad</v>
      </c>
      <c r="E274" t="str">
        <f>VLOOKUP(A274,DataUsuario!B:D,3,FALSE)</f>
        <v>Compensación y Nóminas</v>
      </c>
      <c r="F274" t="s">
        <v>62</v>
      </c>
    </row>
    <row r="275" spans="1:6" x14ac:dyDescent="0.3">
      <c r="A275" s="159" t="s">
        <v>287</v>
      </c>
      <c r="B275" t="s">
        <v>2</v>
      </c>
      <c r="C275" s="160">
        <v>5</v>
      </c>
      <c r="D275" t="str">
        <f>VLOOKUP(A275,DataUsuario!B:D,2,FALSE)</f>
        <v>Operaciones</v>
      </c>
      <c r="E275" t="str">
        <f>VLOOKUP(A275,DataUsuario!B:D,3,FALSE)</f>
        <v>Calidad</v>
      </c>
      <c r="F275" t="s">
        <v>70</v>
      </c>
    </row>
    <row r="276" spans="1:6" x14ac:dyDescent="0.3">
      <c r="A276" s="156" t="s">
        <v>439</v>
      </c>
      <c r="B276" t="s">
        <v>2</v>
      </c>
      <c r="C276" s="157">
        <v>5</v>
      </c>
      <c r="D276" t="str">
        <f>VLOOKUP(A276,DataUsuario!B:D,2,FALSE)</f>
        <v>Operaciones</v>
      </c>
      <c r="E276" t="str">
        <f>VLOOKUP(A276,DataUsuario!B:D,3,FALSE)</f>
        <v>Comercial</v>
      </c>
      <c r="F276" t="s">
        <v>70</v>
      </c>
    </row>
    <row r="277" spans="1:6" x14ac:dyDescent="0.3">
      <c r="A277" s="159" t="s">
        <v>95</v>
      </c>
      <c r="B277" t="s">
        <v>2</v>
      </c>
      <c r="C277" s="160">
        <v>4</v>
      </c>
      <c r="D277" t="str">
        <f>VLOOKUP(A277,DataUsuario!B:D,2,FALSE)</f>
        <v>Administración y Finanzas</v>
      </c>
      <c r="E277" t="str">
        <f>VLOOKUP(A277,DataUsuario!B:D,3,FALSE)</f>
        <v>Legal</v>
      </c>
      <c r="F277" t="s">
        <v>66</v>
      </c>
    </row>
    <row r="278" spans="1:6" x14ac:dyDescent="0.3">
      <c r="A278" s="156" t="s">
        <v>328</v>
      </c>
      <c r="B278" t="s">
        <v>2</v>
      </c>
      <c r="C278" s="157">
        <v>5</v>
      </c>
      <c r="D278" t="str">
        <f>VLOOKUP(A278,DataUsuario!B:D,2,FALSE)</f>
        <v>Administración y Finanzas</v>
      </c>
      <c r="E278" t="str">
        <f>VLOOKUP(A278,DataUsuario!B:D,3,FALSE)</f>
        <v>Administración</v>
      </c>
      <c r="F278" t="s">
        <v>66</v>
      </c>
    </row>
    <row r="279" spans="1:6" x14ac:dyDescent="0.3">
      <c r="A279" s="159" t="s">
        <v>322</v>
      </c>
      <c r="B279" t="s">
        <v>2</v>
      </c>
      <c r="C279" s="160">
        <v>5</v>
      </c>
      <c r="D279" t="str">
        <f>VLOOKUP(A279,DataUsuario!B:D,2,FALSE)</f>
        <v>Administración y Finanzas</v>
      </c>
      <c r="E279" t="str">
        <f>VLOOKUP(A279,DataUsuario!B:D,3,FALSE)</f>
        <v>Finanzas y Tesorería</v>
      </c>
      <c r="F279" t="s">
        <v>66</v>
      </c>
    </row>
    <row r="280" spans="1:6" x14ac:dyDescent="0.3">
      <c r="A280" s="156" t="s">
        <v>612</v>
      </c>
      <c r="B280" t="s">
        <v>2</v>
      </c>
      <c r="C280" s="157">
        <v>5</v>
      </c>
      <c r="D280" t="str">
        <f>VLOOKUP(A280,DataUsuario!B:D,2,FALSE)</f>
        <v>Operaciones</v>
      </c>
      <c r="E280" t="str">
        <f>VLOOKUP(A280,DataUsuario!B:D,3,FALSE)</f>
        <v>Mantenimiento CAT</v>
      </c>
      <c r="F280" t="s">
        <v>70</v>
      </c>
    </row>
    <row r="281" spans="1:6" x14ac:dyDescent="0.3">
      <c r="A281" s="159" t="s">
        <v>613</v>
      </c>
      <c r="B281" t="s">
        <v>2</v>
      </c>
      <c r="C281" s="160">
        <v>4</v>
      </c>
      <c r="D281" t="str">
        <f>VLOOKUP(A281,DataUsuario!B:D,2,FALSE)</f>
        <v>Administración y Finanzas</v>
      </c>
      <c r="E281" t="str">
        <f>VLOOKUP(A281,DataUsuario!B:D,3,FALSE)</f>
        <v>Control de Gestión</v>
      </c>
      <c r="F281" t="s">
        <v>66</v>
      </c>
    </row>
    <row r="282" spans="1:6" x14ac:dyDescent="0.3">
      <c r="A282" s="156" t="s">
        <v>376</v>
      </c>
      <c r="B282" t="s">
        <v>2</v>
      </c>
      <c r="C282" s="157">
        <v>5</v>
      </c>
      <c r="D282" t="str">
        <f>VLOOKUP(A282,DataUsuario!B:D,2,FALSE)</f>
        <v>Administración y Finanzas</v>
      </c>
      <c r="E282" t="str">
        <f>VLOOKUP(A282,DataUsuario!B:D,3,FALSE)</f>
        <v>Control de Gestión</v>
      </c>
      <c r="F282" t="s">
        <v>66</v>
      </c>
    </row>
    <row r="283" spans="1:6" x14ac:dyDescent="0.3">
      <c r="A283" s="159" t="s">
        <v>413</v>
      </c>
      <c r="B283" t="s">
        <v>2</v>
      </c>
      <c r="C283" s="160">
        <v>5</v>
      </c>
      <c r="D283" t="str">
        <f>VLOOKUP(A283,DataUsuario!B:D,2,FALSE)</f>
        <v>Administración y Finanzas</v>
      </c>
      <c r="E283" t="str">
        <f>VLOOKUP(A283,DataUsuario!B:D,3,FALSE)</f>
        <v>Contabilidad Tributaria</v>
      </c>
      <c r="F283" t="s">
        <v>66</v>
      </c>
    </row>
    <row r="284" spans="1:6" x14ac:dyDescent="0.3">
      <c r="A284" s="156" t="s">
        <v>614</v>
      </c>
      <c r="B284" t="s">
        <v>2</v>
      </c>
      <c r="C284" s="157">
        <v>5</v>
      </c>
      <c r="D284" t="str">
        <f>VLOOKUP(A284,DataUsuario!B:D,2,FALSE)</f>
        <v>Gestión Humana y Sostenibilidad</v>
      </c>
      <c r="E284" t="str">
        <f>VLOOKUP(A284,DataUsuario!B:D,3,FALSE)</f>
        <v>Gestor de Recursos Humanos</v>
      </c>
      <c r="F284" t="s">
        <v>62</v>
      </c>
    </row>
    <row r="285" spans="1:6" x14ac:dyDescent="0.3">
      <c r="A285" s="159" t="s">
        <v>65</v>
      </c>
      <c r="B285" t="s">
        <v>2</v>
      </c>
      <c r="C285" s="160">
        <v>5</v>
      </c>
      <c r="D285" t="str">
        <f>VLOOKUP(A285,DataUsuario!B:D,2,FALSE)</f>
        <v>Administración y Finanzas</v>
      </c>
      <c r="E285" t="str">
        <f>VLOOKUP(A285,DataUsuario!B:D,3,FALSE)</f>
        <v>Finanzas y Tesorería</v>
      </c>
      <c r="F285" t="s">
        <v>66</v>
      </c>
    </row>
    <row r="286" spans="1:6" x14ac:dyDescent="0.3">
      <c r="A286" s="156" t="s">
        <v>85</v>
      </c>
      <c r="B286" t="s">
        <v>2</v>
      </c>
      <c r="C286" s="157">
        <v>5</v>
      </c>
      <c r="D286" t="str">
        <f>VLOOKUP(A286,DataUsuario!B:D,2,FALSE)</f>
        <v>Operaciones</v>
      </c>
      <c r="E286" t="str">
        <f>VLOOKUP(A286,DataUsuario!B:D,3,FALSE)</f>
        <v>Comercial</v>
      </c>
      <c r="F286" t="s">
        <v>70</v>
      </c>
    </row>
    <row r="287" spans="1:6" x14ac:dyDescent="0.3">
      <c r="A287" s="159" t="s">
        <v>350</v>
      </c>
      <c r="B287" t="s">
        <v>2</v>
      </c>
      <c r="C287" s="160">
        <v>4</v>
      </c>
      <c r="D287" t="str">
        <f>VLOOKUP(A287,DataUsuario!B:D,2,FALSE)</f>
        <v>Agrícola</v>
      </c>
      <c r="E287" t="str">
        <f>VLOOKUP(A287,DataUsuario!B:D,3,FALSE)</f>
        <v>Planificador Agrícola</v>
      </c>
      <c r="F287" t="s">
        <v>89</v>
      </c>
    </row>
    <row r="288" spans="1:6" x14ac:dyDescent="0.3">
      <c r="A288" s="156" t="s">
        <v>120</v>
      </c>
      <c r="B288" t="s">
        <v>2</v>
      </c>
      <c r="C288" s="157">
        <v>4</v>
      </c>
      <c r="D288" t="str">
        <f>VLOOKUP(A288,DataUsuario!B:D,2,FALSE)</f>
        <v>Agrícola</v>
      </c>
      <c r="E288" t="str">
        <f>VLOOKUP(A288,DataUsuario!B:D,3,FALSE)</f>
        <v>Fundo Montelima</v>
      </c>
      <c r="F288" t="s">
        <v>89</v>
      </c>
    </row>
    <row r="289" spans="1:6" x14ac:dyDescent="0.3">
      <c r="A289" s="159" t="s">
        <v>617</v>
      </c>
      <c r="B289" t="s">
        <v>2</v>
      </c>
      <c r="C289" s="160">
        <v>4</v>
      </c>
      <c r="D289" t="str">
        <f>VLOOKUP(A289,DataUsuario!B:D,2,FALSE)</f>
        <v>Agrícola</v>
      </c>
      <c r="E289" t="str">
        <f>VLOOKUP(A289,DataUsuario!B:D,3,FALSE)</f>
        <v>Mantenimiento de Riego y Bombas</v>
      </c>
      <c r="F289" t="s">
        <v>89</v>
      </c>
    </row>
    <row r="290" spans="1:6" x14ac:dyDescent="0.3">
      <c r="A290" s="156" t="s">
        <v>345</v>
      </c>
      <c r="B290" t="s">
        <v>2</v>
      </c>
      <c r="C290" s="157">
        <v>4</v>
      </c>
      <c r="D290" t="str">
        <f>VLOOKUP(A290,DataUsuario!B:D,2,FALSE)</f>
        <v>Agrícola</v>
      </c>
      <c r="E290" t="str">
        <f>VLOOKUP(A290,DataUsuario!B:D,3,FALSE)</f>
        <v>Mantenimiento de Riego y Bombas</v>
      </c>
      <c r="F290" t="s">
        <v>89</v>
      </c>
    </row>
    <row r="291" spans="1:6" x14ac:dyDescent="0.3">
      <c r="A291" s="159" t="s">
        <v>618</v>
      </c>
      <c r="B291" t="s">
        <v>2</v>
      </c>
      <c r="C291" s="160">
        <v>4</v>
      </c>
      <c r="D291" t="str">
        <f>VLOOKUP(A291,DataUsuario!B:D,2,FALSE)</f>
        <v>Agrícola</v>
      </c>
      <c r="E291" t="str">
        <f>VLOOKUP(A291,DataUsuario!B:D,3,FALSE)</f>
        <v>Fundo San Vicente</v>
      </c>
      <c r="F291" t="s">
        <v>89</v>
      </c>
    </row>
    <row r="292" spans="1:6" x14ac:dyDescent="0.3">
      <c r="A292" s="156" t="s">
        <v>183</v>
      </c>
      <c r="B292" t="s">
        <v>2</v>
      </c>
      <c r="C292" s="157">
        <v>5</v>
      </c>
      <c r="D292" t="str">
        <f>VLOOKUP(A292,DataUsuario!B:D,2,FALSE)</f>
        <v>Agrícola</v>
      </c>
      <c r="E292" t="str">
        <f>VLOOKUP(A292,DataUsuario!B:D,3,FALSE)</f>
        <v>Planificador Agrícola</v>
      </c>
      <c r="F292" t="s">
        <v>89</v>
      </c>
    </row>
    <row r="293" spans="1:6" x14ac:dyDescent="0.3">
      <c r="A293" s="159" t="s">
        <v>82</v>
      </c>
      <c r="B293" t="s">
        <v>2</v>
      </c>
      <c r="C293" s="160">
        <v>3</v>
      </c>
      <c r="D293" t="str">
        <f>VLOOKUP(A293,DataUsuario!B:D,2,FALSE)</f>
        <v>Industrial y de Mantenimiento</v>
      </c>
      <c r="E293" t="str">
        <f>VLOOKUP(A293,DataUsuario!B:D,3,FALSE)</f>
        <v>Producción</v>
      </c>
      <c r="F293" t="s">
        <v>74</v>
      </c>
    </row>
    <row r="294" spans="1:6" x14ac:dyDescent="0.3">
      <c r="A294" s="156" t="s">
        <v>224</v>
      </c>
      <c r="B294" t="s">
        <v>2</v>
      </c>
      <c r="C294" s="157">
        <v>5</v>
      </c>
      <c r="D294" t="str">
        <f>VLOOKUP(A294,DataUsuario!B:D,2,FALSE)</f>
        <v>Agrícola</v>
      </c>
      <c r="E294" t="str">
        <f>VLOOKUP(A294,DataUsuario!B:D,3,FALSE)</f>
        <v>Laboratorio e Investigación Agricola</v>
      </c>
      <c r="F294" t="s">
        <v>89</v>
      </c>
    </row>
    <row r="295" spans="1:6" x14ac:dyDescent="0.3">
      <c r="A295" s="159" t="s">
        <v>152</v>
      </c>
      <c r="B295" t="s">
        <v>2</v>
      </c>
      <c r="C295" s="160">
        <v>5</v>
      </c>
      <c r="D295" t="str">
        <f>VLOOKUP(A295,DataUsuario!B:D,2,FALSE)</f>
        <v>Operaciones</v>
      </c>
      <c r="E295" t="str">
        <f>VLOOKUP(A295,DataUsuario!B:D,3,FALSE)</f>
        <v>Almacenes y Distribución PT</v>
      </c>
      <c r="F295" t="s">
        <v>70</v>
      </c>
    </row>
    <row r="296" spans="1:6" x14ac:dyDescent="0.3">
      <c r="A296" s="156" t="s">
        <v>622</v>
      </c>
      <c r="B296" t="s">
        <v>2</v>
      </c>
      <c r="C296" s="157">
        <v>5</v>
      </c>
      <c r="D296" t="str">
        <f>VLOOKUP(A296,DataUsuario!B:D,2,FALSE)</f>
        <v>Operaciones</v>
      </c>
      <c r="E296" t="str">
        <f>VLOOKUP(A296,DataUsuario!B:D,3,FALSE)</f>
        <v>Almacenes y Distribución PT</v>
      </c>
      <c r="F296" t="s">
        <v>70</v>
      </c>
    </row>
    <row r="297" spans="1:6" x14ac:dyDescent="0.3">
      <c r="A297" s="159" t="s">
        <v>365</v>
      </c>
      <c r="B297" t="s">
        <v>2</v>
      </c>
      <c r="C297" s="160">
        <v>4</v>
      </c>
      <c r="D297" t="str">
        <f>VLOOKUP(A297,DataUsuario!B:D,2,FALSE)</f>
        <v>Operaciones</v>
      </c>
      <c r="E297" t="str">
        <f>VLOOKUP(A297,DataUsuario!B:D,3,FALSE)</f>
        <v>Cosecha</v>
      </c>
      <c r="F297" t="s">
        <v>70</v>
      </c>
    </row>
    <row r="298" spans="1:6" x14ac:dyDescent="0.3">
      <c r="A298" s="156" t="s">
        <v>215</v>
      </c>
      <c r="B298" t="s">
        <v>2</v>
      </c>
      <c r="C298" s="157">
        <v>5</v>
      </c>
      <c r="D298" t="str">
        <f>VLOOKUP(A298,DataUsuario!B:D,2,FALSE)</f>
        <v>Gestión Humana y Sostenibilidad</v>
      </c>
      <c r="E298" t="str">
        <f>VLOOKUP(A298,DataUsuario!B:D,3,FALSE)</f>
        <v>Seguridad</v>
      </c>
      <c r="F298" t="s">
        <v>62</v>
      </c>
    </row>
    <row r="299" spans="1:6" x14ac:dyDescent="0.3">
      <c r="A299" s="159" t="s">
        <v>374</v>
      </c>
      <c r="B299" t="s">
        <v>2</v>
      </c>
      <c r="C299" s="160">
        <v>4</v>
      </c>
      <c r="D299" t="str">
        <f>VLOOKUP(A299,DataUsuario!B:D,2,FALSE)</f>
        <v>Agrícola</v>
      </c>
      <c r="E299" t="str">
        <f>VLOOKUP(A299,DataUsuario!B:D,3,FALSE)</f>
        <v>Mantenimiento de Riego y Bombas</v>
      </c>
      <c r="F299" t="s">
        <v>89</v>
      </c>
    </row>
    <row r="300" spans="1:6" x14ac:dyDescent="0.3">
      <c r="A300" s="156" t="s">
        <v>316</v>
      </c>
      <c r="B300" t="s">
        <v>2</v>
      </c>
      <c r="C300" s="157">
        <v>5</v>
      </c>
      <c r="D300" t="str">
        <f>VLOOKUP(A300,DataUsuario!B:D,2,FALSE)</f>
        <v>Administración y Finanzas</v>
      </c>
      <c r="E300" t="str">
        <f>VLOOKUP(A300,DataUsuario!B:D,3,FALSE)</f>
        <v>Compras</v>
      </c>
      <c r="F300" t="s">
        <v>66</v>
      </c>
    </row>
    <row r="301" spans="1:6" x14ac:dyDescent="0.3">
      <c r="A301" s="159" t="s">
        <v>626</v>
      </c>
      <c r="B301" t="s">
        <v>2</v>
      </c>
      <c r="C301" s="160">
        <v>4</v>
      </c>
      <c r="D301" t="str">
        <f>VLOOKUP(A301,DataUsuario!B:D,2,FALSE)</f>
        <v>Administración y Finanzas</v>
      </c>
      <c r="E301" t="str">
        <f>VLOOKUP(A301,DataUsuario!B:D,3,FALSE)</f>
        <v>Finanzas y Tesorería</v>
      </c>
      <c r="F301" t="s">
        <v>66</v>
      </c>
    </row>
    <row r="302" spans="1:6" x14ac:dyDescent="0.3">
      <c r="A302" s="156" t="s">
        <v>423</v>
      </c>
      <c r="B302" t="s">
        <v>2</v>
      </c>
      <c r="C302" s="157">
        <v>5</v>
      </c>
      <c r="D302" t="str">
        <f>VLOOKUP(A302,DataUsuario!B:D,2,FALSE)</f>
        <v>Industrial y de Mantenimiento</v>
      </c>
      <c r="E302" t="str">
        <f>VLOOKUP(A302,DataUsuario!B:D,3,FALSE)</f>
        <v>Producción</v>
      </c>
      <c r="F302" t="s">
        <v>74</v>
      </c>
    </row>
    <row r="303" spans="1:6" x14ac:dyDescent="0.3">
      <c r="A303" s="159" t="s">
        <v>387</v>
      </c>
      <c r="B303" t="s">
        <v>2</v>
      </c>
      <c r="C303" s="160">
        <v>4</v>
      </c>
      <c r="D303" t="str">
        <f>VLOOKUP(A303,DataUsuario!B:D,2,FALSE)</f>
        <v>Administración y Finanzas</v>
      </c>
      <c r="E303" t="str">
        <f>VLOOKUP(A303,DataUsuario!B:D,3,FALSE)</f>
        <v>Contabilidad Tributaria</v>
      </c>
      <c r="F303" t="s">
        <v>66</v>
      </c>
    </row>
    <row r="304" spans="1:6" x14ac:dyDescent="0.3">
      <c r="A304" s="156" t="s">
        <v>305</v>
      </c>
      <c r="B304" t="s">
        <v>2</v>
      </c>
      <c r="C304" s="157">
        <v>3</v>
      </c>
      <c r="D304" t="str">
        <f>VLOOKUP(A304,DataUsuario!B:D,2,FALSE)</f>
        <v>Industrial y de Mantenimiento</v>
      </c>
      <c r="E304" t="str">
        <f>VLOOKUP(A304,DataUsuario!B:D,3,FALSE)</f>
        <v>Producción</v>
      </c>
      <c r="F304" t="s">
        <v>74</v>
      </c>
    </row>
    <row r="305" spans="1:6" x14ac:dyDescent="0.3">
      <c r="A305" s="159" t="s">
        <v>303</v>
      </c>
      <c r="B305" t="s">
        <v>2</v>
      </c>
      <c r="C305" s="160">
        <v>4</v>
      </c>
      <c r="D305" t="str">
        <f>VLOOKUP(A305,DataUsuario!B:D,2,FALSE)</f>
        <v>Administración y Finanzas</v>
      </c>
      <c r="E305" t="str">
        <f>VLOOKUP(A305,DataUsuario!B:D,3,FALSE)</f>
        <v>Control de Gestión</v>
      </c>
      <c r="F305" t="s">
        <v>66</v>
      </c>
    </row>
    <row r="306" spans="1:6" x14ac:dyDescent="0.3">
      <c r="A306" s="156" t="s">
        <v>238</v>
      </c>
      <c r="B306" t="s">
        <v>2</v>
      </c>
      <c r="C306" s="157">
        <v>5</v>
      </c>
      <c r="D306" t="str">
        <f>VLOOKUP(A306,DataUsuario!B:D,2,FALSE)</f>
        <v>Industrial y de Mantenimiento</v>
      </c>
      <c r="E306" t="str">
        <f>VLOOKUP(A306,DataUsuario!B:D,3,FALSE)</f>
        <v>Producción</v>
      </c>
      <c r="F306" t="s">
        <v>74</v>
      </c>
    </row>
    <row r="307" spans="1:6" x14ac:dyDescent="0.3">
      <c r="A307" s="159" t="s">
        <v>630</v>
      </c>
      <c r="B307" t="s">
        <v>2</v>
      </c>
      <c r="C307" s="160">
        <v>5</v>
      </c>
      <c r="D307" t="str">
        <f>VLOOKUP(A307,DataUsuario!B:D,2,FALSE)</f>
        <v>Industrial y de Mantenimiento</v>
      </c>
      <c r="E307" t="str">
        <f>VLOOKUP(A307,DataUsuario!B:D,3,FALSE)</f>
        <v>Mantenimiento Industrial</v>
      </c>
      <c r="F307" t="s">
        <v>74</v>
      </c>
    </row>
    <row r="308" spans="1:6" x14ac:dyDescent="0.3">
      <c r="A308" s="156" t="s">
        <v>301</v>
      </c>
      <c r="B308" t="s">
        <v>2</v>
      </c>
      <c r="C308" s="157">
        <v>5</v>
      </c>
      <c r="D308" t="str">
        <f>VLOOKUP(A308,DataUsuario!B:D,2,FALSE)</f>
        <v>Administración y Finanzas</v>
      </c>
      <c r="E308" t="str">
        <f>VLOOKUP(A308,DataUsuario!B:D,3,FALSE)</f>
        <v>Contabilidad Tributaria</v>
      </c>
      <c r="F308" t="s">
        <v>66</v>
      </c>
    </row>
    <row r="309" spans="1:6" x14ac:dyDescent="0.3">
      <c r="A309" s="159" t="s">
        <v>435</v>
      </c>
      <c r="B309" t="s">
        <v>2</v>
      </c>
      <c r="C309" s="160">
        <v>5</v>
      </c>
      <c r="D309" t="str">
        <f>VLOOKUP(A309,DataUsuario!B:D,2,FALSE)</f>
        <v>Operaciones</v>
      </c>
      <c r="E309" t="str">
        <f>VLOOKUP(A309,DataUsuario!B:D,3,FALSE)</f>
        <v>Almacenes y Distribución PT</v>
      </c>
      <c r="F309" t="s">
        <v>70</v>
      </c>
    </row>
    <row r="310" spans="1:6" x14ac:dyDescent="0.3">
      <c r="A310" s="156" t="s">
        <v>383</v>
      </c>
      <c r="B310" t="s">
        <v>2</v>
      </c>
      <c r="C310" s="157">
        <v>4</v>
      </c>
      <c r="D310" t="str">
        <f>VLOOKUP(A310,DataUsuario!B:D,2,FALSE)</f>
        <v>Agrícola</v>
      </c>
      <c r="E310" t="str">
        <f>VLOOKUP(A310,DataUsuario!B:D,3,FALSE)</f>
        <v>Fundo Lobo</v>
      </c>
      <c r="F310" t="s">
        <v>89</v>
      </c>
    </row>
    <row r="311" spans="1:6" x14ac:dyDescent="0.3">
      <c r="A311" s="159" t="s">
        <v>307</v>
      </c>
      <c r="B311" t="s">
        <v>2</v>
      </c>
      <c r="C311" s="160">
        <v>5</v>
      </c>
      <c r="D311" t="str">
        <f>VLOOKUP(A311,DataUsuario!B:D,2,FALSE)</f>
        <v>Gestión Humana y Sostenibilidad</v>
      </c>
      <c r="E311" t="str">
        <f>VLOOKUP(A311,DataUsuario!B:D,3,FALSE)</f>
        <v>Comunicaciones y Responsabilidad Social</v>
      </c>
      <c r="F311" t="s">
        <v>62</v>
      </c>
    </row>
    <row r="312" spans="1:6" x14ac:dyDescent="0.3">
      <c r="A312" s="156" t="s">
        <v>631</v>
      </c>
      <c r="B312" t="s">
        <v>2</v>
      </c>
      <c r="C312" s="157">
        <v>4</v>
      </c>
      <c r="D312" t="str">
        <f>VLOOKUP(A312,DataUsuario!B:D,2,FALSE)</f>
        <v>Administración y Finanzas</v>
      </c>
      <c r="E312" t="str">
        <f>VLOOKUP(A312,DataUsuario!B:D,3,FALSE)</f>
        <v>Compras</v>
      </c>
      <c r="F312" t="s">
        <v>66</v>
      </c>
    </row>
    <row r="313" spans="1:6" x14ac:dyDescent="0.3">
      <c r="A313" s="159" t="s">
        <v>415</v>
      </c>
      <c r="B313" t="s">
        <v>2</v>
      </c>
      <c r="C313" s="160">
        <v>5</v>
      </c>
      <c r="D313" t="str">
        <f>VLOOKUP(A313,DataUsuario!B:D,2,FALSE)</f>
        <v>Administración y Finanzas</v>
      </c>
      <c r="E313" t="str">
        <f>VLOOKUP(A313,DataUsuario!B:D,3,FALSE)</f>
        <v>Administración</v>
      </c>
      <c r="F313" t="s">
        <v>66</v>
      </c>
    </row>
    <row r="314" spans="1:6" x14ac:dyDescent="0.3">
      <c r="A314" s="156" t="s">
        <v>128</v>
      </c>
      <c r="B314" t="s">
        <v>2</v>
      </c>
      <c r="C314" s="157">
        <v>5</v>
      </c>
      <c r="D314" t="str">
        <f>VLOOKUP(A314,DataUsuario!B:D,2,FALSE)</f>
        <v>Agrícola</v>
      </c>
      <c r="E314" t="str">
        <f>VLOOKUP(A314,DataUsuario!B:D,3,FALSE)</f>
        <v>Fundo Lobo</v>
      </c>
      <c r="F314" t="s">
        <v>89</v>
      </c>
    </row>
    <row r="315" spans="1:6" x14ac:dyDescent="0.3">
      <c r="A315" s="159" t="s">
        <v>632</v>
      </c>
      <c r="B315" t="s">
        <v>2</v>
      </c>
      <c r="C315" s="160">
        <v>4</v>
      </c>
      <c r="D315" t="str">
        <f>VLOOKUP(A315,DataUsuario!B:D,2,FALSE)</f>
        <v>Gestión Humana y Sostenibilidad</v>
      </c>
      <c r="E315" t="str">
        <f>VLOOKUP(A315,DataUsuario!B:D,3,FALSE)</f>
        <v>Gestor de Recursos Humanos</v>
      </c>
      <c r="F315" t="s">
        <v>62</v>
      </c>
    </row>
    <row r="316" spans="1:6" x14ac:dyDescent="0.3">
      <c r="A316" s="156" t="s">
        <v>205</v>
      </c>
      <c r="B316" t="s">
        <v>2</v>
      </c>
      <c r="C316" s="157">
        <v>4</v>
      </c>
      <c r="D316" t="str">
        <f>VLOOKUP(A316,DataUsuario!B:D,2,FALSE)</f>
        <v>Operaciones</v>
      </c>
      <c r="E316" t="str">
        <f>VLOOKUP(A316,DataUsuario!B:D,3,FALSE)</f>
        <v>Almacenes y Distribución PT</v>
      </c>
      <c r="F316" t="s">
        <v>70</v>
      </c>
    </row>
    <row r="317" spans="1:6" x14ac:dyDescent="0.3">
      <c r="A317" s="159" t="s">
        <v>633</v>
      </c>
      <c r="B317" t="s">
        <v>2</v>
      </c>
      <c r="C317" s="160">
        <v>4</v>
      </c>
      <c r="D317" t="str">
        <f>VLOOKUP(A317,DataUsuario!B:D,2,FALSE)</f>
        <v>Gestión Humana y Sostenibilidad</v>
      </c>
      <c r="E317" t="str">
        <f>VLOOKUP(A317,DataUsuario!B:D,3,FALSE)</f>
        <v>Bienestar - Medico Ocupacional</v>
      </c>
      <c r="F317" t="s">
        <v>62</v>
      </c>
    </row>
    <row r="318" spans="1:6" x14ac:dyDescent="0.3">
      <c r="A318" s="156" t="s">
        <v>634</v>
      </c>
      <c r="B318" t="s">
        <v>2</v>
      </c>
      <c r="C318" s="157">
        <v>4</v>
      </c>
      <c r="D318" t="str">
        <f>VLOOKUP(A318,DataUsuario!B:D,2,FALSE)</f>
        <v>Industrial y de Mantenimiento</v>
      </c>
      <c r="E318" t="str">
        <f>VLOOKUP(A318,DataUsuario!B:D,3,FALSE)</f>
        <v>Producción</v>
      </c>
      <c r="F318" t="s">
        <v>74</v>
      </c>
    </row>
    <row r="319" spans="1:6" x14ac:dyDescent="0.3">
      <c r="A319" s="159" t="s">
        <v>192</v>
      </c>
      <c r="B319" t="s">
        <v>2</v>
      </c>
      <c r="C319" s="160">
        <v>5</v>
      </c>
      <c r="D319" t="str">
        <f>VLOOKUP(A319,DataUsuario!B:D,2,FALSE)</f>
        <v>Agrícola</v>
      </c>
      <c r="E319" t="str">
        <f>VLOOKUP(A319,DataUsuario!B:D,3,FALSE)</f>
        <v>Mantenimiento de Riego y Bombas</v>
      </c>
      <c r="F319" t="s">
        <v>89</v>
      </c>
    </row>
    <row r="320" spans="1:6" x14ac:dyDescent="0.3">
      <c r="A320" s="156" t="s">
        <v>150</v>
      </c>
      <c r="B320" t="s">
        <v>2</v>
      </c>
      <c r="C320" s="157">
        <v>4</v>
      </c>
      <c r="D320" t="str">
        <f>VLOOKUP(A320,DataUsuario!B:D,2,FALSE)</f>
        <v>Industrial y de Mantenimiento</v>
      </c>
      <c r="E320" t="str">
        <f>VLOOKUP(A320,DataUsuario!B:D,3,FALSE)</f>
        <v>Producción</v>
      </c>
      <c r="F320" t="s">
        <v>74</v>
      </c>
    </row>
    <row r="321" spans="1:6" x14ac:dyDescent="0.3">
      <c r="A321" s="159" t="s">
        <v>181</v>
      </c>
      <c r="B321" t="s">
        <v>2</v>
      </c>
      <c r="C321" s="160">
        <v>4</v>
      </c>
      <c r="D321" t="str">
        <f>VLOOKUP(A321,DataUsuario!B:D,2,FALSE)</f>
        <v>Gestión Humana y Sostenibilidad</v>
      </c>
      <c r="E321" t="str">
        <f>VLOOKUP(A321,DataUsuario!B:D,3,FALSE)</f>
        <v>Compensación y Nóminas</v>
      </c>
      <c r="F321" t="s">
        <v>62</v>
      </c>
    </row>
    <row r="322" spans="1:6" x14ac:dyDescent="0.3">
      <c r="A322" s="156" t="s">
        <v>337</v>
      </c>
      <c r="B322" t="s">
        <v>2</v>
      </c>
      <c r="C322" s="157">
        <v>5</v>
      </c>
      <c r="D322" t="str">
        <f>VLOOKUP(A322,DataUsuario!B:D,2,FALSE)</f>
        <v>Agrícola</v>
      </c>
      <c r="E322" t="str">
        <f>VLOOKUP(A322,DataUsuario!B:D,3,FALSE)</f>
        <v>Fundo San Vicente</v>
      </c>
      <c r="F322" t="s">
        <v>89</v>
      </c>
    </row>
    <row r="323" spans="1:6" x14ac:dyDescent="0.3">
      <c r="A323" s="159" t="s">
        <v>369</v>
      </c>
      <c r="B323" t="s">
        <v>2</v>
      </c>
      <c r="C323" s="160">
        <v>4</v>
      </c>
      <c r="D323" t="str">
        <f>VLOOKUP(A323,DataUsuario!B:D,2,FALSE)</f>
        <v>Agrícola</v>
      </c>
      <c r="E323" t="str">
        <f>VLOOKUP(A323,DataUsuario!B:D,3,FALSE)</f>
        <v>Sistema Integral de Gestión</v>
      </c>
      <c r="F323" t="s">
        <v>89</v>
      </c>
    </row>
    <row r="324" spans="1:6" x14ac:dyDescent="0.3">
      <c r="A324" s="156" t="s">
        <v>637</v>
      </c>
      <c r="B324" t="s">
        <v>2</v>
      </c>
      <c r="C324" s="157">
        <v>5</v>
      </c>
      <c r="D324" t="str">
        <f>VLOOKUP(A324,DataUsuario!B:D,2,FALSE)</f>
        <v>Operaciones</v>
      </c>
      <c r="E324" t="str">
        <f>VLOOKUP(A324,DataUsuario!B:D,3,FALSE)</f>
        <v>Almacenes y Distribución PT</v>
      </c>
      <c r="F324" t="s">
        <v>70</v>
      </c>
    </row>
    <row r="325" spans="1:6" x14ac:dyDescent="0.3">
      <c r="A325" s="159" t="s">
        <v>362</v>
      </c>
      <c r="B325" t="s">
        <v>2</v>
      </c>
      <c r="C325" s="160">
        <v>5</v>
      </c>
      <c r="D325" t="str">
        <f>VLOOKUP(A325,DataUsuario!B:D,2,FALSE)</f>
        <v>Agrícola</v>
      </c>
      <c r="E325" t="str">
        <f>VLOOKUP(A325,DataUsuario!B:D,3,FALSE)</f>
        <v>Fundo Lobo</v>
      </c>
      <c r="F325" t="s">
        <v>89</v>
      </c>
    </row>
    <row r="326" spans="1:6" x14ac:dyDescent="0.3">
      <c r="A326" s="156" t="s">
        <v>198</v>
      </c>
      <c r="B326" t="s">
        <v>2</v>
      </c>
      <c r="C326" s="157">
        <v>5</v>
      </c>
      <c r="D326" t="str">
        <f>VLOOKUP(A326,DataUsuario!B:D,2,FALSE)</f>
        <v>Agrícola</v>
      </c>
      <c r="E326" t="str">
        <f>VLOOKUP(A326,DataUsuario!B:D,3,FALSE)</f>
        <v>Fundo Lobo</v>
      </c>
      <c r="F326" t="s">
        <v>89</v>
      </c>
    </row>
    <row r="327" spans="1:6" x14ac:dyDescent="0.3">
      <c r="A327" s="159" t="s">
        <v>256</v>
      </c>
      <c r="B327" t="s">
        <v>2</v>
      </c>
      <c r="C327" s="160">
        <v>4</v>
      </c>
      <c r="D327" t="str">
        <f>VLOOKUP(A327,DataUsuario!B:D,2,FALSE)</f>
        <v>Agrícola</v>
      </c>
      <c r="E327" t="str">
        <f>VLOOKUP(A327,DataUsuario!B:D,3,FALSE)</f>
        <v>Fundo Montelima</v>
      </c>
      <c r="F327" t="s">
        <v>89</v>
      </c>
    </row>
    <row r="328" spans="1:6" x14ac:dyDescent="0.3">
      <c r="A328" s="156" t="s">
        <v>421</v>
      </c>
      <c r="B328" t="s">
        <v>2</v>
      </c>
      <c r="C328" s="157">
        <v>4</v>
      </c>
      <c r="D328" t="str">
        <f>VLOOKUP(A328,DataUsuario!B:D,2,FALSE)</f>
        <v>Operaciones</v>
      </c>
      <c r="E328" t="str">
        <f>VLOOKUP(A328,DataUsuario!B:D,3,FALSE)</f>
        <v>Cosecha</v>
      </c>
      <c r="F328" t="s">
        <v>70</v>
      </c>
    </row>
    <row r="329" spans="1:6" x14ac:dyDescent="0.3">
      <c r="A329" s="159" t="s">
        <v>118</v>
      </c>
      <c r="B329" t="s">
        <v>2</v>
      </c>
      <c r="C329" s="160">
        <v>5</v>
      </c>
      <c r="D329" t="str">
        <f>VLOOKUP(A329,DataUsuario!B:D,2,FALSE)</f>
        <v>Agrícola</v>
      </c>
      <c r="E329" t="str">
        <f>VLOOKUP(A329,DataUsuario!B:D,3,FALSE)</f>
        <v>Fundo Lobo</v>
      </c>
      <c r="F329" t="s">
        <v>89</v>
      </c>
    </row>
    <row r="330" spans="1:6" x14ac:dyDescent="0.3">
      <c r="A330" s="156" t="s">
        <v>352</v>
      </c>
      <c r="B330" t="s">
        <v>2</v>
      </c>
      <c r="C330" s="157">
        <v>4</v>
      </c>
      <c r="D330" t="str">
        <f>VLOOKUP(A330,DataUsuario!B:D,2,FALSE)</f>
        <v>Gestión Humana y Sostenibilidad</v>
      </c>
      <c r="E330" t="str">
        <f>VLOOKUP(A330,DataUsuario!B:D,3,FALSE)</f>
        <v>Compensación y Nóminas</v>
      </c>
      <c r="F330" t="s">
        <v>62</v>
      </c>
    </row>
    <row r="331" spans="1:6" x14ac:dyDescent="0.3">
      <c r="A331" s="159" t="s">
        <v>170</v>
      </c>
      <c r="B331" t="s">
        <v>2</v>
      </c>
      <c r="C331" s="160">
        <v>5</v>
      </c>
      <c r="D331" t="str">
        <f>VLOOKUP(A331,DataUsuario!B:D,2,FALSE)</f>
        <v>Operaciones</v>
      </c>
      <c r="E331" t="str">
        <f>VLOOKUP(A331,DataUsuario!B:D,3,FALSE)</f>
        <v>Mantenimiento CAT</v>
      </c>
      <c r="F331" t="s">
        <v>70</v>
      </c>
    </row>
    <row r="332" spans="1:6" x14ac:dyDescent="0.3">
      <c r="A332" s="156" t="s">
        <v>200</v>
      </c>
      <c r="B332" t="s">
        <v>2</v>
      </c>
      <c r="C332" s="157">
        <v>5</v>
      </c>
      <c r="D332" t="str">
        <f>VLOOKUP(A332,DataUsuario!B:D,2,FALSE)</f>
        <v>Industrial y de Mantenimiento</v>
      </c>
      <c r="E332" t="str">
        <f>VLOOKUP(A332,DataUsuario!B:D,3,FALSE)</f>
        <v>Electricidad</v>
      </c>
      <c r="F332" t="s">
        <v>74</v>
      </c>
    </row>
    <row r="333" spans="1:6" x14ac:dyDescent="0.3">
      <c r="A333" s="159" t="s">
        <v>341</v>
      </c>
      <c r="B333" t="s">
        <v>2</v>
      </c>
      <c r="C333" s="160">
        <v>5</v>
      </c>
      <c r="D333" t="str">
        <f>VLOOKUP(A333,DataUsuario!B:D,2,FALSE)</f>
        <v>Administración y Finanzas</v>
      </c>
      <c r="E333" t="str">
        <f>VLOOKUP(A333,DataUsuario!B:D,3,FALSE)</f>
        <v>Contabilidad Tributaria</v>
      </c>
      <c r="F333" t="s">
        <v>66</v>
      </c>
    </row>
    <row r="334" spans="1:6" x14ac:dyDescent="0.3">
      <c r="A334" s="156" t="s">
        <v>643</v>
      </c>
      <c r="B334" t="s">
        <v>2</v>
      </c>
      <c r="C334" s="157">
        <v>5</v>
      </c>
      <c r="D334" t="str">
        <f>VLOOKUP(A334,DataUsuario!B:D,2,FALSE)</f>
        <v>Gestión Humana y Sostenibilidad</v>
      </c>
      <c r="E334" t="str">
        <f>VLOOKUP(A334,DataUsuario!B:D,3,FALSE)</f>
        <v>Gestor de Recursos Humanos</v>
      </c>
      <c r="F334" t="s">
        <v>62</v>
      </c>
    </row>
    <row r="335" spans="1:6" x14ac:dyDescent="0.3">
      <c r="A335" s="159" t="s">
        <v>217</v>
      </c>
      <c r="B335" t="s">
        <v>2</v>
      </c>
      <c r="C335" s="160">
        <v>4</v>
      </c>
      <c r="D335" t="str">
        <f>VLOOKUP(A335,DataUsuario!B:D,2,FALSE)</f>
        <v>Agrícola</v>
      </c>
      <c r="E335" t="str">
        <f>VLOOKUP(A335,DataUsuario!B:D,3,FALSE)</f>
        <v>Mantenimiento de Riego y Bombas</v>
      </c>
      <c r="F335" t="s">
        <v>89</v>
      </c>
    </row>
    <row r="336" spans="1:6" x14ac:dyDescent="0.3">
      <c r="A336" s="156" t="s">
        <v>267</v>
      </c>
      <c r="B336" t="s">
        <v>2</v>
      </c>
      <c r="C336" s="157">
        <v>5</v>
      </c>
      <c r="D336" t="str">
        <f>VLOOKUP(A336,DataUsuario!B:D,2,FALSE)</f>
        <v>Gestión Humana y Sostenibilidad</v>
      </c>
      <c r="E336" t="str">
        <f>VLOOKUP(A336,DataUsuario!B:D,3,FALSE)</f>
        <v>Sostenibilidad</v>
      </c>
      <c r="F336" t="s">
        <v>62</v>
      </c>
    </row>
    <row r="337" spans="1:6" x14ac:dyDescent="0.3">
      <c r="A337" s="159" t="s">
        <v>347</v>
      </c>
      <c r="B337" t="s">
        <v>2</v>
      </c>
      <c r="C337" s="160">
        <v>5</v>
      </c>
      <c r="D337" t="str">
        <f>VLOOKUP(A337,DataUsuario!B:D,2,FALSE)</f>
        <v>Operaciones</v>
      </c>
      <c r="E337" t="str">
        <f>VLOOKUP(A337,DataUsuario!B:D,3,FALSE)</f>
        <v>Almacenes y Distribución PT</v>
      </c>
      <c r="F337" t="s">
        <v>70</v>
      </c>
    </row>
    <row r="338" spans="1:6" x14ac:dyDescent="0.3">
      <c r="A338" s="156" t="s">
        <v>102</v>
      </c>
      <c r="B338" t="s">
        <v>2</v>
      </c>
      <c r="C338" s="157">
        <v>5</v>
      </c>
      <c r="D338" t="str">
        <f>VLOOKUP(A338,DataUsuario!B:D,2,FALSE)</f>
        <v>Operaciones</v>
      </c>
      <c r="E338" t="str">
        <f>VLOOKUP(A338,DataUsuario!B:D,3,FALSE)</f>
        <v>Almacenes y Distribución PT</v>
      </c>
      <c r="F338" t="s">
        <v>70</v>
      </c>
    </row>
    <row r="339" spans="1:6" x14ac:dyDescent="0.3">
      <c r="A339" s="159" t="s">
        <v>249</v>
      </c>
      <c r="B339" t="s">
        <v>2</v>
      </c>
      <c r="C339" s="160">
        <v>5</v>
      </c>
      <c r="D339" t="str">
        <f>VLOOKUP(A339,DataUsuario!B:D,2,FALSE)</f>
        <v>Administración y Finanzas</v>
      </c>
      <c r="E339" t="str">
        <f>VLOOKUP(A339,DataUsuario!B:D,3,FALSE)</f>
        <v>Compras</v>
      </c>
      <c r="F339" t="s">
        <v>66</v>
      </c>
    </row>
    <row r="340" spans="1:6" x14ac:dyDescent="0.3">
      <c r="A340" s="156" t="s">
        <v>409</v>
      </c>
      <c r="B340" t="s">
        <v>2</v>
      </c>
      <c r="C340" s="157">
        <v>4</v>
      </c>
      <c r="D340" t="str">
        <f>VLOOKUP(A340,DataUsuario!B:D,2,FALSE)</f>
        <v>Agrícola</v>
      </c>
      <c r="E340" t="str">
        <f>VLOOKUP(A340,DataUsuario!B:D,3,FALSE)</f>
        <v>Fundo Lobo</v>
      </c>
      <c r="F340" t="s">
        <v>89</v>
      </c>
    </row>
    <row r="341" spans="1:6" x14ac:dyDescent="0.3">
      <c r="A341" s="159" t="s">
        <v>136</v>
      </c>
      <c r="B341" t="s">
        <v>2</v>
      </c>
      <c r="C341" s="160">
        <v>5</v>
      </c>
      <c r="D341" t="str">
        <f>VLOOKUP(A341,DataUsuario!B:D,2,FALSE)</f>
        <v>Operaciones</v>
      </c>
      <c r="E341" t="str">
        <f>VLOOKUP(A341,DataUsuario!B:D,3,FALSE)</f>
        <v>Comercial</v>
      </c>
      <c r="F341" t="s">
        <v>70</v>
      </c>
    </row>
    <row r="342" spans="1:6" x14ac:dyDescent="0.3">
      <c r="A342" s="156" t="s">
        <v>649</v>
      </c>
      <c r="B342" t="s">
        <v>2</v>
      </c>
      <c r="C342" s="157">
        <v>4</v>
      </c>
      <c r="D342" t="str">
        <f>VLOOKUP(A342,DataUsuario!B:D,2,FALSE)</f>
        <v>Gestión Humana y Sostenibilidad</v>
      </c>
      <c r="E342" t="str">
        <f>VLOOKUP(A342,DataUsuario!B:D,3,FALSE)</f>
        <v>Control Presupuestal</v>
      </c>
      <c r="F342" t="s">
        <v>62</v>
      </c>
    </row>
    <row r="343" spans="1:6" x14ac:dyDescent="0.3">
      <c r="A343" s="159" t="s">
        <v>651</v>
      </c>
      <c r="B343" t="s">
        <v>2</v>
      </c>
      <c r="C343" s="160">
        <v>4</v>
      </c>
      <c r="D343" t="str">
        <f>VLOOKUP(A343,DataUsuario!B:D,2,FALSE)</f>
        <v>Operaciones</v>
      </c>
      <c r="E343" t="str">
        <f>VLOOKUP(A343,DataUsuario!B:D,3,FALSE)</f>
        <v>Almacenes y Distribución PT</v>
      </c>
      <c r="F343" t="s">
        <v>70</v>
      </c>
    </row>
    <row r="344" spans="1:6" x14ac:dyDescent="0.3">
      <c r="A344" s="156" t="s">
        <v>320</v>
      </c>
      <c r="B344" t="s">
        <v>2</v>
      </c>
      <c r="C344" s="157">
        <v>5</v>
      </c>
      <c r="D344" t="str">
        <f>VLOOKUP(A344,DataUsuario!B:D,2,FALSE)</f>
        <v>Gestión Humana y Sostenibilidad</v>
      </c>
      <c r="E344" t="str">
        <f>VLOOKUP(A344,DataUsuario!B:D,3,FALSE)</f>
        <v>Sostenibilidad</v>
      </c>
      <c r="F344" t="s">
        <v>62</v>
      </c>
    </row>
    <row r="345" spans="1:6" x14ac:dyDescent="0.3">
      <c r="A345" s="159" t="s">
        <v>230</v>
      </c>
      <c r="B345" t="s">
        <v>2</v>
      </c>
      <c r="C345" s="160">
        <v>4</v>
      </c>
      <c r="D345" t="str">
        <f>VLOOKUP(A345,DataUsuario!B:D,2,FALSE)</f>
        <v>Agrícola</v>
      </c>
      <c r="E345" t="str">
        <f>VLOOKUP(A345,DataUsuario!B:D,3,FALSE)</f>
        <v>Fundo Lobo</v>
      </c>
      <c r="F345" t="s">
        <v>89</v>
      </c>
    </row>
    <row r="346" spans="1:6" x14ac:dyDescent="0.3">
      <c r="A346" s="156" t="s">
        <v>314</v>
      </c>
      <c r="B346" t="s">
        <v>2</v>
      </c>
      <c r="C346" s="157">
        <v>4</v>
      </c>
      <c r="D346" t="str">
        <f>VLOOKUP(A346,DataUsuario!B:D,2,FALSE)</f>
        <v>Industrial y de Mantenimiento</v>
      </c>
      <c r="E346" t="str">
        <f>VLOOKUP(A346,DataUsuario!B:D,3,FALSE)</f>
        <v>Mantenimiento Industrial</v>
      </c>
      <c r="F346" t="s">
        <v>74</v>
      </c>
    </row>
    <row r="347" spans="1:6" x14ac:dyDescent="0.3">
      <c r="A347" s="159" t="s">
        <v>99</v>
      </c>
      <c r="B347" t="s">
        <v>2</v>
      </c>
      <c r="C347" s="160">
        <v>5</v>
      </c>
      <c r="D347" t="str">
        <f>VLOOKUP(A347,DataUsuario!B:D,2,FALSE)</f>
        <v>Gestión Humana y Sostenibilidad</v>
      </c>
      <c r="E347" t="str">
        <f>VLOOKUP(A347,DataUsuario!B:D,3,FALSE)</f>
        <v>Gestor de Recursos Humanos</v>
      </c>
      <c r="F347" t="s">
        <v>62</v>
      </c>
    </row>
    <row r="348" spans="1:6" x14ac:dyDescent="0.3">
      <c r="A348" s="156" t="s">
        <v>391</v>
      </c>
      <c r="B348" t="s">
        <v>2</v>
      </c>
      <c r="C348" s="157">
        <v>5</v>
      </c>
      <c r="D348" t="str">
        <f>VLOOKUP(A348,DataUsuario!B:D,2,FALSE)</f>
        <v>Administración y Finanzas</v>
      </c>
      <c r="E348" t="str">
        <f>VLOOKUP(A348,DataUsuario!B:D,3,FALSE)</f>
        <v>Finanzas y Tesorería</v>
      </c>
      <c r="F348" t="s">
        <v>66</v>
      </c>
    </row>
    <row r="349" spans="1:6" x14ac:dyDescent="0.3">
      <c r="A349" s="159" t="s">
        <v>372</v>
      </c>
      <c r="B349" t="s">
        <v>2</v>
      </c>
      <c r="C349" s="160">
        <v>5</v>
      </c>
      <c r="D349" t="str">
        <f>VLOOKUP(A349,DataUsuario!B:D,2,FALSE)</f>
        <v>Agrícola</v>
      </c>
      <c r="E349" t="str">
        <f>VLOOKUP(A349,DataUsuario!B:D,3,FALSE)</f>
        <v>Laboratorio e Investigación Agricola</v>
      </c>
      <c r="F349" t="s">
        <v>89</v>
      </c>
    </row>
    <row r="350" spans="1:6" x14ac:dyDescent="0.3">
      <c r="A350" s="156" t="s">
        <v>156</v>
      </c>
      <c r="B350" t="s">
        <v>2</v>
      </c>
      <c r="C350" s="157">
        <v>5</v>
      </c>
      <c r="D350" t="str">
        <f>VLOOKUP(A350,DataUsuario!B:D,2,FALSE)</f>
        <v>Administración y Finanzas</v>
      </c>
      <c r="E350" t="str">
        <f>VLOOKUP(A350,DataUsuario!B:D,3,FALSE)</f>
        <v>Compras</v>
      </c>
      <c r="F350" t="s">
        <v>66</v>
      </c>
    </row>
    <row r="351" spans="1:6" x14ac:dyDescent="0.3">
      <c r="A351" s="159" t="s">
        <v>258</v>
      </c>
      <c r="B351" t="s">
        <v>2</v>
      </c>
      <c r="C351" s="160">
        <v>4</v>
      </c>
      <c r="D351" t="str">
        <f>VLOOKUP(A351,DataUsuario!B:D,2,FALSE)</f>
        <v>Operaciones</v>
      </c>
      <c r="E351" t="str">
        <f>VLOOKUP(A351,DataUsuario!B:D,3,FALSE)</f>
        <v>Calidad</v>
      </c>
      <c r="F351" t="s">
        <v>70</v>
      </c>
    </row>
    <row r="352" spans="1:6" x14ac:dyDescent="0.3">
      <c r="A352" s="156" t="s">
        <v>61</v>
      </c>
      <c r="B352" t="s">
        <v>2</v>
      </c>
      <c r="C352" s="157">
        <v>4</v>
      </c>
      <c r="D352" t="str">
        <f>VLOOKUP(A352,DataUsuario!B:D,2,FALSE)</f>
        <v>Gestión Humana y Sostenibilidad</v>
      </c>
      <c r="E352" t="str">
        <f>VLOOKUP(A352,DataUsuario!B:D,3,FALSE)</f>
        <v>Compensación y Nóminas</v>
      </c>
      <c r="F352" t="s">
        <v>62</v>
      </c>
    </row>
    <row r="353" spans="1:6" x14ac:dyDescent="0.3">
      <c r="A353" s="159" t="s">
        <v>289</v>
      </c>
      <c r="B353" t="s">
        <v>2</v>
      </c>
      <c r="C353" s="160">
        <v>4</v>
      </c>
      <c r="D353" t="str">
        <f>VLOOKUP(A353,DataUsuario!B:D,2,FALSE)</f>
        <v>Agrícola</v>
      </c>
      <c r="E353" t="str">
        <f>VLOOKUP(A353,DataUsuario!B:D,3,FALSE)</f>
        <v>Mantenimiento de Riego y Bombas</v>
      </c>
      <c r="F353" t="s">
        <v>89</v>
      </c>
    </row>
    <row r="354" spans="1:6" x14ac:dyDescent="0.3">
      <c r="A354" s="156" t="s">
        <v>158</v>
      </c>
      <c r="B354" t="s">
        <v>2</v>
      </c>
      <c r="C354" s="157">
        <v>5</v>
      </c>
      <c r="D354" t="str">
        <f>VLOOKUP(A354,DataUsuario!B:D,2,FALSE)</f>
        <v>Operaciones</v>
      </c>
      <c r="E354" t="str">
        <f>VLOOKUP(A354,DataUsuario!B:D,3,FALSE)</f>
        <v>Calidad</v>
      </c>
      <c r="F354" t="s">
        <v>70</v>
      </c>
    </row>
    <row r="355" spans="1:6" x14ac:dyDescent="0.3">
      <c r="A355" s="159" t="s">
        <v>251</v>
      </c>
      <c r="B355" t="s">
        <v>2</v>
      </c>
      <c r="C355" s="160">
        <v>3</v>
      </c>
      <c r="D355" t="str">
        <f>VLOOKUP(A355,DataUsuario!B:D,2,FALSE)</f>
        <v>Industrial y de Mantenimiento</v>
      </c>
      <c r="E355" t="str">
        <f>VLOOKUP(A355,DataUsuario!B:D,3,FALSE)</f>
        <v>Automatización</v>
      </c>
      <c r="F355" t="s">
        <v>74</v>
      </c>
    </row>
    <row r="356" spans="1:6" x14ac:dyDescent="0.3">
      <c r="A356" s="156" t="s">
        <v>653</v>
      </c>
      <c r="B356" t="s">
        <v>2</v>
      </c>
      <c r="C356" s="157">
        <v>5</v>
      </c>
      <c r="D356" t="str">
        <f>VLOOKUP(A356,DataUsuario!B:D,2,FALSE)</f>
        <v>Industrial y de Mantenimiento</v>
      </c>
      <c r="E356" t="str">
        <f>VLOOKUP(A356,DataUsuario!B:D,3,FALSE)</f>
        <v>Mantenimiento Industrial</v>
      </c>
      <c r="F356" t="s">
        <v>74</v>
      </c>
    </row>
    <row r="357" spans="1:6" x14ac:dyDescent="0.3">
      <c r="A357" s="159" t="s">
        <v>279</v>
      </c>
      <c r="B357" t="s">
        <v>2</v>
      </c>
      <c r="C357" s="160">
        <v>4</v>
      </c>
      <c r="D357" t="str">
        <f>VLOOKUP(A357,DataUsuario!B:D,2,FALSE)</f>
        <v>Operaciones</v>
      </c>
      <c r="E357" t="str">
        <f>VLOOKUP(A357,DataUsuario!B:D,3,FALSE)</f>
        <v>Transporte</v>
      </c>
      <c r="F357" t="s">
        <v>70</v>
      </c>
    </row>
    <row r="358" spans="1:6" x14ac:dyDescent="0.3">
      <c r="A358" s="156" t="s">
        <v>655</v>
      </c>
      <c r="B358" t="s">
        <v>2</v>
      </c>
      <c r="C358" s="157">
        <v>5</v>
      </c>
      <c r="D358" t="str">
        <f>VLOOKUP(A358,DataUsuario!B:D,2,FALSE)</f>
        <v>Operaciones</v>
      </c>
      <c r="E358" t="str">
        <f>VLOOKUP(A358,DataUsuario!B:D,3,FALSE)</f>
        <v>Almacenes y Distribución PT</v>
      </c>
      <c r="F358" t="s">
        <v>70</v>
      </c>
    </row>
    <row r="359" spans="1:6" x14ac:dyDescent="0.3">
      <c r="A359" s="159" t="s">
        <v>202</v>
      </c>
      <c r="B359" t="s">
        <v>2</v>
      </c>
      <c r="C359" s="160" t="s">
        <v>666</v>
      </c>
      <c r="D359" t="str">
        <f>VLOOKUP(A359,DataUsuario!B:D,2,FALSE)</f>
        <v>Agrícola</v>
      </c>
      <c r="E359" t="str">
        <f>VLOOKUP(A359,DataUsuario!B:D,3,FALSE)</f>
        <v>Fundo La Huaca</v>
      </c>
      <c r="F359" t="s">
        <v>89</v>
      </c>
    </row>
    <row r="360" spans="1:6" x14ac:dyDescent="0.3">
      <c r="A360" s="156" t="s">
        <v>154</v>
      </c>
      <c r="B360" t="s">
        <v>2</v>
      </c>
      <c r="C360" s="157">
        <v>4</v>
      </c>
      <c r="D360" t="str">
        <f>VLOOKUP(A360,DataUsuario!B:D,2,FALSE)</f>
        <v>Industrial y de Mantenimiento</v>
      </c>
      <c r="E360" t="str">
        <f>VLOOKUP(A360,DataUsuario!B:D,3,FALSE)</f>
        <v>Mantenimiento Industrial</v>
      </c>
      <c r="F360" t="s">
        <v>74</v>
      </c>
    </row>
    <row r="361" spans="1:6" x14ac:dyDescent="0.3">
      <c r="A361" s="159" t="s">
        <v>332</v>
      </c>
      <c r="B361" t="s">
        <v>2</v>
      </c>
      <c r="C361" s="160">
        <v>4</v>
      </c>
      <c r="D361" t="str">
        <f>VLOOKUP(A361,DataUsuario!B:D,2,FALSE)</f>
        <v>Agrícola</v>
      </c>
      <c r="E361" t="str">
        <f>VLOOKUP(A361,DataUsuario!B:D,3,FALSE)</f>
        <v>Gerencia Agrícola</v>
      </c>
      <c r="F361" t="s">
        <v>89</v>
      </c>
    </row>
    <row r="362" spans="1:6" x14ac:dyDescent="0.3">
      <c r="A362" s="156" t="s">
        <v>359</v>
      </c>
      <c r="B362" t="s">
        <v>2</v>
      </c>
      <c r="C362" s="157">
        <v>4</v>
      </c>
      <c r="D362" t="str">
        <f>VLOOKUP(A362,DataUsuario!B:D,2,FALSE)</f>
        <v>Operaciones</v>
      </c>
      <c r="E362" t="str">
        <f>VLOOKUP(A362,DataUsuario!B:D,3,FALSE)</f>
        <v>Gerencia de Operaciones</v>
      </c>
      <c r="F362" t="s">
        <v>70</v>
      </c>
    </row>
    <row r="363" spans="1:6" x14ac:dyDescent="0.3">
      <c r="A363" s="159" t="s">
        <v>172</v>
      </c>
      <c r="B363" t="s">
        <v>2</v>
      </c>
      <c r="C363" s="160">
        <v>3</v>
      </c>
      <c r="D363" t="str">
        <f>VLOOKUP(A363,DataUsuario!B:D,2,FALSE)</f>
        <v>Gestión Humana y Sostenibilidad</v>
      </c>
      <c r="E363" t="str">
        <f>VLOOKUP(A363,DataUsuario!B:D,3,FALSE)</f>
        <v>Gestor de Recursos Humanos</v>
      </c>
      <c r="F363" t="s">
        <v>62</v>
      </c>
    </row>
    <row r="364" spans="1:6" x14ac:dyDescent="0.3">
      <c r="A364" s="156" t="s">
        <v>260</v>
      </c>
      <c r="B364" t="s">
        <v>2</v>
      </c>
      <c r="C364" s="157">
        <v>3</v>
      </c>
      <c r="D364" t="str">
        <f>VLOOKUP(A364,DataUsuario!B:D,2,FALSE)</f>
        <v>Industrial y de Mantenimiento</v>
      </c>
      <c r="E364" t="str">
        <f>VLOOKUP(A364,DataUsuario!B:D,3,FALSE)</f>
        <v>Producción</v>
      </c>
      <c r="F364" t="s">
        <v>74</v>
      </c>
    </row>
    <row r="365" spans="1:6" x14ac:dyDescent="0.3">
      <c r="A365" s="159" t="s">
        <v>242</v>
      </c>
      <c r="B365" t="s">
        <v>2</v>
      </c>
      <c r="C365" s="160">
        <v>4</v>
      </c>
      <c r="D365" t="str">
        <f>VLOOKUP(A365,DataUsuario!B:D,2,FALSE)</f>
        <v>Agrícola</v>
      </c>
      <c r="E365" t="str">
        <f>VLOOKUP(A365,DataUsuario!B:D,3,FALSE)</f>
        <v>Fundo Montelima</v>
      </c>
      <c r="F365" t="s">
        <v>89</v>
      </c>
    </row>
    <row r="366" spans="1:6" x14ac:dyDescent="0.3">
      <c r="A366" s="156" t="s">
        <v>661</v>
      </c>
      <c r="B366" t="s">
        <v>2</v>
      </c>
      <c r="C366" s="157">
        <v>4</v>
      </c>
      <c r="D366" t="str">
        <f>VLOOKUP(A366,DataUsuario!B:D,2,FALSE)</f>
        <v>Gestión Humana y Sostenibilidad</v>
      </c>
      <c r="E366" t="str">
        <f>VLOOKUP(A366,DataUsuario!B:D,3,FALSE)</f>
        <v>Gestión Humana</v>
      </c>
      <c r="F366" t="s">
        <v>62</v>
      </c>
    </row>
    <row r="367" spans="1:6" x14ac:dyDescent="0.3">
      <c r="A367" s="159" t="s">
        <v>138</v>
      </c>
      <c r="B367" t="s">
        <v>2</v>
      </c>
      <c r="C367" s="160">
        <v>3</v>
      </c>
      <c r="D367" t="str">
        <f>VLOOKUP(A367,DataUsuario!B:D,2,FALSE)</f>
        <v>Gestión Humana y Sostenibilidad</v>
      </c>
      <c r="E367" t="str">
        <f>VLOOKUP(A367,DataUsuario!B:D,3,FALSE)</f>
        <v>Gestion del Talento</v>
      </c>
      <c r="F367" t="s">
        <v>62</v>
      </c>
    </row>
    <row r="368" spans="1:6" x14ac:dyDescent="0.3">
      <c r="A368" s="156" t="s">
        <v>662</v>
      </c>
      <c r="B368" t="s">
        <v>2</v>
      </c>
      <c r="C368" s="157">
        <v>5</v>
      </c>
      <c r="D368" t="str">
        <f>VLOOKUP(A368,DataUsuario!B:D,2,FALSE)</f>
        <v>Gestión Humana y Sostenibilidad</v>
      </c>
      <c r="E368" t="str">
        <f>VLOOKUP(A368,DataUsuario!B:D,3,FALSE)</f>
        <v>Relaciones Laborales</v>
      </c>
      <c r="F368" t="s">
        <v>62</v>
      </c>
    </row>
    <row r="369" spans="1:6" x14ac:dyDescent="0.3">
      <c r="A369" s="159" t="s">
        <v>663</v>
      </c>
      <c r="B369" t="s">
        <v>2</v>
      </c>
      <c r="C369" s="160">
        <v>5</v>
      </c>
      <c r="D369" t="str">
        <f>VLOOKUP(A369,DataUsuario!B:D,2,FALSE)</f>
        <v>Administración y Finanzas</v>
      </c>
      <c r="E369" t="str">
        <f>VLOOKUP(A369,DataUsuario!B:D,3,FALSE)</f>
        <v>Contabilidad Tributaria</v>
      </c>
      <c r="F369" t="s">
        <v>66</v>
      </c>
    </row>
    <row r="370" spans="1:6" x14ac:dyDescent="0.3">
      <c r="A370" s="156" t="s">
        <v>247</v>
      </c>
      <c r="B370" t="s">
        <v>2</v>
      </c>
      <c r="C370" s="157">
        <v>4</v>
      </c>
      <c r="D370" t="str">
        <f>VLOOKUP(A370,DataUsuario!B:D,2,FALSE)</f>
        <v>Industrial y de Mantenimiento</v>
      </c>
      <c r="E370" t="str">
        <f>VLOOKUP(A370,DataUsuario!B:D,3,FALSE)</f>
        <v>Mantenimiento Industrial</v>
      </c>
      <c r="F370" t="s">
        <v>74</v>
      </c>
    </row>
    <row r="371" spans="1:6" x14ac:dyDescent="0.3">
      <c r="A371" s="159" t="s">
        <v>271</v>
      </c>
      <c r="B371" t="s">
        <v>2</v>
      </c>
      <c r="C371" s="160">
        <v>5</v>
      </c>
      <c r="D371" t="str">
        <f>VLOOKUP(A371,DataUsuario!B:D,2,FALSE)</f>
        <v>Operaciones</v>
      </c>
      <c r="E371" t="str">
        <f>VLOOKUP(A371,DataUsuario!B:D,3,FALSE)</f>
        <v>Calidad</v>
      </c>
      <c r="F371" t="s">
        <v>70</v>
      </c>
    </row>
    <row r="372" spans="1:6" x14ac:dyDescent="0.3">
      <c r="A372" s="156" t="s">
        <v>291</v>
      </c>
      <c r="B372" t="s">
        <v>2</v>
      </c>
      <c r="C372" s="157">
        <v>4</v>
      </c>
      <c r="D372" t="str">
        <f>VLOOKUP(A372,DataUsuario!B:D,2,FALSE)</f>
        <v>Gestión Humana y Sostenibilidad</v>
      </c>
      <c r="E372" t="str">
        <f>VLOOKUP(A372,DataUsuario!B:D,3,FALSE)</f>
        <v>Gerencia Gestión Humana y Sostenibilidad</v>
      </c>
      <c r="F372" t="s">
        <v>62</v>
      </c>
    </row>
    <row r="373" spans="1:6" x14ac:dyDescent="0.3">
      <c r="A373" s="159" t="s">
        <v>80</v>
      </c>
      <c r="B373" t="s">
        <v>2</v>
      </c>
      <c r="C373" s="160">
        <v>4</v>
      </c>
      <c r="D373" t="str">
        <f>VLOOKUP(A373,DataUsuario!B:D,2,FALSE)</f>
        <v>Administración y Finanzas</v>
      </c>
      <c r="E373" t="str">
        <f>VLOOKUP(A373,DataUsuario!B:D,3,FALSE)</f>
        <v>Compras</v>
      </c>
      <c r="F373" t="s">
        <v>66</v>
      </c>
    </row>
    <row r="374" spans="1:6" x14ac:dyDescent="0.3">
      <c r="A374" s="156" t="s">
        <v>88</v>
      </c>
      <c r="B374" t="s">
        <v>2</v>
      </c>
      <c r="C374" s="157">
        <v>5</v>
      </c>
      <c r="D374" t="str">
        <f>VLOOKUP(A374,DataUsuario!B:D,2,FALSE)</f>
        <v>Agrícola</v>
      </c>
      <c r="E374" t="str">
        <f>VLOOKUP(A374,DataUsuario!B:D,3,FALSE)</f>
        <v>Fundo Lobo</v>
      </c>
      <c r="F374" t="s">
        <v>89</v>
      </c>
    </row>
    <row r="375" spans="1:6" x14ac:dyDescent="0.3">
      <c r="A375" s="159" t="s">
        <v>143</v>
      </c>
      <c r="B375" t="s">
        <v>2</v>
      </c>
      <c r="C375" s="160">
        <v>5</v>
      </c>
      <c r="D375" t="str">
        <f>VLOOKUP(A375,DataUsuario!B:D,2,FALSE)</f>
        <v>Operaciones</v>
      </c>
      <c r="E375" t="str">
        <f>VLOOKUP(A375,DataUsuario!B:D,3,FALSE)</f>
        <v>Transporte</v>
      </c>
      <c r="F375" t="s">
        <v>70</v>
      </c>
    </row>
    <row r="376" spans="1:6" x14ac:dyDescent="0.3">
      <c r="A376" s="162" t="s">
        <v>123</v>
      </c>
      <c r="B376" t="s">
        <v>2</v>
      </c>
      <c r="C376" s="163">
        <v>4</v>
      </c>
      <c r="D376" t="str">
        <f>VLOOKUP(A376,DataUsuario!B:D,2,FALSE)</f>
        <v>Administración y Finanzas</v>
      </c>
      <c r="E376" t="str">
        <f>VLOOKUP(A376,DataUsuario!B:D,3,FALSE)</f>
        <v>Gerencia Administración y Finanzas</v>
      </c>
      <c r="F376" t="s">
        <v>66</v>
      </c>
    </row>
    <row r="377" spans="1:6" x14ac:dyDescent="0.3">
      <c r="A377" s="156" t="s">
        <v>133</v>
      </c>
      <c r="B377" t="s">
        <v>3</v>
      </c>
      <c r="C377" s="157">
        <v>5</v>
      </c>
      <c r="D377" t="str">
        <f>VLOOKUP(A377,DataUsuario!B:D,2,FALSE)</f>
        <v>Industrial y de Mantenimiento</v>
      </c>
      <c r="E377" t="str">
        <f>VLOOKUP(A377,DataUsuario!B:D,3,FALSE)</f>
        <v>Electricidad</v>
      </c>
      <c r="F377" t="s">
        <v>74</v>
      </c>
    </row>
    <row r="378" spans="1:6" x14ac:dyDescent="0.3">
      <c r="A378" s="159" t="s">
        <v>397</v>
      </c>
      <c r="B378" t="s">
        <v>3</v>
      </c>
      <c r="C378" s="160">
        <v>4</v>
      </c>
      <c r="D378" t="str">
        <f>VLOOKUP(A378,DataUsuario!B:D,2,FALSE)</f>
        <v>Administración y Finanzas</v>
      </c>
      <c r="E378" t="str">
        <f>VLOOKUP(A378,DataUsuario!B:D,3,FALSE)</f>
        <v>Control de Gestión</v>
      </c>
      <c r="F378" t="s">
        <v>66</v>
      </c>
    </row>
    <row r="379" spans="1:6" x14ac:dyDescent="0.3">
      <c r="A379" s="156" t="s">
        <v>92</v>
      </c>
      <c r="B379" t="s">
        <v>3</v>
      </c>
      <c r="C379" s="157">
        <v>5</v>
      </c>
      <c r="D379" t="str">
        <f>VLOOKUP(A379,DataUsuario!B:D,2,FALSE)</f>
        <v>Administración y Finanzas</v>
      </c>
      <c r="E379" t="str">
        <f>VLOOKUP(A379,DataUsuario!B:D,3,FALSE)</f>
        <v>Control de Gestión</v>
      </c>
      <c r="F379" t="s">
        <v>66</v>
      </c>
    </row>
    <row r="380" spans="1:6" x14ac:dyDescent="0.3">
      <c r="A380" s="159" t="s">
        <v>213</v>
      </c>
      <c r="B380" t="s">
        <v>3</v>
      </c>
      <c r="C380" s="160">
        <v>4</v>
      </c>
      <c r="D380" t="str">
        <f>VLOOKUP(A380,DataUsuario!B:D,2,FALSE)</f>
        <v>Gestión Humana y Sostenibilidad</v>
      </c>
      <c r="E380" t="str">
        <f>VLOOKUP(A380,DataUsuario!B:D,3,FALSE)</f>
        <v>Seguridad</v>
      </c>
      <c r="F380" t="s">
        <v>62</v>
      </c>
    </row>
    <row r="381" spans="1:6" x14ac:dyDescent="0.3">
      <c r="A381" s="156" t="s">
        <v>520</v>
      </c>
      <c r="B381" t="s">
        <v>3</v>
      </c>
      <c r="C381" s="157">
        <v>5</v>
      </c>
      <c r="D381" t="str">
        <f>VLOOKUP(A381,DataUsuario!B:D,2,FALSE)</f>
        <v>Administración y Finanzas</v>
      </c>
      <c r="E381" t="str">
        <f>VLOOKUP(A381,DataUsuario!B:D,3,FALSE)</f>
        <v>Contabilidad Tributaria</v>
      </c>
      <c r="F381" t="s">
        <v>66</v>
      </c>
    </row>
    <row r="382" spans="1:6" x14ac:dyDescent="0.3">
      <c r="A382" s="159" t="s">
        <v>145</v>
      </c>
      <c r="B382" t="s">
        <v>3</v>
      </c>
      <c r="C382" s="160" t="s">
        <v>666</v>
      </c>
      <c r="D382" t="str">
        <f>VLOOKUP(A382,DataUsuario!B:D,2,FALSE)</f>
        <v>Administración y Finanzas</v>
      </c>
      <c r="E382" t="str">
        <f>VLOOKUP(A382,DataUsuario!B:D,3,FALSE)</f>
        <v>Legal</v>
      </c>
      <c r="F382" t="s">
        <v>66</v>
      </c>
    </row>
    <row r="383" spans="1:6" x14ac:dyDescent="0.3">
      <c r="A383" s="156" t="s">
        <v>207</v>
      </c>
      <c r="B383" t="s">
        <v>3</v>
      </c>
      <c r="C383" s="157">
        <v>5</v>
      </c>
      <c r="D383" t="str">
        <f>VLOOKUP(A383,DataUsuario!B:D,2,FALSE)</f>
        <v>Administración y Finanzas</v>
      </c>
      <c r="E383" t="str">
        <f>VLOOKUP(A383,DataUsuario!B:D,3,FALSE)</f>
        <v>Riesgos y Cumplimiento</v>
      </c>
      <c r="F383" t="s">
        <v>66</v>
      </c>
    </row>
    <row r="384" spans="1:6" x14ac:dyDescent="0.3">
      <c r="A384" s="159" t="s">
        <v>115</v>
      </c>
      <c r="B384" t="s">
        <v>3</v>
      </c>
      <c r="C384" s="160">
        <v>4</v>
      </c>
      <c r="D384" t="str">
        <f>VLOOKUP(A384,DataUsuario!B:D,2,FALSE)</f>
        <v>Industrial y de Mantenimiento</v>
      </c>
      <c r="E384" t="str">
        <f>VLOOKUP(A384,DataUsuario!B:D,3,FALSE)</f>
        <v>Mantenimiento de Transportes</v>
      </c>
      <c r="F384" t="s">
        <v>74</v>
      </c>
    </row>
    <row r="385" spans="1:6" x14ac:dyDescent="0.3">
      <c r="A385" s="156" t="s">
        <v>254</v>
      </c>
      <c r="B385" t="s">
        <v>3</v>
      </c>
      <c r="C385" s="157">
        <v>4</v>
      </c>
      <c r="D385" t="str">
        <f>VLOOKUP(A385,DataUsuario!B:D,2,FALSE)</f>
        <v>Administración y Finanzas</v>
      </c>
      <c r="E385" t="str">
        <f>VLOOKUP(A385,DataUsuario!B:D,3,FALSE)</f>
        <v>Administración</v>
      </c>
      <c r="F385" t="s">
        <v>66</v>
      </c>
    </row>
    <row r="386" spans="1:6" x14ac:dyDescent="0.3">
      <c r="A386" s="159" t="s">
        <v>601</v>
      </c>
      <c r="B386" t="s">
        <v>3</v>
      </c>
      <c r="C386" s="160">
        <v>3</v>
      </c>
      <c r="D386" t="str">
        <f>VLOOKUP(A386,DataUsuario!B:D,2,FALSE)</f>
        <v>Operaciones</v>
      </c>
      <c r="E386" t="str">
        <f>VLOOKUP(A386,DataUsuario!B:D,3,FALSE)</f>
        <v>Almacenes y Distribución PT</v>
      </c>
      <c r="F386" t="s">
        <v>70</v>
      </c>
    </row>
    <row r="387" spans="1:6" x14ac:dyDescent="0.3">
      <c r="A387" s="156" t="s">
        <v>285</v>
      </c>
      <c r="B387" t="s">
        <v>3</v>
      </c>
      <c r="C387" s="157" t="s">
        <v>666</v>
      </c>
      <c r="D387" t="str">
        <f>VLOOKUP(A387,DataUsuario!B:D,2,FALSE)</f>
        <v>Operaciones</v>
      </c>
      <c r="E387" t="str">
        <f>VLOOKUP(A387,DataUsuario!B:D,3,FALSE)</f>
        <v>Comercial</v>
      </c>
      <c r="F387" t="s">
        <v>70</v>
      </c>
    </row>
    <row r="388" spans="1:6" x14ac:dyDescent="0.3">
      <c r="A388" s="159" t="s">
        <v>602</v>
      </c>
      <c r="B388" t="s">
        <v>3</v>
      </c>
      <c r="C388" s="160">
        <v>5</v>
      </c>
      <c r="D388" t="str">
        <f>VLOOKUP(A388,DataUsuario!B:D,2,FALSE)</f>
        <v>Operaciones</v>
      </c>
      <c r="E388" t="str">
        <f>VLOOKUP(A388,DataUsuario!B:D,3,FALSE)</f>
        <v>Cosecha</v>
      </c>
      <c r="F388" t="s">
        <v>70</v>
      </c>
    </row>
    <row r="389" spans="1:6" x14ac:dyDescent="0.3">
      <c r="A389" s="156" t="s">
        <v>431</v>
      </c>
      <c r="B389" t="s">
        <v>3</v>
      </c>
      <c r="C389" s="157">
        <v>4</v>
      </c>
      <c r="D389" t="str">
        <f>VLOOKUP(A389,DataUsuario!B:D,2,FALSE)</f>
        <v>Agrícola</v>
      </c>
      <c r="E389" t="str">
        <f>VLOOKUP(A389,DataUsuario!B:D,3,FALSE)</f>
        <v>Fundo San Vicente</v>
      </c>
      <c r="F389" t="s">
        <v>89</v>
      </c>
    </row>
    <row r="390" spans="1:6" x14ac:dyDescent="0.3">
      <c r="A390" s="159" t="s">
        <v>318</v>
      </c>
      <c r="B390" t="s">
        <v>3</v>
      </c>
      <c r="C390" s="160">
        <v>3</v>
      </c>
      <c r="D390" t="str">
        <f>VLOOKUP(A390,DataUsuario!B:D,2,FALSE)</f>
        <v>Operaciones</v>
      </c>
      <c r="E390" t="str">
        <f>VLOOKUP(A390,DataUsuario!B:D,3,FALSE)</f>
        <v>Cosecha</v>
      </c>
      <c r="F390" t="s">
        <v>70</v>
      </c>
    </row>
    <row r="391" spans="1:6" x14ac:dyDescent="0.3">
      <c r="A391" s="156" t="s">
        <v>176</v>
      </c>
      <c r="B391" t="s">
        <v>3</v>
      </c>
      <c r="C391" s="157">
        <v>5</v>
      </c>
      <c r="D391" t="str">
        <f>VLOOKUP(A391,DataUsuario!B:D,2,FALSE)</f>
        <v>Administración y Finanzas</v>
      </c>
      <c r="E391" t="str">
        <f>VLOOKUP(A391,DataUsuario!B:D,3,FALSE)</f>
        <v>Cadenas Productivas</v>
      </c>
      <c r="F391" t="s">
        <v>66</v>
      </c>
    </row>
    <row r="392" spans="1:6" x14ac:dyDescent="0.3">
      <c r="A392" s="159" t="s">
        <v>312</v>
      </c>
      <c r="B392" t="s">
        <v>3</v>
      </c>
      <c r="C392" s="160">
        <v>3</v>
      </c>
      <c r="D392" t="str">
        <f>VLOOKUP(A392,DataUsuario!B:D,2,FALSE)</f>
        <v>Operaciones</v>
      </c>
      <c r="E392" t="str">
        <f>VLOOKUP(A392,DataUsuario!B:D,3,FALSE)</f>
        <v>Calidad</v>
      </c>
      <c r="F392" t="s">
        <v>70</v>
      </c>
    </row>
    <row r="393" spans="1:6" x14ac:dyDescent="0.3">
      <c r="A393" s="156" t="s">
        <v>604</v>
      </c>
      <c r="B393" t="s">
        <v>3</v>
      </c>
      <c r="C393" s="157">
        <v>4</v>
      </c>
      <c r="D393" t="str">
        <f>VLOOKUP(A393,DataUsuario!B:D,2,FALSE)</f>
        <v>Gestión Humana y Sostenibilidad</v>
      </c>
      <c r="E393" t="str">
        <f>VLOOKUP(A393,DataUsuario!B:D,3,FALSE)</f>
        <v>Bienestar - Medico Ocupacional</v>
      </c>
      <c r="F393" t="s">
        <v>62</v>
      </c>
    </row>
    <row r="394" spans="1:6" x14ac:dyDescent="0.3">
      <c r="A394" s="159" t="s">
        <v>97</v>
      </c>
      <c r="B394" t="s">
        <v>3</v>
      </c>
      <c r="C394" s="160">
        <v>5</v>
      </c>
      <c r="D394" t="str">
        <f>VLOOKUP(A394,DataUsuario!B:D,2,FALSE)</f>
        <v>Gestión Humana y Sostenibilidad</v>
      </c>
      <c r="E394" t="str">
        <f>VLOOKUP(A394,DataUsuario!B:D,3,FALSE)</f>
        <v>Compensación y Nóminas</v>
      </c>
      <c r="F394" t="s">
        <v>62</v>
      </c>
    </row>
    <row r="395" spans="1:6" x14ac:dyDescent="0.3">
      <c r="A395" s="156" t="s">
        <v>299</v>
      </c>
      <c r="B395" t="s">
        <v>3</v>
      </c>
      <c r="C395" s="157">
        <v>3</v>
      </c>
      <c r="D395" t="str">
        <f>VLOOKUP(A395,DataUsuario!B:D,2,FALSE)</f>
        <v>Administración y Finanzas</v>
      </c>
      <c r="E395" t="str">
        <f>VLOOKUP(A395,DataUsuario!B:D,3,FALSE)</f>
        <v>Legal</v>
      </c>
      <c r="F395" t="s">
        <v>66</v>
      </c>
    </row>
    <row r="396" spans="1:6" x14ac:dyDescent="0.3">
      <c r="A396" s="159" t="s">
        <v>606</v>
      </c>
      <c r="B396" t="s">
        <v>3</v>
      </c>
      <c r="C396" s="160">
        <v>4</v>
      </c>
      <c r="D396" t="str">
        <f>VLOOKUP(A396,DataUsuario!B:D,2,FALSE)</f>
        <v>Gestión Humana y Sostenibilidad</v>
      </c>
      <c r="E396" t="str">
        <f>VLOOKUP(A396,DataUsuario!B:D,3,FALSE)</f>
        <v>Seguridad</v>
      </c>
      <c r="F396" t="s">
        <v>62</v>
      </c>
    </row>
    <row r="397" spans="1:6" x14ac:dyDescent="0.3">
      <c r="A397" s="156" t="s">
        <v>326</v>
      </c>
      <c r="B397" t="s">
        <v>3</v>
      </c>
      <c r="C397" s="157">
        <v>3</v>
      </c>
      <c r="D397" t="str">
        <f>VLOOKUP(A397,DataUsuario!B:D,2,FALSE)</f>
        <v>Operaciones</v>
      </c>
      <c r="E397" t="str">
        <f>VLOOKUP(A397,DataUsuario!B:D,3,FALSE)</f>
        <v>Calidad</v>
      </c>
      <c r="F397" t="s">
        <v>70</v>
      </c>
    </row>
    <row r="398" spans="1:6" x14ac:dyDescent="0.3">
      <c r="A398" s="159" t="s">
        <v>609</v>
      </c>
      <c r="B398" t="s">
        <v>3</v>
      </c>
      <c r="C398" s="160">
        <v>4</v>
      </c>
      <c r="D398" t="str">
        <f>VLOOKUP(A398,DataUsuario!B:D,2,FALSE)</f>
        <v>Agrícola</v>
      </c>
      <c r="E398" t="str">
        <f>VLOOKUP(A398,DataUsuario!B:D,3,FALSE)</f>
        <v>Mantenimiento de Riego y Bombas</v>
      </c>
      <c r="F398" t="s">
        <v>89</v>
      </c>
    </row>
    <row r="399" spans="1:6" x14ac:dyDescent="0.3">
      <c r="A399" s="156" t="s">
        <v>245</v>
      </c>
      <c r="B399" t="s">
        <v>3</v>
      </c>
      <c r="C399" s="157">
        <v>5</v>
      </c>
      <c r="D399" t="str">
        <f>VLOOKUP(A399,DataUsuario!B:D,2,FALSE)</f>
        <v>Gestión Humana y Sostenibilidad</v>
      </c>
      <c r="E399" t="str">
        <f>VLOOKUP(A399,DataUsuario!B:D,3,FALSE)</f>
        <v>Compensación y Nóminas</v>
      </c>
      <c r="F399" t="s">
        <v>62</v>
      </c>
    </row>
    <row r="400" spans="1:6" x14ac:dyDescent="0.3">
      <c r="A400" s="159" t="s">
        <v>287</v>
      </c>
      <c r="B400" t="s">
        <v>3</v>
      </c>
      <c r="C400" s="160">
        <v>4</v>
      </c>
      <c r="D400" t="str">
        <f>VLOOKUP(A400,DataUsuario!B:D,2,FALSE)</f>
        <v>Operaciones</v>
      </c>
      <c r="E400" t="str">
        <f>VLOOKUP(A400,DataUsuario!B:D,3,FALSE)</f>
        <v>Calidad</v>
      </c>
      <c r="F400" t="s">
        <v>70</v>
      </c>
    </row>
    <row r="401" spans="1:6" x14ac:dyDescent="0.3">
      <c r="A401" s="156" t="s">
        <v>439</v>
      </c>
      <c r="B401" t="s">
        <v>3</v>
      </c>
      <c r="C401" s="157">
        <v>5</v>
      </c>
      <c r="D401" t="str">
        <f>VLOOKUP(A401,DataUsuario!B:D,2,FALSE)</f>
        <v>Operaciones</v>
      </c>
      <c r="E401" t="str">
        <f>VLOOKUP(A401,DataUsuario!B:D,3,FALSE)</f>
        <v>Comercial</v>
      </c>
      <c r="F401" t="s">
        <v>70</v>
      </c>
    </row>
    <row r="402" spans="1:6" x14ac:dyDescent="0.3">
      <c r="A402" s="159" t="s">
        <v>95</v>
      </c>
      <c r="B402" t="s">
        <v>3</v>
      </c>
      <c r="C402" s="160">
        <v>4</v>
      </c>
      <c r="D402" t="str">
        <f>VLOOKUP(A402,DataUsuario!B:D,2,FALSE)</f>
        <v>Administración y Finanzas</v>
      </c>
      <c r="E402" t="str">
        <f>VLOOKUP(A402,DataUsuario!B:D,3,FALSE)</f>
        <v>Legal</v>
      </c>
      <c r="F402" t="s">
        <v>66</v>
      </c>
    </row>
    <row r="403" spans="1:6" x14ac:dyDescent="0.3">
      <c r="A403" s="156" t="s">
        <v>328</v>
      </c>
      <c r="B403" t="s">
        <v>3</v>
      </c>
      <c r="C403" s="157">
        <v>5</v>
      </c>
      <c r="D403" t="str">
        <f>VLOOKUP(A403,DataUsuario!B:D,2,FALSE)</f>
        <v>Administración y Finanzas</v>
      </c>
      <c r="E403" t="str">
        <f>VLOOKUP(A403,DataUsuario!B:D,3,FALSE)</f>
        <v>Administración</v>
      </c>
      <c r="F403" t="s">
        <v>66</v>
      </c>
    </row>
    <row r="404" spans="1:6" x14ac:dyDescent="0.3">
      <c r="A404" s="159" t="s">
        <v>322</v>
      </c>
      <c r="B404" t="s">
        <v>3</v>
      </c>
      <c r="C404" s="160">
        <v>5</v>
      </c>
      <c r="D404" t="str">
        <f>VLOOKUP(A404,DataUsuario!B:D,2,FALSE)</f>
        <v>Administración y Finanzas</v>
      </c>
      <c r="E404" t="str">
        <f>VLOOKUP(A404,DataUsuario!B:D,3,FALSE)</f>
        <v>Finanzas y Tesorería</v>
      </c>
      <c r="F404" t="s">
        <v>66</v>
      </c>
    </row>
    <row r="405" spans="1:6" x14ac:dyDescent="0.3">
      <c r="A405" s="156" t="s">
        <v>612</v>
      </c>
      <c r="B405" t="s">
        <v>3</v>
      </c>
      <c r="C405" s="157">
        <v>4</v>
      </c>
      <c r="D405" t="str">
        <f>VLOOKUP(A405,DataUsuario!B:D,2,FALSE)</f>
        <v>Operaciones</v>
      </c>
      <c r="E405" t="str">
        <f>VLOOKUP(A405,DataUsuario!B:D,3,FALSE)</f>
        <v>Mantenimiento CAT</v>
      </c>
      <c r="F405" t="s">
        <v>70</v>
      </c>
    </row>
    <row r="406" spans="1:6" x14ac:dyDescent="0.3">
      <c r="A406" s="159" t="s">
        <v>613</v>
      </c>
      <c r="B406" t="s">
        <v>3</v>
      </c>
      <c r="C406" s="160">
        <v>4</v>
      </c>
      <c r="D406" t="str">
        <f>VLOOKUP(A406,DataUsuario!B:D,2,FALSE)</f>
        <v>Administración y Finanzas</v>
      </c>
      <c r="E406" t="str">
        <f>VLOOKUP(A406,DataUsuario!B:D,3,FALSE)</f>
        <v>Control de Gestión</v>
      </c>
      <c r="F406" t="s">
        <v>66</v>
      </c>
    </row>
    <row r="407" spans="1:6" x14ac:dyDescent="0.3">
      <c r="A407" s="156" t="s">
        <v>376</v>
      </c>
      <c r="B407" t="s">
        <v>3</v>
      </c>
      <c r="C407" s="157">
        <v>5</v>
      </c>
      <c r="D407" t="str">
        <f>VLOOKUP(A407,DataUsuario!B:D,2,FALSE)</f>
        <v>Administración y Finanzas</v>
      </c>
      <c r="E407" t="str">
        <f>VLOOKUP(A407,DataUsuario!B:D,3,FALSE)</f>
        <v>Control de Gestión</v>
      </c>
      <c r="F407" t="s">
        <v>66</v>
      </c>
    </row>
    <row r="408" spans="1:6" x14ac:dyDescent="0.3">
      <c r="A408" s="159" t="s">
        <v>413</v>
      </c>
      <c r="B408" t="s">
        <v>3</v>
      </c>
      <c r="C408" s="160">
        <v>5</v>
      </c>
      <c r="D408" t="str">
        <f>VLOOKUP(A408,DataUsuario!B:D,2,FALSE)</f>
        <v>Administración y Finanzas</v>
      </c>
      <c r="E408" t="str">
        <f>VLOOKUP(A408,DataUsuario!B:D,3,FALSE)</f>
        <v>Contabilidad Tributaria</v>
      </c>
      <c r="F408" t="s">
        <v>66</v>
      </c>
    </row>
    <row r="409" spans="1:6" x14ac:dyDescent="0.3">
      <c r="A409" s="156" t="s">
        <v>614</v>
      </c>
      <c r="B409" t="s">
        <v>3</v>
      </c>
      <c r="C409" s="157">
        <v>5</v>
      </c>
      <c r="D409" t="str">
        <f>VLOOKUP(A409,DataUsuario!B:D,2,FALSE)</f>
        <v>Gestión Humana y Sostenibilidad</v>
      </c>
      <c r="E409" t="str">
        <f>VLOOKUP(A409,DataUsuario!B:D,3,FALSE)</f>
        <v>Gestor de Recursos Humanos</v>
      </c>
      <c r="F409" t="s">
        <v>62</v>
      </c>
    </row>
    <row r="410" spans="1:6" x14ac:dyDescent="0.3">
      <c r="A410" s="159" t="s">
        <v>65</v>
      </c>
      <c r="B410" t="s">
        <v>3</v>
      </c>
      <c r="C410" s="160">
        <v>5</v>
      </c>
      <c r="D410" t="str">
        <f>VLOOKUP(A410,DataUsuario!B:D,2,FALSE)</f>
        <v>Administración y Finanzas</v>
      </c>
      <c r="E410" t="str">
        <f>VLOOKUP(A410,DataUsuario!B:D,3,FALSE)</f>
        <v>Finanzas y Tesorería</v>
      </c>
      <c r="F410" t="s">
        <v>66</v>
      </c>
    </row>
    <row r="411" spans="1:6" x14ac:dyDescent="0.3">
      <c r="A411" s="156" t="s">
        <v>85</v>
      </c>
      <c r="B411" t="s">
        <v>3</v>
      </c>
      <c r="C411" s="157">
        <v>5</v>
      </c>
      <c r="D411" t="str">
        <f>VLOOKUP(A411,DataUsuario!B:D,2,FALSE)</f>
        <v>Operaciones</v>
      </c>
      <c r="E411" t="str">
        <f>VLOOKUP(A411,DataUsuario!B:D,3,FALSE)</f>
        <v>Comercial</v>
      </c>
      <c r="F411" t="s">
        <v>70</v>
      </c>
    </row>
    <row r="412" spans="1:6" x14ac:dyDescent="0.3">
      <c r="A412" s="159" t="s">
        <v>350</v>
      </c>
      <c r="B412" t="s">
        <v>3</v>
      </c>
      <c r="C412" s="160">
        <v>4</v>
      </c>
      <c r="D412" t="str">
        <f>VLOOKUP(A412,DataUsuario!B:D,2,FALSE)</f>
        <v>Agrícola</v>
      </c>
      <c r="E412" t="str">
        <f>VLOOKUP(A412,DataUsuario!B:D,3,FALSE)</f>
        <v>Planificador Agrícola</v>
      </c>
      <c r="F412" t="s">
        <v>89</v>
      </c>
    </row>
    <row r="413" spans="1:6" x14ac:dyDescent="0.3">
      <c r="A413" s="156" t="s">
        <v>120</v>
      </c>
      <c r="B413" t="s">
        <v>3</v>
      </c>
      <c r="C413" s="157">
        <v>4</v>
      </c>
      <c r="D413" t="str">
        <f>VLOOKUP(A413,DataUsuario!B:D,2,FALSE)</f>
        <v>Agrícola</v>
      </c>
      <c r="E413" t="str">
        <f>VLOOKUP(A413,DataUsuario!B:D,3,FALSE)</f>
        <v>Fundo Montelima</v>
      </c>
      <c r="F413" t="s">
        <v>89</v>
      </c>
    </row>
    <row r="414" spans="1:6" x14ac:dyDescent="0.3">
      <c r="A414" s="159" t="s">
        <v>617</v>
      </c>
      <c r="B414" t="s">
        <v>3</v>
      </c>
      <c r="C414" s="160">
        <v>4</v>
      </c>
      <c r="D414" t="str">
        <f>VLOOKUP(A414,DataUsuario!B:D,2,FALSE)</f>
        <v>Agrícola</v>
      </c>
      <c r="E414" t="str">
        <f>VLOOKUP(A414,DataUsuario!B:D,3,FALSE)</f>
        <v>Mantenimiento de Riego y Bombas</v>
      </c>
      <c r="F414" t="s">
        <v>89</v>
      </c>
    </row>
    <row r="415" spans="1:6" x14ac:dyDescent="0.3">
      <c r="A415" s="156" t="s">
        <v>345</v>
      </c>
      <c r="B415" t="s">
        <v>3</v>
      </c>
      <c r="C415" s="157">
        <v>4</v>
      </c>
      <c r="D415" t="str">
        <f>VLOOKUP(A415,DataUsuario!B:D,2,FALSE)</f>
        <v>Agrícola</v>
      </c>
      <c r="E415" t="str">
        <f>VLOOKUP(A415,DataUsuario!B:D,3,FALSE)</f>
        <v>Mantenimiento de Riego y Bombas</v>
      </c>
      <c r="F415" t="s">
        <v>89</v>
      </c>
    </row>
    <row r="416" spans="1:6" x14ac:dyDescent="0.3">
      <c r="A416" s="159" t="s">
        <v>618</v>
      </c>
      <c r="B416" t="s">
        <v>3</v>
      </c>
      <c r="C416" s="160">
        <v>4</v>
      </c>
      <c r="D416" t="str">
        <f>VLOOKUP(A416,DataUsuario!B:D,2,FALSE)</f>
        <v>Agrícola</v>
      </c>
      <c r="E416" t="str">
        <f>VLOOKUP(A416,DataUsuario!B:D,3,FALSE)</f>
        <v>Fundo San Vicente</v>
      </c>
      <c r="F416" t="s">
        <v>89</v>
      </c>
    </row>
    <row r="417" spans="1:6" x14ac:dyDescent="0.3">
      <c r="A417" s="156" t="s">
        <v>183</v>
      </c>
      <c r="B417" t="s">
        <v>3</v>
      </c>
      <c r="C417" s="157">
        <v>4</v>
      </c>
      <c r="D417" t="str">
        <f>VLOOKUP(A417,DataUsuario!B:D,2,FALSE)</f>
        <v>Agrícola</v>
      </c>
      <c r="E417" t="str">
        <f>VLOOKUP(A417,DataUsuario!B:D,3,FALSE)</f>
        <v>Planificador Agrícola</v>
      </c>
      <c r="F417" t="s">
        <v>89</v>
      </c>
    </row>
    <row r="418" spans="1:6" x14ac:dyDescent="0.3">
      <c r="A418" s="159" t="s">
        <v>82</v>
      </c>
      <c r="B418" t="s">
        <v>3</v>
      </c>
      <c r="C418" s="160">
        <v>4</v>
      </c>
      <c r="D418" t="str">
        <f>VLOOKUP(A418,DataUsuario!B:D,2,FALSE)</f>
        <v>Industrial y de Mantenimiento</v>
      </c>
      <c r="E418" t="str">
        <f>VLOOKUP(A418,DataUsuario!B:D,3,FALSE)</f>
        <v>Producción</v>
      </c>
      <c r="F418" t="s">
        <v>74</v>
      </c>
    </row>
    <row r="419" spans="1:6" x14ac:dyDescent="0.3">
      <c r="A419" s="156" t="s">
        <v>224</v>
      </c>
      <c r="B419" t="s">
        <v>3</v>
      </c>
      <c r="C419" s="157">
        <v>4</v>
      </c>
      <c r="D419" t="str">
        <f>VLOOKUP(A419,DataUsuario!B:D,2,FALSE)</f>
        <v>Agrícola</v>
      </c>
      <c r="E419" t="str">
        <f>VLOOKUP(A419,DataUsuario!B:D,3,FALSE)</f>
        <v>Laboratorio e Investigación Agricola</v>
      </c>
      <c r="F419" t="s">
        <v>89</v>
      </c>
    </row>
    <row r="420" spans="1:6" x14ac:dyDescent="0.3">
      <c r="A420" s="159" t="s">
        <v>152</v>
      </c>
      <c r="B420" t="s">
        <v>3</v>
      </c>
      <c r="C420" s="160">
        <v>5</v>
      </c>
      <c r="D420" t="str">
        <f>VLOOKUP(A420,DataUsuario!B:D,2,FALSE)</f>
        <v>Operaciones</v>
      </c>
      <c r="E420" t="str">
        <f>VLOOKUP(A420,DataUsuario!B:D,3,FALSE)</f>
        <v>Almacenes y Distribución PT</v>
      </c>
      <c r="F420" t="s">
        <v>70</v>
      </c>
    </row>
    <row r="421" spans="1:6" x14ac:dyDescent="0.3">
      <c r="A421" s="156" t="s">
        <v>622</v>
      </c>
      <c r="B421" t="s">
        <v>3</v>
      </c>
      <c r="C421" s="157">
        <v>4</v>
      </c>
      <c r="D421" t="str">
        <f>VLOOKUP(A421,DataUsuario!B:D,2,FALSE)</f>
        <v>Operaciones</v>
      </c>
      <c r="E421" t="str">
        <f>VLOOKUP(A421,DataUsuario!B:D,3,FALSE)</f>
        <v>Almacenes y Distribución PT</v>
      </c>
      <c r="F421" t="s">
        <v>70</v>
      </c>
    </row>
    <row r="422" spans="1:6" x14ac:dyDescent="0.3">
      <c r="A422" s="159" t="s">
        <v>365</v>
      </c>
      <c r="B422" t="s">
        <v>3</v>
      </c>
      <c r="C422" s="160">
        <v>4</v>
      </c>
      <c r="D422" t="str">
        <f>VLOOKUP(A422,DataUsuario!B:D,2,FALSE)</f>
        <v>Operaciones</v>
      </c>
      <c r="E422" t="str">
        <f>VLOOKUP(A422,DataUsuario!B:D,3,FALSE)</f>
        <v>Cosecha</v>
      </c>
      <c r="F422" t="s">
        <v>70</v>
      </c>
    </row>
    <row r="423" spans="1:6" x14ac:dyDescent="0.3">
      <c r="A423" s="156" t="s">
        <v>215</v>
      </c>
      <c r="B423" t="s">
        <v>3</v>
      </c>
      <c r="C423" s="157">
        <v>4</v>
      </c>
      <c r="D423" t="str">
        <f>VLOOKUP(A423,DataUsuario!B:D,2,FALSE)</f>
        <v>Gestión Humana y Sostenibilidad</v>
      </c>
      <c r="E423" t="str">
        <f>VLOOKUP(A423,DataUsuario!B:D,3,FALSE)</f>
        <v>Seguridad</v>
      </c>
      <c r="F423" t="s">
        <v>62</v>
      </c>
    </row>
    <row r="424" spans="1:6" x14ac:dyDescent="0.3">
      <c r="A424" s="159" t="s">
        <v>374</v>
      </c>
      <c r="B424" t="s">
        <v>3</v>
      </c>
      <c r="C424" s="160">
        <v>4</v>
      </c>
      <c r="D424" t="str">
        <f>VLOOKUP(A424,DataUsuario!B:D,2,FALSE)</f>
        <v>Agrícola</v>
      </c>
      <c r="E424" t="str">
        <f>VLOOKUP(A424,DataUsuario!B:D,3,FALSE)</f>
        <v>Mantenimiento de Riego y Bombas</v>
      </c>
      <c r="F424" t="s">
        <v>89</v>
      </c>
    </row>
    <row r="425" spans="1:6" x14ac:dyDescent="0.3">
      <c r="A425" s="156" t="s">
        <v>316</v>
      </c>
      <c r="B425" t="s">
        <v>3</v>
      </c>
      <c r="C425" s="157">
        <v>5</v>
      </c>
      <c r="D425" t="str">
        <f>VLOOKUP(A425,DataUsuario!B:D,2,FALSE)</f>
        <v>Administración y Finanzas</v>
      </c>
      <c r="E425" t="str">
        <f>VLOOKUP(A425,DataUsuario!B:D,3,FALSE)</f>
        <v>Compras</v>
      </c>
      <c r="F425" t="s">
        <v>66</v>
      </c>
    </row>
    <row r="426" spans="1:6" x14ac:dyDescent="0.3">
      <c r="A426" s="159" t="s">
        <v>626</v>
      </c>
      <c r="B426" t="s">
        <v>3</v>
      </c>
      <c r="C426" s="160">
        <v>4</v>
      </c>
      <c r="D426" t="str">
        <f>VLOOKUP(A426,DataUsuario!B:D,2,FALSE)</f>
        <v>Administración y Finanzas</v>
      </c>
      <c r="E426" t="str">
        <f>VLOOKUP(A426,DataUsuario!B:D,3,FALSE)</f>
        <v>Finanzas y Tesorería</v>
      </c>
      <c r="F426" t="s">
        <v>66</v>
      </c>
    </row>
    <row r="427" spans="1:6" x14ac:dyDescent="0.3">
      <c r="A427" s="156" t="s">
        <v>423</v>
      </c>
      <c r="B427" t="s">
        <v>3</v>
      </c>
      <c r="C427" s="157">
        <v>4</v>
      </c>
      <c r="D427" t="str">
        <f>VLOOKUP(A427,DataUsuario!B:D,2,FALSE)</f>
        <v>Industrial y de Mantenimiento</v>
      </c>
      <c r="E427" t="str">
        <f>VLOOKUP(A427,DataUsuario!B:D,3,FALSE)</f>
        <v>Producción</v>
      </c>
      <c r="F427" t="s">
        <v>74</v>
      </c>
    </row>
    <row r="428" spans="1:6" x14ac:dyDescent="0.3">
      <c r="A428" s="159" t="s">
        <v>387</v>
      </c>
      <c r="B428" t="s">
        <v>3</v>
      </c>
      <c r="C428" s="160">
        <v>4</v>
      </c>
      <c r="D428" t="str">
        <f>VLOOKUP(A428,DataUsuario!B:D,2,FALSE)</f>
        <v>Administración y Finanzas</v>
      </c>
      <c r="E428" t="str">
        <f>VLOOKUP(A428,DataUsuario!B:D,3,FALSE)</f>
        <v>Contabilidad Tributaria</v>
      </c>
      <c r="F428" t="s">
        <v>66</v>
      </c>
    </row>
    <row r="429" spans="1:6" x14ac:dyDescent="0.3">
      <c r="A429" s="156" t="s">
        <v>305</v>
      </c>
      <c r="B429" t="s">
        <v>3</v>
      </c>
      <c r="C429" s="157">
        <v>3</v>
      </c>
      <c r="D429" t="str">
        <f>VLOOKUP(A429,DataUsuario!B:D,2,FALSE)</f>
        <v>Industrial y de Mantenimiento</v>
      </c>
      <c r="E429" t="str">
        <f>VLOOKUP(A429,DataUsuario!B:D,3,FALSE)</f>
        <v>Producción</v>
      </c>
      <c r="F429" t="s">
        <v>74</v>
      </c>
    </row>
    <row r="430" spans="1:6" x14ac:dyDescent="0.3">
      <c r="A430" s="159" t="s">
        <v>303</v>
      </c>
      <c r="B430" t="s">
        <v>3</v>
      </c>
      <c r="C430" s="160">
        <v>4</v>
      </c>
      <c r="D430" t="str">
        <f>VLOOKUP(A430,DataUsuario!B:D,2,FALSE)</f>
        <v>Administración y Finanzas</v>
      </c>
      <c r="E430" t="str">
        <f>VLOOKUP(A430,DataUsuario!B:D,3,FALSE)</f>
        <v>Control de Gestión</v>
      </c>
      <c r="F430" t="s">
        <v>66</v>
      </c>
    </row>
    <row r="431" spans="1:6" x14ac:dyDescent="0.3">
      <c r="A431" s="156" t="s">
        <v>238</v>
      </c>
      <c r="B431" t="s">
        <v>3</v>
      </c>
      <c r="C431" s="157">
        <v>4</v>
      </c>
      <c r="D431" t="str">
        <f>VLOOKUP(A431,DataUsuario!B:D,2,FALSE)</f>
        <v>Industrial y de Mantenimiento</v>
      </c>
      <c r="E431" t="str">
        <f>VLOOKUP(A431,DataUsuario!B:D,3,FALSE)</f>
        <v>Producción</v>
      </c>
      <c r="F431" t="s">
        <v>74</v>
      </c>
    </row>
    <row r="432" spans="1:6" x14ac:dyDescent="0.3">
      <c r="A432" s="159" t="s">
        <v>630</v>
      </c>
      <c r="B432" t="s">
        <v>3</v>
      </c>
      <c r="C432" s="160">
        <v>5</v>
      </c>
      <c r="D432" t="str">
        <f>VLOOKUP(A432,DataUsuario!B:D,2,FALSE)</f>
        <v>Industrial y de Mantenimiento</v>
      </c>
      <c r="E432" t="str">
        <f>VLOOKUP(A432,DataUsuario!B:D,3,FALSE)</f>
        <v>Mantenimiento Industrial</v>
      </c>
      <c r="F432" t="s">
        <v>74</v>
      </c>
    </row>
    <row r="433" spans="1:6" x14ac:dyDescent="0.3">
      <c r="A433" s="156" t="s">
        <v>301</v>
      </c>
      <c r="B433" t="s">
        <v>3</v>
      </c>
      <c r="C433" s="157">
        <v>5</v>
      </c>
      <c r="D433" t="str">
        <f>VLOOKUP(A433,DataUsuario!B:D,2,FALSE)</f>
        <v>Administración y Finanzas</v>
      </c>
      <c r="E433" t="str">
        <f>VLOOKUP(A433,DataUsuario!B:D,3,FALSE)</f>
        <v>Contabilidad Tributaria</v>
      </c>
      <c r="F433" t="s">
        <v>66</v>
      </c>
    </row>
    <row r="434" spans="1:6" x14ac:dyDescent="0.3">
      <c r="A434" s="159" t="s">
        <v>435</v>
      </c>
      <c r="B434" t="s">
        <v>3</v>
      </c>
      <c r="C434" s="160">
        <v>5</v>
      </c>
      <c r="D434" t="str">
        <f>VLOOKUP(A434,DataUsuario!B:D,2,FALSE)</f>
        <v>Operaciones</v>
      </c>
      <c r="E434" t="str">
        <f>VLOOKUP(A434,DataUsuario!B:D,3,FALSE)</f>
        <v>Almacenes y Distribución PT</v>
      </c>
      <c r="F434" t="s">
        <v>70</v>
      </c>
    </row>
    <row r="435" spans="1:6" x14ac:dyDescent="0.3">
      <c r="A435" s="156" t="s">
        <v>383</v>
      </c>
      <c r="B435" t="s">
        <v>3</v>
      </c>
      <c r="C435" s="157">
        <v>4</v>
      </c>
      <c r="D435" t="str">
        <f>VLOOKUP(A435,DataUsuario!B:D,2,FALSE)</f>
        <v>Agrícola</v>
      </c>
      <c r="E435" t="str">
        <f>VLOOKUP(A435,DataUsuario!B:D,3,FALSE)</f>
        <v>Fundo Lobo</v>
      </c>
      <c r="F435" t="s">
        <v>89</v>
      </c>
    </row>
    <row r="436" spans="1:6" x14ac:dyDescent="0.3">
      <c r="A436" s="159" t="s">
        <v>307</v>
      </c>
      <c r="B436" t="s">
        <v>3</v>
      </c>
      <c r="C436" s="160">
        <v>5</v>
      </c>
      <c r="D436" t="str">
        <f>VLOOKUP(A436,DataUsuario!B:D,2,FALSE)</f>
        <v>Gestión Humana y Sostenibilidad</v>
      </c>
      <c r="E436" t="str">
        <f>VLOOKUP(A436,DataUsuario!B:D,3,FALSE)</f>
        <v>Comunicaciones y Responsabilidad Social</v>
      </c>
      <c r="F436" t="s">
        <v>62</v>
      </c>
    </row>
    <row r="437" spans="1:6" x14ac:dyDescent="0.3">
      <c r="A437" s="156" t="s">
        <v>631</v>
      </c>
      <c r="B437" t="s">
        <v>3</v>
      </c>
      <c r="C437" s="157">
        <v>3</v>
      </c>
      <c r="D437" t="str">
        <f>VLOOKUP(A437,DataUsuario!B:D,2,FALSE)</f>
        <v>Administración y Finanzas</v>
      </c>
      <c r="E437" t="str">
        <f>VLOOKUP(A437,DataUsuario!B:D,3,FALSE)</f>
        <v>Compras</v>
      </c>
      <c r="F437" t="s">
        <v>66</v>
      </c>
    </row>
    <row r="438" spans="1:6" x14ac:dyDescent="0.3">
      <c r="A438" s="159" t="s">
        <v>415</v>
      </c>
      <c r="B438" t="s">
        <v>3</v>
      </c>
      <c r="C438" s="160">
        <v>5</v>
      </c>
      <c r="D438" t="str">
        <f>VLOOKUP(A438,DataUsuario!B:D,2,FALSE)</f>
        <v>Administración y Finanzas</v>
      </c>
      <c r="E438" t="str">
        <f>VLOOKUP(A438,DataUsuario!B:D,3,FALSE)</f>
        <v>Administración</v>
      </c>
      <c r="F438" t="s">
        <v>66</v>
      </c>
    </row>
    <row r="439" spans="1:6" x14ac:dyDescent="0.3">
      <c r="A439" s="156" t="s">
        <v>128</v>
      </c>
      <c r="B439" t="s">
        <v>3</v>
      </c>
      <c r="C439" s="157">
        <v>4</v>
      </c>
      <c r="D439" t="str">
        <f>VLOOKUP(A439,DataUsuario!B:D,2,FALSE)</f>
        <v>Agrícola</v>
      </c>
      <c r="E439" t="str">
        <f>VLOOKUP(A439,DataUsuario!B:D,3,FALSE)</f>
        <v>Fundo Lobo</v>
      </c>
      <c r="F439" t="s">
        <v>89</v>
      </c>
    </row>
    <row r="440" spans="1:6" x14ac:dyDescent="0.3">
      <c r="A440" s="159" t="s">
        <v>632</v>
      </c>
      <c r="B440" t="s">
        <v>3</v>
      </c>
      <c r="C440" s="160">
        <v>4</v>
      </c>
      <c r="D440" t="str">
        <f>VLOOKUP(A440,DataUsuario!B:D,2,FALSE)</f>
        <v>Gestión Humana y Sostenibilidad</v>
      </c>
      <c r="E440" t="str">
        <f>VLOOKUP(A440,DataUsuario!B:D,3,FALSE)</f>
        <v>Gestor de Recursos Humanos</v>
      </c>
      <c r="F440" t="s">
        <v>62</v>
      </c>
    </row>
    <row r="441" spans="1:6" x14ac:dyDescent="0.3">
      <c r="A441" s="156" t="s">
        <v>205</v>
      </c>
      <c r="B441" t="s">
        <v>3</v>
      </c>
      <c r="C441" s="157">
        <v>4</v>
      </c>
      <c r="D441" t="str">
        <f>VLOOKUP(A441,DataUsuario!B:D,2,FALSE)</f>
        <v>Operaciones</v>
      </c>
      <c r="E441" t="str">
        <f>VLOOKUP(A441,DataUsuario!B:D,3,FALSE)</f>
        <v>Almacenes y Distribución PT</v>
      </c>
      <c r="F441" t="s">
        <v>70</v>
      </c>
    </row>
    <row r="442" spans="1:6" x14ac:dyDescent="0.3">
      <c r="A442" s="159" t="s">
        <v>633</v>
      </c>
      <c r="B442" t="s">
        <v>3</v>
      </c>
      <c r="C442" s="160">
        <v>4</v>
      </c>
      <c r="D442" t="str">
        <f>VLOOKUP(A442,DataUsuario!B:D,2,FALSE)</f>
        <v>Gestión Humana y Sostenibilidad</v>
      </c>
      <c r="E442" t="str">
        <f>VLOOKUP(A442,DataUsuario!B:D,3,FALSE)</f>
        <v>Bienestar - Medico Ocupacional</v>
      </c>
      <c r="F442" t="s">
        <v>62</v>
      </c>
    </row>
    <row r="443" spans="1:6" x14ac:dyDescent="0.3">
      <c r="A443" s="156" t="s">
        <v>634</v>
      </c>
      <c r="B443" t="s">
        <v>3</v>
      </c>
      <c r="C443" s="157">
        <v>4</v>
      </c>
      <c r="D443" t="str">
        <f>VLOOKUP(A443,DataUsuario!B:D,2,FALSE)</f>
        <v>Industrial y de Mantenimiento</v>
      </c>
      <c r="E443" t="str">
        <f>VLOOKUP(A443,DataUsuario!B:D,3,FALSE)</f>
        <v>Producción</v>
      </c>
      <c r="F443" t="s">
        <v>74</v>
      </c>
    </row>
    <row r="444" spans="1:6" x14ac:dyDescent="0.3">
      <c r="A444" s="159" t="s">
        <v>192</v>
      </c>
      <c r="B444" t="s">
        <v>3</v>
      </c>
      <c r="C444" s="160">
        <v>5</v>
      </c>
      <c r="D444" t="str">
        <f>VLOOKUP(A444,DataUsuario!B:D,2,FALSE)</f>
        <v>Agrícola</v>
      </c>
      <c r="E444" t="str">
        <f>VLOOKUP(A444,DataUsuario!B:D,3,FALSE)</f>
        <v>Mantenimiento de Riego y Bombas</v>
      </c>
      <c r="F444" t="s">
        <v>89</v>
      </c>
    </row>
    <row r="445" spans="1:6" x14ac:dyDescent="0.3">
      <c r="A445" s="156" t="s">
        <v>150</v>
      </c>
      <c r="B445" t="s">
        <v>3</v>
      </c>
      <c r="C445" s="157">
        <v>5</v>
      </c>
      <c r="D445" t="str">
        <f>VLOOKUP(A445,DataUsuario!B:D,2,FALSE)</f>
        <v>Industrial y de Mantenimiento</v>
      </c>
      <c r="E445" t="str">
        <f>VLOOKUP(A445,DataUsuario!B:D,3,FALSE)</f>
        <v>Producción</v>
      </c>
      <c r="F445" t="s">
        <v>74</v>
      </c>
    </row>
    <row r="446" spans="1:6" x14ac:dyDescent="0.3">
      <c r="A446" s="159" t="s">
        <v>181</v>
      </c>
      <c r="B446" t="s">
        <v>3</v>
      </c>
      <c r="C446" s="160">
        <v>4</v>
      </c>
      <c r="D446" t="str">
        <f>VLOOKUP(A446,DataUsuario!B:D,2,FALSE)</f>
        <v>Gestión Humana y Sostenibilidad</v>
      </c>
      <c r="E446" t="str">
        <f>VLOOKUP(A446,DataUsuario!B:D,3,FALSE)</f>
        <v>Compensación y Nóminas</v>
      </c>
      <c r="F446" t="s">
        <v>62</v>
      </c>
    </row>
    <row r="447" spans="1:6" x14ac:dyDescent="0.3">
      <c r="A447" s="156" t="s">
        <v>337</v>
      </c>
      <c r="B447" t="s">
        <v>3</v>
      </c>
      <c r="C447" s="157">
        <v>4</v>
      </c>
      <c r="D447" t="str">
        <f>VLOOKUP(A447,DataUsuario!B:D,2,FALSE)</f>
        <v>Agrícola</v>
      </c>
      <c r="E447" t="str">
        <f>VLOOKUP(A447,DataUsuario!B:D,3,FALSE)</f>
        <v>Fundo San Vicente</v>
      </c>
      <c r="F447" t="s">
        <v>89</v>
      </c>
    </row>
    <row r="448" spans="1:6" x14ac:dyDescent="0.3">
      <c r="A448" s="159" t="s">
        <v>369</v>
      </c>
      <c r="B448" t="s">
        <v>3</v>
      </c>
      <c r="C448" s="160">
        <v>4</v>
      </c>
      <c r="D448" t="str">
        <f>VLOOKUP(A448,DataUsuario!B:D,2,FALSE)</f>
        <v>Agrícola</v>
      </c>
      <c r="E448" t="str">
        <f>VLOOKUP(A448,DataUsuario!B:D,3,FALSE)</f>
        <v>Sistema Integral de Gestión</v>
      </c>
      <c r="F448" t="s">
        <v>89</v>
      </c>
    </row>
    <row r="449" spans="1:6" x14ac:dyDescent="0.3">
      <c r="A449" s="156" t="s">
        <v>637</v>
      </c>
      <c r="B449" t="s">
        <v>3</v>
      </c>
      <c r="C449" s="157">
        <v>5</v>
      </c>
      <c r="D449" t="str">
        <f>VLOOKUP(A449,DataUsuario!B:D,2,FALSE)</f>
        <v>Operaciones</v>
      </c>
      <c r="E449" t="str">
        <f>VLOOKUP(A449,DataUsuario!B:D,3,FALSE)</f>
        <v>Almacenes y Distribución PT</v>
      </c>
      <c r="F449" t="s">
        <v>70</v>
      </c>
    </row>
    <row r="450" spans="1:6" x14ac:dyDescent="0.3">
      <c r="A450" s="159" t="s">
        <v>362</v>
      </c>
      <c r="B450" t="s">
        <v>3</v>
      </c>
      <c r="C450" s="160">
        <v>5</v>
      </c>
      <c r="D450" t="str">
        <f>VLOOKUP(A450,DataUsuario!B:D,2,FALSE)</f>
        <v>Agrícola</v>
      </c>
      <c r="E450" t="str">
        <f>VLOOKUP(A450,DataUsuario!B:D,3,FALSE)</f>
        <v>Fundo Lobo</v>
      </c>
      <c r="F450" t="s">
        <v>89</v>
      </c>
    </row>
    <row r="451" spans="1:6" x14ac:dyDescent="0.3">
      <c r="A451" s="156" t="s">
        <v>198</v>
      </c>
      <c r="B451" t="s">
        <v>3</v>
      </c>
      <c r="C451" s="157">
        <v>4</v>
      </c>
      <c r="D451" t="str">
        <f>VLOOKUP(A451,DataUsuario!B:D,2,FALSE)</f>
        <v>Agrícola</v>
      </c>
      <c r="E451" t="str">
        <f>VLOOKUP(A451,DataUsuario!B:D,3,FALSE)</f>
        <v>Fundo Lobo</v>
      </c>
      <c r="F451" t="s">
        <v>89</v>
      </c>
    </row>
    <row r="452" spans="1:6" x14ac:dyDescent="0.3">
      <c r="A452" s="159" t="s">
        <v>256</v>
      </c>
      <c r="B452" t="s">
        <v>3</v>
      </c>
      <c r="C452" s="160">
        <v>3</v>
      </c>
      <c r="D452" t="str">
        <f>VLOOKUP(A452,DataUsuario!B:D,2,FALSE)</f>
        <v>Agrícola</v>
      </c>
      <c r="E452" t="str">
        <f>VLOOKUP(A452,DataUsuario!B:D,3,FALSE)</f>
        <v>Fundo Montelima</v>
      </c>
      <c r="F452" t="s">
        <v>89</v>
      </c>
    </row>
    <row r="453" spans="1:6" x14ac:dyDescent="0.3">
      <c r="A453" s="156" t="s">
        <v>421</v>
      </c>
      <c r="B453" t="s">
        <v>3</v>
      </c>
      <c r="C453" s="157">
        <v>4</v>
      </c>
      <c r="D453" t="str">
        <f>VLOOKUP(A453,DataUsuario!B:D,2,FALSE)</f>
        <v>Operaciones</v>
      </c>
      <c r="E453" t="str">
        <f>VLOOKUP(A453,DataUsuario!B:D,3,FALSE)</f>
        <v>Cosecha</v>
      </c>
      <c r="F453" t="s">
        <v>70</v>
      </c>
    </row>
    <row r="454" spans="1:6" x14ac:dyDescent="0.3">
      <c r="A454" s="159" t="s">
        <v>118</v>
      </c>
      <c r="B454" t="s">
        <v>3</v>
      </c>
      <c r="C454" s="160">
        <v>4</v>
      </c>
      <c r="D454" t="str">
        <f>VLOOKUP(A454,DataUsuario!B:D,2,FALSE)</f>
        <v>Agrícola</v>
      </c>
      <c r="E454" t="str">
        <f>VLOOKUP(A454,DataUsuario!B:D,3,FALSE)</f>
        <v>Fundo Lobo</v>
      </c>
      <c r="F454" t="s">
        <v>89</v>
      </c>
    </row>
    <row r="455" spans="1:6" x14ac:dyDescent="0.3">
      <c r="A455" s="156" t="s">
        <v>352</v>
      </c>
      <c r="B455" t="s">
        <v>3</v>
      </c>
      <c r="C455" s="157">
        <v>4</v>
      </c>
      <c r="D455" t="str">
        <f>VLOOKUP(A455,DataUsuario!B:D,2,FALSE)</f>
        <v>Gestión Humana y Sostenibilidad</v>
      </c>
      <c r="E455" t="str">
        <f>VLOOKUP(A455,DataUsuario!B:D,3,FALSE)</f>
        <v>Compensación y Nóminas</v>
      </c>
      <c r="F455" t="s">
        <v>62</v>
      </c>
    </row>
    <row r="456" spans="1:6" x14ac:dyDescent="0.3">
      <c r="A456" s="159" t="s">
        <v>170</v>
      </c>
      <c r="B456" t="s">
        <v>3</v>
      </c>
      <c r="C456" s="160">
        <v>5</v>
      </c>
      <c r="D456" t="str">
        <f>VLOOKUP(A456,DataUsuario!B:D,2,FALSE)</f>
        <v>Operaciones</v>
      </c>
      <c r="E456" t="str">
        <f>VLOOKUP(A456,DataUsuario!B:D,3,FALSE)</f>
        <v>Mantenimiento CAT</v>
      </c>
      <c r="F456" t="s">
        <v>70</v>
      </c>
    </row>
    <row r="457" spans="1:6" x14ac:dyDescent="0.3">
      <c r="A457" s="156" t="s">
        <v>200</v>
      </c>
      <c r="B457" t="s">
        <v>3</v>
      </c>
      <c r="C457" s="157">
        <v>5</v>
      </c>
      <c r="D457" t="str">
        <f>VLOOKUP(A457,DataUsuario!B:D,2,FALSE)</f>
        <v>Industrial y de Mantenimiento</v>
      </c>
      <c r="E457" t="str">
        <f>VLOOKUP(A457,DataUsuario!B:D,3,FALSE)</f>
        <v>Electricidad</v>
      </c>
      <c r="F457" t="s">
        <v>74</v>
      </c>
    </row>
    <row r="458" spans="1:6" x14ac:dyDescent="0.3">
      <c r="A458" s="159" t="s">
        <v>341</v>
      </c>
      <c r="B458" t="s">
        <v>3</v>
      </c>
      <c r="C458" s="160">
        <v>5</v>
      </c>
      <c r="D458" t="str">
        <f>VLOOKUP(A458,DataUsuario!B:D,2,FALSE)</f>
        <v>Administración y Finanzas</v>
      </c>
      <c r="E458" t="str">
        <f>VLOOKUP(A458,DataUsuario!B:D,3,FALSE)</f>
        <v>Contabilidad Tributaria</v>
      </c>
      <c r="F458" t="s">
        <v>66</v>
      </c>
    </row>
    <row r="459" spans="1:6" x14ac:dyDescent="0.3">
      <c r="A459" s="156" t="s">
        <v>643</v>
      </c>
      <c r="B459" t="s">
        <v>3</v>
      </c>
      <c r="C459" s="157">
        <v>5</v>
      </c>
      <c r="D459" t="str">
        <f>VLOOKUP(A459,DataUsuario!B:D,2,FALSE)</f>
        <v>Gestión Humana y Sostenibilidad</v>
      </c>
      <c r="E459" t="str">
        <f>VLOOKUP(A459,DataUsuario!B:D,3,FALSE)</f>
        <v>Gestor de Recursos Humanos</v>
      </c>
      <c r="F459" t="s">
        <v>62</v>
      </c>
    </row>
    <row r="460" spans="1:6" x14ac:dyDescent="0.3">
      <c r="A460" s="159" t="s">
        <v>217</v>
      </c>
      <c r="B460" t="s">
        <v>3</v>
      </c>
      <c r="C460" s="160">
        <v>3</v>
      </c>
      <c r="D460" t="str">
        <f>VLOOKUP(A460,DataUsuario!B:D,2,FALSE)</f>
        <v>Agrícola</v>
      </c>
      <c r="E460" t="str">
        <f>VLOOKUP(A460,DataUsuario!B:D,3,FALSE)</f>
        <v>Mantenimiento de Riego y Bombas</v>
      </c>
      <c r="F460" t="s">
        <v>89</v>
      </c>
    </row>
    <row r="461" spans="1:6" x14ac:dyDescent="0.3">
      <c r="A461" s="156" t="s">
        <v>267</v>
      </c>
      <c r="B461" t="s">
        <v>3</v>
      </c>
      <c r="C461" s="157">
        <v>5</v>
      </c>
      <c r="D461" t="str">
        <f>VLOOKUP(A461,DataUsuario!B:D,2,FALSE)</f>
        <v>Gestión Humana y Sostenibilidad</v>
      </c>
      <c r="E461" t="str">
        <f>VLOOKUP(A461,DataUsuario!B:D,3,FALSE)</f>
        <v>Sostenibilidad</v>
      </c>
      <c r="F461" t="s">
        <v>62</v>
      </c>
    </row>
    <row r="462" spans="1:6" x14ac:dyDescent="0.3">
      <c r="A462" s="159" t="s">
        <v>347</v>
      </c>
      <c r="B462" t="s">
        <v>3</v>
      </c>
      <c r="C462" s="160">
        <v>5</v>
      </c>
      <c r="D462" t="str">
        <f>VLOOKUP(A462,DataUsuario!B:D,2,FALSE)</f>
        <v>Operaciones</v>
      </c>
      <c r="E462" t="str">
        <f>VLOOKUP(A462,DataUsuario!B:D,3,FALSE)</f>
        <v>Almacenes y Distribución PT</v>
      </c>
      <c r="F462" t="s">
        <v>70</v>
      </c>
    </row>
    <row r="463" spans="1:6" x14ac:dyDescent="0.3">
      <c r="A463" s="156" t="s">
        <v>102</v>
      </c>
      <c r="B463" t="s">
        <v>3</v>
      </c>
      <c r="C463" s="157">
        <v>5</v>
      </c>
      <c r="D463" t="str">
        <f>VLOOKUP(A463,DataUsuario!B:D,2,FALSE)</f>
        <v>Operaciones</v>
      </c>
      <c r="E463" t="str">
        <f>VLOOKUP(A463,DataUsuario!B:D,3,FALSE)</f>
        <v>Almacenes y Distribución PT</v>
      </c>
      <c r="F463" t="s">
        <v>70</v>
      </c>
    </row>
    <row r="464" spans="1:6" x14ac:dyDescent="0.3">
      <c r="A464" s="159" t="s">
        <v>249</v>
      </c>
      <c r="B464" t="s">
        <v>3</v>
      </c>
      <c r="C464" s="160">
        <v>5</v>
      </c>
      <c r="D464" t="str">
        <f>VLOOKUP(A464,DataUsuario!B:D,2,FALSE)</f>
        <v>Administración y Finanzas</v>
      </c>
      <c r="E464" t="str">
        <f>VLOOKUP(A464,DataUsuario!B:D,3,FALSE)</f>
        <v>Compras</v>
      </c>
      <c r="F464" t="s">
        <v>66</v>
      </c>
    </row>
    <row r="465" spans="1:6" x14ac:dyDescent="0.3">
      <c r="A465" s="156" t="s">
        <v>409</v>
      </c>
      <c r="B465" t="s">
        <v>3</v>
      </c>
      <c r="C465" s="157">
        <v>4</v>
      </c>
      <c r="D465" t="str">
        <f>VLOOKUP(A465,DataUsuario!B:D,2,FALSE)</f>
        <v>Agrícola</v>
      </c>
      <c r="E465" t="str">
        <f>VLOOKUP(A465,DataUsuario!B:D,3,FALSE)</f>
        <v>Fundo Lobo</v>
      </c>
      <c r="F465" t="s">
        <v>89</v>
      </c>
    </row>
    <row r="466" spans="1:6" x14ac:dyDescent="0.3">
      <c r="A466" s="159" t="s">
        <v>136</v>
      </c>
      <c r="B466" t="s">
        <v>3</v>
      </c>
      <c r="C466" s="160">
        <v>5</v>
      </c>
      <c r="D466" t="str">
        <f>VLOOKUP(A466,DataUsuario!B:D,2,FALSE)</f>
        <v>Operaciones</v>
      </c>
      <c r="E466" t="str">
        <f>VLOOKUP(A466,DataUsuario!B:D,3,FALSE)</f>
        <v>Comercial</v>
      </c>
      <c r="F466" t="s">
        <v>70</v>
      </c>
    </row>
    <row r="467" spans="1:6" x14ac:dyDescent="0.3">
      <c r="A467" s="156" t="s">
        <v>649</v>
      </c>
      <c r="B467" t="s">
        <v>3</v>
      </c>
      <c r="C467" s="157">
        <v>4</v>
      </c>
      <c r="D467" t="str">
        <f>VLOOKUP(A467,DataUsuario!B:D,2,FALSE)</f>
        <v>Gestión Humana y Sostenibilidad</v>
      </c>
      <c r="E467" t="str">
        <f>VLOOKUP(A467,DataUsuario!B:D,3,FALSE)</f>
        <v>Control Presupuestal</v>
      </c>
      <c r="F467" t="s">
        <v>62</v>
      </c>
    </row>
    <row r="468" spans="1:6" x14ac:dyDescent="0.3">
      <c r="A468" s="159" t="s">
        <v>651</v>
      </c>
      <c r="B468" t="s">
        <v>3</v>
      </c>
      <c r="C468" s="160">
        <v>4</v>
      </c>
      <c r="D468" t="str">
        <f>VLOOKUP(A468,DataUsuario!B:D,2,FALSE)</f>
        <v>Operaciones</v>
      </c>
      <c r="E468" t="str">
        <f>VLOOKUP(A468,DataUsuario!B:D,3,FALSE)</f>
        <v>Almacenes y Distribución PT</v>
      </c>
      <c r="F468" t="s">
        <v>70</v>
      </c>
    </row>
    <row r="469" spans="1:6" x14ac:dyDescent="0.3">
      <c r="A469" s="156" t="s">
        <v>320</v>
      </c>
      <c r="B469" t="s">
        <v>3</v>
      </c>
      <c r="C469" s="157">
        <v>5</v>
      </c>
      <c r="D469" t="str">
        <f>VLOOKUP(A469,DataUsuario!B:D,2,FALSE)</f>
        <v>Gestión Humana y Sostenibilidad</v>
      </c>
      <c r="E469" t="str">
        <f>VLOOKUP(A469,DataUsuario!B:D,3,FALSE)</f>
        <v>Sostenibilidad</v>
      </c>
      <c r="F469" t="s">
        <v>62</v>
      </c>
    </row>
    <row r="470" spans="1:6" x14ac:dyDescent="0.3">
      <c r="A470" s="159" t="s">
        <v>230</v>
      </c>
      <c r="B470" t="s">
        <v>3</v>
      </c>
      <c r="C470" s="160">
        <v>4</v>
      </c>
      <c r="D470" t="str">
        <f>VLOOKUP(A470,DataUsuario!B:D,2,FALSE)</f>
        <v>Agrícola</v>
      </c>
      <c r="E470" t="str">
        <f>VLOOKUP(A470,DataUsuario!B:D,3,FALSE)</f>
        <v>Fundo Lobo</v>
      </c>
      <c r="F470" t="s">
        <v>89</v>
      </c>
    </row>
    <row r="471" spans="1:6" x14ac:dyDescent="0.3">
      <c r="A471" s="156" t="s">
        <v>314</v>
      </c>
      <c r="B471" t="s">
        <v>3</v>
      </c>
      <c r="C471" s="157">
        <v>4</v>
      </c>
      <c r="D471" t="str">
        <f>VLOOKUP(A471,DataUsuario!B:D,2,FALSE)</f>
        <v>Industrial y de Mantenimiento</v>
      </c>
      <c r="E471" t="str">
        <f>VLOOKUP(A471,DataUsuario!B:D,3,FALSE)</f>
        <v>Mantenimiento Industrial</v>
      </c>
      <c r="F471" t="s">
        <v>74</v>
      </c>
    </row>
    <row r="472" spans="1:6" x14ac:dyDescent="0.3">
      <c r="A472" s="159" t="s">
        <v>99</v>
      </c>
      <c r="B472" t="s">
        <v>3</v>
      </c>
      <c r="C472" s="160">
        <v>5</v>
      </c>
      <c r="D472" t="str">
        <f>VLOOKUP(A472,DataUsuario!B:D,2,FALSE)</f>
        <v>Gestión Humana y Sostenibilidad</v>
      </c>
      <c r="E472" t="str">
        <f>VLOOKUP(A472,DataUsuario!B:D,3,FALSE)</f>
        <v>Gestor de Recursos Humanos</v>
      </c>
      <c r="F472" t="s">
        <v>62</v>
      </c>
    </row>
    <row r="473" spans="1:6" x14ac:dyDescent="0.3">
      <c r="A473" s="156" t="s">
        <v>391</v>
      </c>
      <c r="B473" t="s">
        <v>3</v>
      </c>
      <c r="C473" s="157">
        <v>5</v>
      </c>
      <c r="D473" t="str">
        <f>VLOOKUP(A473,DataUsuario!B:D,2,FALSE)</f>
        <v>Administración y Finanzas</v>
      </c>
      <c r="E473" t="str">
        <f>VLOOKUP(A473,DataUsuario!B:D,3,FALSE)</f>
        <v>Finanzas y Tesorería</v>
      </c>
      <c r="F473" t="s">
        <v>66</v>
      </c>
    </row>
    <row r="474" spans="1:6" x14ac:dyDescent="0.3">
      <c r="A474" s="159" t="s">
        <v>372</v>
      </c>
      <c r="B474" t="s">
        <v>3</v>
      </c>
      <c r="C474" s="160">
        <v>5</v>
      </c>
      <c r="D474" t="str">
        <f>VLOOKUP(A474,DataUsuario!B:D,2,FALSE)</f>
        <v>Agrícola</v>
      </c>
      <c r="E474" t="str">
        <f>VLOOKUP(A474,DataUsuario!B:D,3,FALSE)</f>
        <v>Laboratorio e Investigación Agricola</v>
      </c>
      <c r="F474" t="s">
        <v>89</v>
      </c>
    </row>
    <row r="475" spans="1:6" x14ac:dyDescent="0.3">
      <c r="A475" s="156" t="s">
        <v>156</v>
      </c>
      <c r="B475" t="s">
        <v>3</v>
      </c>
      <c r="C475" s="157" t="s">
        <v>666</v>
      </c>
      <c r="D475" t="str">
        <f>VLOOKUP(A475,DataUsuario!B:D,2,FALSE)</f>
        <v>Administración y Finanzas</v>
      </c>
      <c r="E475" t="str">
        <f>VLOOKUP(A475,DataUsuario!B:D,3,FALSE)</f>
        <v>Compras</v>
      </c>
      <c r="F475" t="s">
        <v>66</v>
      </c>
    </row>
    <row r="476" spans="1:6" x14ac:dyDescent="0.3">
      <c r="A476" s="159" t="s">
        <v>258</v>
      </c>
      <c r="B476" t="s">
        <v>3</v>
      </c>
      <c r="C476" s="160">
        <v>4</v>
      </c>
      <c r="D476" t="str">
        <f>VLOOKUP(A476,DataUsuario!B:D,2,FALSE)</f>
        <v>Operaciones</v>
      </c>
      <c r="E476" t="str">
        <f>VLOOKUP(A476,DataUsuario!B:D,3,FALSE)</f>
        <v>Calidad</v>
      </c>
      <c r="F476" t="s">
        <v>70</v>
      </c>
    </row>
    <row r="477" spans="1:6" x14ac:dyDescent="0.3">
      <c r="A477" s="156" t="s">
        <v>61</v>
      </c>
      <c r="B477" t="s">
        <v>3</v>
      </c>
      <c r="C477" s="157">
        <v>4</v>
      </c>
      <c r="D477" t="str">
        <f>VLOOKUP(A477,DataUsuario!B:D,2,FALSE)</f>
        <v>Gestión Humana y Sostenibilidad</v>
      </c>
      <c r="E477" t="str">
        <f>VLOOKUP(A477,DataUsuario!B:D,3,FALSE)</f>
        <v>Compensación y Nóminas</v>
      </c>
      <c r="F477" t="s">
        <v>62</v>
      </c>
    </row>
    <row r="478" spans="1:6" x14ac:dyDescent="0.3">
      <c r="A478" s="159" t="s">
        <v>289</v>
      </c>
      <c r="B478" t="s">
        <v>3</v>
      </c>
      <c r="C478" s="160">
        <v>4</v>
      </c>
      <c r="D478" t="str">
        <f>VLOOKUP(A478,DataUsuario!B:D,2,FALSE)</f>
        <v>Agrícola</v>
      </c>
      <c r="E478" t="str">
        <f>VLOOKUP(A478,DataUsuario!B:D,3,FALSE)</f>
        <v>Mantenimiento de Riego y Bombas</v>
      </c>
      <c r="F478" t="s">
        <v>89</v>
      </c>
    </row>
    <row r="479" spans="1:6" x14ac:dyDescent="0.3">
      <c r="A479" s="156" t="s">
        <v>158</v>
      </c>
      <c r="B479" t="s">
        <v>3</v>
      </c>
      <c r="C479" s="157" t="s">
        <v>666</v>
      </c>
      <c r="D479" t="str">
        <f>VLOOKUP(A479,DataUsuario!B:D,2,FALSE)</f>
        <v>Operaciones</v>
      </c>
      <c r="E479" t="str">
        <f>VLOOKUP(A479,DataUsuario!B:D,3,FALSE)</f>
        <v>Calidad</v>
      </c>
      <c r="F479" t="s">
        <v>70</v>
      </c>
    </row>
    <row r="480" spans="1:6" x14ac:dyDescent="0.3">
      <c r="A480" s="159" t="s">
        <v>251</v>
      </c>
      <c r="B480" t="s">
        <v>3</v>
      </c>
      <c r="C480" s="160">
        <v>2</v>
      </c>
      <c r="D480" t="str">
        <f>VLOOKUP(A480,DataUsuario!B:D,2,FALSE)</f>
        <v>Industrial y de Mantenimiento</v>
      </c>
      <c r="E480" t="str">
        <f>VLOOKUP(A480,DataUsuario!B:D,3,FALSE)</f>
        <v>Automatización</v>
      </c>
      <c r="F480" t="s">
        <v>74</v>
      </c>
    </row>
    <row r="481" spans="1:6" x14ac:dyDescent="0.3">
      <c r="A481" s="156" t="s">
        <v>653</v>
      </c>
      <c r="B481" t="s">
        <v>3</v>
      </c>
      <c r="C481" s="157">
        <v>5</v>
      </c>
      <c r="D481" t="str">
        <f>VLOOKUP(A481,DataUsuario!B:D,2,FALSE)</f>
        <v>Industrial y de Mantenimiento</v>
      </c>
      <c r="E481" t="str">
        <f>VLOOKUP(A481,DataUsuario!B:D,3,FALSE)</f>
        <v>Mantenimiento Industrial</v>
      </c>
      <c r="F481" t="s">
        <v>74</v>
      </c>
    </row>
    <row r="482" spans="1:6" x14ac:dyDescent="0.3">
      <c r="A482" s="159" t="s">
        <v>279</v>
      </c>
      <c r="B482" t="s">
        <v>3</v>
      </c>
      <c r="C482" s="160">
        <v>4</v>
      </c>
      <c r="D482" t="str">
        <f>VLOOKUP(A482,DataUsuario!B:D,2,FALSE)</f>
        <v>Operaciones</v>
      </c>
      <c r="E482" t="str">
        <f>VLOOKUP(A482,DataUsuario!B:D,3,FALSE)</f>
        <v>Transporte</v>
      </c>
      <c r="F482" t="s">
        <v>70</v>
      </c>
    </row>
    <row r="483" spans="1:6" x14ac:dyDescent="0.3">
      <c r="A483" s="156" t="s">
        <v>655</v>
      </c>
      <c r="B483" t="s">
        <v>3</v>
      </c>
      <c r="C483" s="157">
        <v>5</v>
      </c>
      <c r="D483" t="str">
        <f>VLOOKUP(A483,DataUsuario!B:D,2,FALSE)</f>
        <v>Operaciones</v>
      </c>
      <c r="E483" t="str">
        <f>VLOOKUP(A483,DataUsuario!B:D,3,FALSE)</f>
        <v>Almacenes y Distribución PT</v>
      </c>
      <c r="F483" t="s">
        <v>70</v>
      </c>
    </row>
    <row r="484" spans="1:6" x14ac:dyDescent="0.3">
      <c r="A484" s="159" t="s">
        <v>202</v>
      </c>
      <c r="B484" t="s">
        <v>3</v>
      </c>
      <c r="C484" s="160" t="s">
        <v>666</v>
      </c>
      <c r="D484" t="str">
        <f>VLOOKUP(A484,DataUsuario!B:D,2,FALSE)</f>
        <v>Agrícola</v>
      </c>
      <c r="E484" t="str">
        <f>VLOOKUP(A484,DataUsuario!B:D,3,FALSE)</f>
        <v>Fundo La Huaca</v>
      </c>
      <c r="F484" t="s">
        <v>89</v>
      </c>
    </row>
    <row r="485" spans="1:6" x14ac:dyDescent="0.3">
      <c r="A485" s="156" t="s">
        <v>154</v>
      </c>
      <c r="B485" t="s">
        <v>3</v>
      </c>
      <c r="C485" s="157">
        <v>4</v>
      </c>
      <c r="D485" t="str">
        <f>VLOOKUP(A485,DataUsuario!B:D,2,FALSE)</f>
        <v>Industrial y de Mantenimiento</v>
      </c>
      <c r="E485" t="str">
        <f>VLOOKUP(A485,DataUsuario!B:D,3,FALSE)</f>
        <v>Mantenimiento Industrial</v>
      </c>
      <c r="F485" t="s">
        <v>74</v>
      </c>
    </row>
    <row r="486" spans="1:6" x14ac:dyDescent="0.3">
      <c r="A486" s="159" t="s">
        <v>332</v>
      </c>
      <c r="B486" t="s">
        <v>3</v>
      </c>
      <c r="C486" s="160">
        <v>3</v>
      </c>
      <c r="D486" t="str">
        <f>VLOOKUP(A486,DataUsuario!B:D,2,FALSE)</f>
        <v>Agrícola</v>
      </c>
      <c r="E486" t="str">
        <f>VLOOKUP(A486,DataUsuario!B:D,3,FALSE)</f>
        <v>Gerencia Agrícola</v>
      </c>
      <c r="F486" t="s">
        <v>89</v>
      </c>
    </row>
    <row r="487" spans="1:6" x14ac:dyDescent="0.3">
      <c r="A487" s="156" t="s">
        <v>359</v>
      </c>
      <c r="B487" t="s">
        <v>3</v>
      </c>
      <c r="C487" s="157">
        <v>3</v>
      </c>
      <c r="D487" t="str">
        <f>VLOOKUP(A487,DataUsuario!B:D,2,FALSE)</f>
        <v>Operaciones</v>
      </c>
      <c r="E487" t="str">
        <f>VLOOKUP(A487,DataUsuario!B:D,3,FALSE)</f>
        <v>Gerencia de Operaciones</v>
      </c>
      <c r="F487" t="s">
        <v>70</v>
      </c>
    </row>
    <row r="488" spans="1:6" x14ac:dyDescent="0.3">
      <c r="A488" s="159" t="s">
        <v>172</v>
      </c>
      <c r="B488" t="s">
        <v>3</v>
      </c>
      <c r="C488" s="160">
        <v>3</v>
      </c>
      <c r="D488" t="str">
        <f>VLOOKUP(A488,DataUsuario!B:D,2,FALSE)</f>
        <v>Gestión Humana y Sostenibilidad</v>
      </c>
      <c r="E488" t="str">
        <f>VLOOKUP(A488,DataUsuario!B:D,3,FALSE)</f>
        <v>Gestor de Recursos Humanos</v>
      </c>
      <c r="F488" t="s">
        <v>62</v>
      </c>
    </row>
    <row r="489" spans="1:6" x14ac:dyDescent="0.3">
      <c r="A489" s="156" t="s">
        <v>260</v>
      </c>
      <c r="B489" t="s">
        <v>3</v>
      </c>
      <c r="C489" s="157">
        <v>3</v>
      </c>
      <c r="D489" t="str">
        <f>VLOOKUP(A489,DataUsuario!B:D,2,FALSE)</f>
        <v>Industrial y de Mantenimiento</v>
      </c>
      <c r="E489" t="str">
        <f>VLOOKUP(A489,DataUsuario!B:D,3,FALSE)</f>
        <v>Producción</v>
      </c>
      <c r="F489" t="s">
        <v>74</v>
      </c>
    </row>
    <row r="490" spans="1:6" x14ac:dyDescent="0.3">
      <c r="A490" s="159" t="s">
        <v>242</v>
      </c>
      <c r="B490" t="s">
        <v>3</v>
      </c>
      <c r="C490" s="160">
        <v>5</v>
      </c>
      <c r="D490" t="str">
        <f>VLOOKUP(A490,DataUsuario!B:D,2,FALSE)</f>
        <v>Agrícola</v>
      </c>
      <c r="E490" t="str">
        <f>VLOOKUP(A490,DataUsuario!B:D,3,FALSE)</f>
        <v>Fundo Montelima</v>
      </c>
      <c r="F490" t="s">
        <v>89</v>
      </c>
    </row>
    <row r="491" spans="1:6" x14ac:dyDescent="0.3">
      <c r="A491" s="156" t="s">
        <v>661</v>
      </c>
      <c r="B491" t="s">
        <v>3</v>
      </c>
      <c r="C491" s="157">
        <v>4</v>
      </c>
      <c r="D491" t="str">
        <f>VLOOKUP(A491,DataUsuario!B:D,2,FALSE)</f>
        <v>Gestión Humana y Sostenibilidad</v>
      </c>
      <c r="E491" t="str">
        <f>VLOOKUP(A491,DataUsuario!B:D,3,FALSE)</f>
        <v>Gestión Humana</v>
      </c>
      <c r="F491" t="s">
        <v>62</v>
      </c>
    </row>
    <row r="492" spans="1:6" x14ac:dyDescent="0.3">
      <c r="A492" s="159" t="s">
        <v>138</v>
      </c>
      <c r="B492" t="s">
        <v>3</v>
      </c>
      <c r="C492" s="160">
        <v>4</v>
      </c>
      <c r="D492" t="str">
        <f>VLOOKUP(A492,DataUsuario!B:D,2,FALSE)</f>
        <v>Gestión Humana y Sostenibilidad</v>
      </c>
      <c r="E492" t="str">
        <f>VLOOKUP(A492,DataUsuario!B:D,3,FALSE)</f>
        <v>Gestion del Talento</v>
      </c>
      <c r="F492" t="s">
        <v>62</v>
      </c>
    </row>
    <row r="493" spans="1:6" x14ac:dyDescent="0.3">
      <c r="A493" s="156" t="s">
        <v>662</v>
      </c>
      <c r="B493" t="s">
        <v>3</v>
      </c>
      <c r="C493" s="157">
        <v>5</v>
      </c>
      <c r="D493" t="str">
        <f>VLOOKUP(A493,DataUsuario!B:D,2,FALSE)</f>
        <v>Gestión Humana y Sostenibilidad</v>
      </c>
      <c r="E493" t="str">
        <f>VLOOKUP(A493,DataUsuario!B:D,3,FALSE)</f>
        <v>Relaciones Laborales</v>
      </c>
      <c r="F493" t="s">
        <v>62</v>
      </c>
    </row>
    <row r="494" spans="1:6" x14ac:dyDescent="0.3">
      <c r="A494" s="159" t="s">
        <v>663</v>
      </c>
      <c r="B494" t="s">
        <v>3</v>
      </c>
      <c r="C494" s="160">
        <v>5</v>
      </c>
      <c r="D494" t="str">
        <f>VLOOKUP(A494,DataUsuario!B:D,2,FALSE)</f>
        <v>Administración y Finanzas</v>
      </c>
      <c r="E494" t="str">
        <f>VLOOKUP(A494,DataUsuario!B:D,3,FALSE)</f>
        <v>Contabilidad Tributaria</v>
      </c>
      <c r="F494" t="s">
        <v>66</v>
      </c>
    </row>
    <row r="495" spans="1:6" x14ac:dyDescent="0.3">
      <c r="A495" s="156" t="s">
        <v>247</v>
      </c>
      <c r="B495" t="s">
        <v>3</v>
      </c>
      <c r="C495" s="157">
        <v>5</v>
      </c>
      <c r="D495" t="str">
        <f>VLOOKUP(A495,DataUsuario!B:D,2,FALSE)</f>
        <v>Industrial y de Mantenimiento</v>
      </c>
      <c r="E495" t="str">
        <f>VLOOKUP(A495,DataUsuario!B:D,3,FALSE)</f>
        <v>Mantenimiento Industrial</v>
      </c>
      <c r="F495" t="s">
        <v>74</v>
      </c>
    </row>
    <row r="496" spans="1:6" x14ac:dyDescent="0.3">
      <c r="A496" s="159" t="s">
        <v>271</v>
      </c>
      <c r="B496" t="s">
        <v>3</v>
      </c>
      <c r="C496" s="160">
        <v>5</v>
      </c>
      <c r="D496" t="str">
        <f>VLOOKUP(A496,DataUsuario!B:D,2,FALSE)</f>
        <v>Operaciones</v>
      </c>
      <c r="E496" t="str">
        <f>VLOOKUP(A496,DataUsuario!B:D,3,FALSE)</f>
        <v>Calidad</v>
      </c>
      <c r="F496" t="s">
        <v>70</v>
      </c>
    </row>
    <row r="497" spans="1:6" x14ac:dyDescent="0.3">
      <c r="A497" s="156" t="s">
        <v>291</v>
      </c>
      <c r="B497" t="s">
        <v>3</v>
      </c>
      <c r="C497" s="157">
        <v>4</v>
      </c>
      <c r="D497" t="str">
        <f>VLOOKUP(A497,DataUsuario!B:D,2,FALSE)</f>
        <v>Gestión Humana y Sostenibilidad</v>
      </c>
      <c r="E497" t="str">
        <f>VLOOKUP(A497,DataUsuario!B:D,3,FALSE)</f>
        <v>Gerencia Gestión Humana y Sostenibilidad</v>
      </c>
      <c r="F497" t="s">
        <v>62</v>
      </c>
    </row>
    <row r="498" spans="1:6" x14ac:dyDescent="0.3">
      <c r="A498" s="159" t="s">
        <v>80</v>
      </c>
      <c r="B498" t="s">
        <v>3</v>
      </c>
      <c r="C498" s="160" t="s">
        <v>666</v>
      </c>
      <c r="D498" t="str">
        <f>VLOOKUP(A498,DataUsuario!B:D,2,FALSE)</f>
        <v>Administración y Finanzas</v>
      </c>
      <c r="E498" t="str">
        <f>VLOOKUP(A498,DataUsuario!B:D,3,FALSE)</f>
        <v>Compras</v>
      </c>
      <c r="F498" t="s">
        <v>66</v>
      </c>
    </row>
    <row r="499" spans="1:6" x14ac:dyDescent="0.3">
      <c r="A499" s="156" t="s">
        <v>88</v>
      </c>
      <c r="B499" t="s">
        <v>3</v>
      </c>
      <c r="C499" s="157">
        <v>5</v>
      </c>
      <c r="D499" t="str">
        <f>VLOOKUP(A499,DataUsuario!B:D,2,FALSE)</f>
        <v>Agrícola</v>
      </c>
      <c r="E499" t="str">
        <f>VLOOKUP(A499,DataUsuario!B:D,3,FALSE)</f>
        <v>Fundo Lobo</v>
      </c>
      <c r="F499" t="s">
        <v>89</v>
      </c>
    </row>
    <row r="500" spans="1:6" x14ac:dyDescent="0.3">
      <c r="A500" s="159" t="s">
        <v>143</v>
      </c>
      <c r="B500" t="s">
        <v>3</v>
      </c>
      <c r="C500" s="160">
        <v>5</v>
      </c>
      <c r="D500" t="str">
        <f>VLOOKUP(A500,DataUsuario!B:D,2,FALSE)</f>
        <v>Operaciones</v>
      </c>
      <c r="E500" t="str">
        <f>VLOOKUP(A500,DataUsuario!B:D,3,FALSE)</f>
        <v>Transporte</v>
      </c>
      <c r="F500" t="s">
        <v>70</v>
      </c>
    </row>
    <row r="501" spans="1:6" x14ac:dyDescent="0.3">
      <c r="A501" s="162" t="s">
        <v>123</v>
      </c>
      <c r="B501" t="s">
        <v>3</v>
      </c>
      <c r="C501" s="163" t="s">
        <v>666</v>
      </c>
      <c r="D501" t="str">
        <f>VLOOKUP(A501,DataUsuario!B:D,2,FALSE)</f>
        <v>Administración y Finanzas</v>
      </c>
      <c r="E501" t="str">
        <f>VLOOKUP(A501,DataUsuario!B:D,3,FALSE)</f>
        <v>Gerencia Administración y Finanzas</v>
      </c>
      <c r="F501" t="s">
        <v>66</v>
      </c>
    </row>
    <row r="502" spans="1:6" x14ac:dyDescent="0.3">
      <c r="A502" s="156" t="s">
        <v>133</v>
      </c>
      <c r="B502" t="s">
        <v>4</v>
      </c>
      <c r="C502" s="158">
        <v>5</v>
      </c>
      <c r="D502" t="str">
        <f>VLOOKUP(A502,DataUsuario!B:D,2,FALSE)</f>
        <v>Industrial y de Mantenimiento</v>
      </c>
      <c r="E502" t="str">
        <f>VLOOKUP(A502,DataUsuario!B:D,3,FALSE)</f>
        <v>Electricidad</v>
      </c>
      <c r="F502" t="s">
        <v>74</v>
      </c>
    </row>
    <row r="503" spans="1:6" x14ac:dyDescent="0.3">
      <c r="A503" s="159" t="s">
        <v>397</v>
      </c>
      <c r="B503" t="s">
        <v>4</v>
      </c>
      <c r="C503" s="161">
        <v>5</v>
      </c>
      <c r="D503" t="str">
        <f>VLOOKUP(A503,DataUsuario!B:D,2,FALSE)</f>
        <v>Administración y Finanzas</v>
      </c>
      <c r="E503" t="str">
        <f>VLOOKUP(A503,DataUsuario!B:D,3,FALSE)</f>
        <v>Control de Gestión</v>
      </c>
      <c r="F503" t="s">
        <v>66</v>
      </c>
    </row>
    <row r="504" spans="1:6" x14ac:dyDescent="0.3">
      <c r="A504" s="156" t="s">
        <v>92</v>
      </c>
      <c r="B504" t="s">
        <v>4</v>
      </c>
      <c r="C504" s="158">
        <v>5</v>
      </c>
      <c r="D504" t="str">
        <f>VLOOKUP(A504,DataUsuario!B:D,2,FALSE)</f>
        <v>Administración y Finanzas</v>
      </c>
      <c r="E504" t="str">
        <f>VLOOKUP(A504,DataUsuario!B:D,3,FALSE)</f>
        <v>Control de Gestión</v>
      </c>
      <c r="F504" t="s">
        <v>66</v>
      </c>
    </row>
    <row r="505" spans="1:6" x14ac:dyDescent="0.3">
      <c r="A505" s="159" t="s">
        <v>213</v>
      </c>
      <c r="B505" t="s">
        <v>4</v>
      </c>
      <c r="C505" s="161">
        <v>4</v>
      </c>
      <c r="D505" t="str">
        <f>VLOOKUP(A505,DataUsuario!B:D,2,FALSE)</f>
        <v>Gestión Humana y Sostenibilidad</v>
      </c>
      <c r="E505" t="str">
        <f>VLOOKUP(A505,DataUsuario!B:D,3,FALSE)</f>
        <v>Seguridad</v>
      </c>
      <c r="F505" t="s">
        <v>62</v>
      </c>
    </row>
    <row r="506" spans="1:6" x14ac:dyDescent="0.3">
      <c r="A506" s="156" t="s">
        <v>520</v>
      </c>
      <c r="B506" t="s">
        <v>4</v>
      </c>
      <c r="C506" s="158">
        <v>5</v>
      </c>
      <c r="D506" t="str">
        <f>VLOOKUP(A506,DataUsuario!B:D,2,FALSE)</f>
        <v>Administración y Finanzas</v>
      </c>
      <c r="E506" t="str">
        <f>VLOOKUP(A506,DataUsuario!B:D,3,FALSE)</f>
        <v>Contabilidad Tributaria</v>
      </c>
      <c r="F506" t="s">
        <v>66</v>
      </c>
    </row>
    <row r="507" spans="1:6" x14ac:dyDescent="0.3">
      <c r="A507" s="159" t="s">
        <v>145</v>
      </c>
      <c r="B507" t="s">
        <v>4</v>
      </c>
      <c r="C507" s="161" t="s">
        <v>666</v>
      </c>
      <c r="D507" t="str">
        <f>VLOOKUP(A507,DataUsuario!B:D,2,FALSE)</f>
        <v>Administración y Finanzas</v>
      </c>
      <c r="E507" t="str">
        <f>VLOOKUP(A507,DataUsuario!B:D,3,FALSE)</f>
        <v>Legal</v>
      </c>
      <c r="F507" t="s">
        <v>66</v>
      </c>
    </row>
    <row r="508" spans="1:6" x14ac:dyDescent="0.3">
      <c r="A508" s="156" t="s">
        <v>207</v>
      </c>
      <c r="B508" t="s">
        <v>4</v>
      </c>
      <c r="C508" s="158">
        <v>5</v>
      </c>
      <c r="D508" t="str">
        <f>VLOOKUP(A508,DataUsuario!B:D,2,FALSE)</f>
        <v>Administración y Finanzas</v>
      </c>
      <c r="E508" t="str">
        <f>VLOOKUP(A508,DataUsuario!B:D,3,FALSE)</f>
        <v>Riesgos y Cumplimiento</v>
      </c>
      <c r="F508" t="s">
        <v>66</v>
      </c>
    </row>
    <row r="509" spans="1:6" x14ac:dyDescent="0.3">
      <c r="A509" s="159" t="s">
        <v>115</v>
      </c>
      <c r="B509" t="s">
        <v>4</v>
      </c>
      <c r="C509" s="161">
        <v>5</v>
      </c>
      <c r="D509" t="str">
        <f>VLOOKUP(A509,DataUsuario!B:D,2,FALSE)</f>
        <v>Industrial y de Mantenimiento</v>
      </c>
      <c r="E509" t="str">
        <f>VLOOKUP(A509,DataUsuario!B:D,3,FALSE)</f>
        <v>Mantenimiento de Transportes</v>
      </c>
      <c r="F509" t="s">
        <v>74</v>
      </c>
    </row>
    <row r="510" spans="1:6" x14ac:dyDescent="0.3">
      <c r="A510" s="156" t="s">
        <v>254</v>
      </c>
      <c r="B510" t="s">
        <v>4</v>
      </c>
      <c r="C510" s="158">
        <v>4</v>
      </c>
      <c r="D510" t="str">
        <f>VLOOKUP(A510,DataUsuario!B:D,2,FALSE)</f>
        <v>Administración y Finanzas</v>
      </c>
      <c r="E510" t="str">
        <f>VLOOKUP(A510,DataUsuario!B:D,3,FALSE)</f>
        <v>Administración</v>
      </c>
      <c r="F510" t="s">
        <v>66</v>
      </c>
    </row>
    <row r="511" spans="1:6" x14ac:dyDescent="0.3">
      <c r="A511" s="159" t="s">
        <v>601</v>
      </c>
      <c r="B511" t="s">
        <v>4</v>
      </c>
      <c r="C511" s="161">
        <v>3</v>
      </c>
      <c r="D511" t="str">
        <f>VLOOKUP(A511,DataUsuario!B:D,2,FALSE)</f>
        <v>Operaciones</v>
      </c>
      <c r="E511" t="str">
        <f>VLOOKUP(A511,DataUsuario!B:D,3,FALSE)</f>
        <v>Almacenes y Distribución PT</v>
      </c>
      <c r="F511" t="s">
        <v>70</v>
      </c>
    </row>
    <row r="512" spans="1:6" x14ac:dyDescent="0.3">
      <c r="A512" s="156" t="s">
        <v>285</v>
      </c>
      <c r="B512" t="s">
        <v>4</v>
      </c>
      <c r="C512" s="158">
        <v>5</v>
      </c>
      <c r="D512" t="str">
        <f>VLOOKUP(A512,DataUsuario!B:D,2,FALSE)</f>
        <v>Operaciones</v>
      </c>
      <c r="E512" t="str">
        <f>VLOOKUP(A512,DataUsuario!B:D,3,FALSE)</f>
        <v>Comercial</v>
      </c>
      <c r="F512" t="s">
        <v>70</v>
      </c>
    </row>
    <row r="513" spans="1:6" x14ac:dyDescent="0.3">
      <c r="A513" s="159" t="s">
        <v>602</v>
      </c>
      <c r="B513" t="s">
        <v>4</v>
      </c>
      <c r="C513" s="161">
        <v>5</v>
      </c>
      <c r="D513" t="str">
        <f>VLOOKUP(A513,DataUsuario!B:D,2,FALSE)</f>
        <v>Operaciones</v>
      </c>
      <c r="E513" t="str">
        <f>VLOOKUP(A513,DataUsuario!B:D,3,FALSE)</f>
        <v>Cosecha</v>
      </c>
      <c r="F513" t="s">
        <v>70</v>
      </c>
    </row>
    <row r="514" spans="1:6" x14ac:dyDescent="0.3">
      <c r="A514" s="156" t="s">
        <v>431</v>
      </c>
      <c r="B514" t="s">
        <v>4</v>
      </c>
      <c r="C514" s="158">
        <v>5</v>
      </c>
      <c r="D514" t="str">
        <f>VLOOKUP(A514,DataUsuario!B:D,2,FALSE)</f>
        <v>Agrícola</v>
      </c>
      <c r="E514" t="str">
        <f>VLOOKUP(A514,DataUsuario!B:D,3,FALSE)</f>
        <v>Fundo San Vicente</v>
      </c>
      <c r="F514" t="s">
        <v>89</v>
      </c>
    </row>
    <row r="515" spans="1:6" x14ac:dyDescent="0.3">
      <c r="A515" s="159" t="s">
        <v>318</v>
      </c>
      <c r="B515" t="s">
        <v>4</v>
      </c>
      <c r="C515" s="161">
        <v>5</v>
      </c>
      <c r="D515" t="str">
        <f>VLOOKUP(A515,DataUsuario!B:D,2,FALSE)</f>
        <v>Operaciones</v>
      </c>
      <c r="E515" t="str">
        <f>VLOOKUP(A515,DataUsuario!B:D,3,FALSE)</f>
        <v>Cosecha</v>
      </c>
      <c r="F515" t="s">
        <v>70</v>
      </c>
    </row>
    <row r="516" spans="1:6" x14ac:dyDescent="0.3">
      <c r="A516" s="156" t="s">
        <v>176</v>
      </c>
      <c r="B516" t="s">
        <v>4</v>
      </c>
      <c r="C516" s="158">
        <v>5</v>
      </c>
      <c r="D516" t="str">
        <f>VLOOKUP(A516,DataUsuario!B:D,2,FALSE)</f>
        <v>Administración y Finanzas</v>
      </c>
      <c r="E516" t="str">
        <f>VLOOKUP(A516,DataUsuario!B:D,3,FALSE)</f>
        <v>Cadenas Productivas</v>
      </c>
      <c r="F516" t="s">
        <v>66</v>
      </c>
    </row>
    <row r="517" spans="1:6" x14ac:dyDescent="0.3">
      <c r="A517" s="159" t="s">
        <v>312</v>
      </c>
      <c r="B517" t="s">
        <v>4</v>
      </c>
      <c r="C517" s="161">
        <v>5</v>
      </c>
      <c r="D517" t="str">
        <f>VLOOKUP(A517,DataUsuario!B:D,2,FALSE)</f>
        <v>Operaciones</v>
      </c>
      <c r="E517" t="str">
        <f>VLOOKUP(A517,DataUsuario!B:D,3,FALSE)</f>
        <v>Calidad</v>
      </c>
      <c r="F517" t="s">
        <v>70</v>
      </c>
    </row>
    <row r="518" spans="1:6" x14ac:dyDescent="0.3">
      <c r="A518" s="156" t="s">
        <v>604</v>
      </c>
      <c r="B518" t="s">
        <v>4</v>
      </c>
      <c r="C518" s="158">
        <v>5</v>
      </c>
      <c r="D518" t="str">
        <f>VLOOKUP(A518,DataUsuario!B:D,2,FALSE)</f>
        <v>Gestión Humana y Sostenibilidad</v>
      </c>
      <c r="E518" t="str">
        <f>VLOOKUP(A518,DataUsuario!B:D,3,FALSE)</f>
        <v>Bienestar - Medico Ocupacional</v>
      </c>
      <c r="F518" t="s">
        <v>62</v>
      </c>
    </row>
    <row r="519" spans="1:6" x14ac:dyDescent="0.3">
      <c r="A519" s="159" t="s">
        <v>97</v>
      </c>
      <c r="B519" t="s">
        <v>4</v>
      </c>
      <c r="C519" s="161">
        <v>5</v>
      </c>
      <c r="D519" t="str">
        <f>VLOOKUP(A519,DataUsuario!B:D,2,FALSE)</f>
        <v>Gestión Humana y Sostenibilidad</v>
      </c>
      <c r="E519" t="str">
        <f>VLOOKUP(A519,DataUsuario!B:D,3,FALSE)</f>
        <v>Compensación y Nóminas</v>
      </c>
      <c r="F519" t="s">
        <v>62</v>
      </c>
    </row>
    <row r="520" spans="1:6" x14ac:dyDescent="0.3">
      <c r="A520" s="156" t="s">
        <v>299</v>
      </c>
      <c r="B520" t="s">
        <v>4</v>
      </c>
      <c r="C520" s="158">
        <v>4</v>
      </c>
      <c r="D520" t="str">
        <f>VLOOKUP(A520,DataUsuario!B:D,2,FALSE)</f>
        <v>Administración y Finanzas</v>
      </c>
      <c r="E520" t="str">
        <f>VLOOKUP(A520,DataUsuario!B:D,3,FALSE)</f>
        <v>Legal</v>
      </c>
      <c r="F520" t="s">
        <v>66</v>
      </c>
    </row>
    <row r="521" spans="1:6" x14ac:dyDescent="0.3">
      <c r="A521" s="159" t="s">
        <v>606</v>
      </c>
      <c r="B521" t="s">
        <v>4</v>
      </c>
      <c r="C521" s="161">
        <v>5</v>
      </c>
      <c r="D521" t="str">
        <f>VLOOKUP(A521,DataUsuario!B:D,2,FALSE)</f>
        <v>Gestión Humana y Sostenibilidad</v>
      </c>
      <c r="E521" t="str">
        <f>VLOOKUP(A521,DataUsuario!B:D,3,FALSE)</f>
        <v>Seguridad</v>
      </c>
      <c r="F521" t="s">
        <v>62</v>
      </c>
    </row>
    <row r="522" spans="1:6" x14ac:dyDescent="0.3">
      <c r="A522" s="156" t="s">
        <v>326</v>
      </c>
      <c r="B522" t="s">
        <v>4</v>
      </c>
      <c r="C522" s="158">
        <v>5</v>
      </c>
      <c r="D522" t="str">
        <f>VLOOKUP(A522,DataUsuario!B:D,2,FALSE)</f>
        <v>Operaciones</v>
      </c>
      <c r="E522" t="str">
        <f>VLOOKUP(A522,DataUsuario!B:D,3,FALSE)</f>
        <v>Calidad</v>
      </c>
      <c r="F522" t="s">
        <v>70</v>
      </c>
    </row>
    <row r="523" spans="1:6" x14ac:dyDescent="0.3">
      <c r="A523" s="159" t="s">
        <v>609</v>
      </c>
      <c r="B523" t="s">
        <v>4</v>
      </c>
      <c r="C523" s="161">
        <v>4</v>
      </c>
      <c r="D523" t="str">
        <f>VLOOKUP(A523,DataUsuario!B:D,2,FALSE)</f>
        <v>Agrícola</v>
      </c>
      <c r="E523" t="str">
        <f>VLOOKUP(A523,DataUsuario!B:D,3,FALSE)</f>
        <v>Mantenimiento de Riego y Bombas</v>
      </c>
      <c r="F523" t="s">
        <v>89</v>
      </c>
    </row>
    <row r="524" spans="1:6" x14ac:dyDescent="0.3">
      <c r="A524" s="156" t="s">
        <v>245</v>
      </c>
      <c r="B524" t="s">
        <v>4</v>
      </c>
      <c r="C524" s="158">
        <v>5</v>
      </c>
      <c r="D524" t="str">
        <f>VLOOKUP(A524,DataUsuario!B:D,2,FALSE)</f>
        <v>Gestión Humana y Sostenibilidad</v>
      </c>
      <c r="E524" t="str">
        <f>VLOOKUP(A524,DataUsuario!B:D,3,FALSE)</f>
        <v>Compensación y Nóminas</v>
      </c>
      <c r="F524" t="s">
        <v>62</v>
      </c>
    </row>
    <row r="525" spans="1:6" x14ac:dyDescent="0.3">
      <c r="A525" s="159" t="s">
        <v>287</v>
      </c>
      <c r="B525" t="s">
        <v>4</v>
      </c>
      <c r="C525" s="161">
        <v>5</v>
      </c>
      <c r="D525" t="str">
        <f>VLOOKUP(A525,DataUsuario!B:D,2,FALSE)</f>
        <v>Operaciones</v>
      </c>
      <c r="E525" t="str">
        <f>VLOOKUP(A525,DataUsuario!B:D,3,FALSE)</f>
        <v>Calidad</v>
      </c>
      <c r="F525" t="s">
        <v>70</v>
      </c>
    </row>
    <row r="526" spans="1:6" x14ac:dyDescent="0.3">
      <c r="A526" s="156" t="s">
        <v>439</v>
      </c>
      <c r="B526" t="s">
        <v>4</v>
      </c>
      <c r="C526" s="158">
        <v>5</v>
      </c>
      <c r="D526" t="str">
        <f>VLOOKUP(A526,DataUsuario!B:D,2,FALSE)</f>
        <v>Operaciones</v>
      </c>
      <c r="E526" t="str">
        <f>VLOOKUP(A526,DataUsuario!B:D,3,FALSE)</f>
        <v>Comercial</v>
      </c>
      <c r="F526" t="s">
        <v>70</v>
      </c>
    </row>
    <row r="527" spans="1:6" x14ac:dyDescent="0.3">
      <c r="A527" s="159" t="s">
        <v>95</v>
      </c>
      <c r="B527" t="s">
        <v>4</v>
      </c>
      <c r="C527" s="161">
        <v>5</v>
      </c>
      <c r="D527" t="str">
        <f>VLOOKUP(A527,DataUsuario!B:D,2,FALSE)</f>
        <v>Administración y Finanzas</v>
      </c>
      <c r="E527" t="str">
        <f>VLOOKUP(A527,DataUsuario!B:D,3,FALSE)</f>
        <v>Legal</v>
      </c>
      <c r="F527" t="s">
        <v>66</v>
      </c>
    </row>
    <row r="528" spans="1:6" x14ac:dyDescent="0.3">
      <c r="A528" s="156" t="s">
        <v>328</v>
      </c>
      <c r="B528" t="s">
        <v>4</v>
      </c>
      <c r="C528" s="158">
        <v>5</v>
      </c>
      <c r="D528" t="str">
        <f>VLOOKUP(A528,DataUsuario!B:D,2,FALSE)</f>
        <v>Administración y Finanzas</v>
      </c>
      <c r="E528" t="str">
        <f>VLOOKUP(A528,DataUsuario!B:D,3,FALSE)</f>
        <v>Administración</v>
      </c>
      <c r="F528" t="s">
        <v>66</v>
      </c>
    </row>
    <row r="529" spans="1:6" x14ac:dyDescent="0.3">
      <c r="A529" s="159" t="s">
        <v>322</v>
      </c>
      <c r="B529" t="s">
        <v>4</v>
      </c>
      <c r="C529" s="161">
        <v>5</v>
      </c>
      <c r="D529" t="str">
        <f>VLOOKUP(A529,DataUsuario!B:D,2,FALSE)</f>
        <v>Administración y Finanzas</v>
      </c>
      <c r="E529" t="str">
        <f>VLOOKUP(A529,DataUsuario!B:D,3,FALSE)</f>
        <v>Finanzas y Tesorería</v>
      </c>
      <c r="F529" t="s">
        <v>66</v>
      </c>
    </row>
    <row r="530" spans="1:6" x14ac:dyDescent="0.3">
      <c r="A530" s="156" t="s">
        <v>612</v>
      </c>
      <c r="B530" t="s">
        <v>4</v>
      </c>
      <c r="C530" s="158">
        <v>4</v>
      </c>
      <c r="D530" t="str">
        <f>VLOOKUP(A530,DataUsuario!B:D,2,FALSE)</f>
        <v>Operaciones</v>
      </c>
      <c r="E530" t="str">
        <f>VLOOKUP(A530,DataUsuario!B:D,3,FALSE)</f>
        <v>Mantenimiento CAT</v>
      </c>
      <c r="F530" t="s">
        <v>70</v>
      </c>
    </row>
    <row r="531" spans="1:6" x14ac:dyDescent="0.3">
      <c r="A531" s="159" t="s">
        <v>613</v>
      </c>
      <c r="B531" t="s">
        <v>4</v>
      </c>
      <c r="C531" s="161">
        <v>5</v>
      </c>
      <c r="D531" t="str">
        <f>VLOOKUP(A531,DataUsuario!B:D,2,FALSE)</f>
        <v>Administración y Finanzas</v>
      </c>
      <c r="E531" t="str">
        <f>VLOOKUP(A531,DataUsuario!B:D,3,FALSE)</f>
        <v>Control de Gestión</v>
      </c>
      <c r="F531" t="s">
        <v>66</v>
      </c>
    </row>
    <row r="532" spans="1:6" x14ac:dyDescent="0.3">
      <c r="A532" s="156" t="s">
        <v>376</v>
      </c>
      <c r="B532" t="s">
        <v>4</v>
      </c>
      <c r="C532" s="158">
        <v>5</v>
      </c>
      <c r="D532" t="str">
        <f>VLOOKUP(A532,DataUsuario!B:D,2,FALSE)</f>
        <v>Administración y Finanzas</v>
      </c>
      <c r="E532" t="str">
        <f>VLOOKUP(A532,DataUsuario!B:D,3,FALSE)</f>
        <v>Control de Gestión</v>
      </c>
      <c r="F532" t="s">
        <v>66</v>
      </c>
    </row>
    <row r="533" spans="1:6" x14ac:dyDescent="0.3">
      <c r="A533" s="159" t="s">
        <v>413</v>
      </c>
      <c r="B533" t="s">
        <v>4</v>
      </c>
      <c r="C533" s="161">
        <v>5</v>
      </c>
      <c r="D533" t="str">
        <f>VLOOKUP(A533,DataUsuario!B:D,2,FALSE)</f>
        <v>Administración y Finanzas</v>
      </c>
      <c r="E533" t="str">
        <f>VLOOKUP(A533,DataUsuario!B:D,3,FALSE)</f>
        <v>Contabilidad Tributaria</v>
      </c>
      <c r="F533" t="s">
        <v>66</v>
      </c>
    </row>
    <row r="534" spans="1:6" x14ac:dyDescent="0.3">
      <c r="A534" s="156" t="s">
        <v>614</v>
      </c>
      <c r="B534" t="s">
        <v>4</v>
      </c>
      <c r="C534" s="158">
        <v>5</v>
      </c>
      <c r="D534" t="str">
        <f>VLOOKUP(A534,DataUsuario!B:D,2,FALSE)</f>
        <v>Gestión Humana y Sostenibilidad</v>
      </c>
      <c r="E534" t="str">
        <f>VLOOKUP(A534,DataUsuario!B:D,3,FALSE)</f>
        <v>Gestor de Recursos Humanos</v>
      </c>
      <c r="F534" t="s">
        <v>62</v>
      </c>
    </row>
    <row r="535" spans="1:6" x14ac:dyDescent="0.3">
      <c r="A535" s="159" t="s">
        <v>65</v>
      </c>
      <c r="B535" t="s">
        <v>4</v>
      </c>
      <c r="C535" s="161">
        <v>5</v>
      </c>
      <c r="D535" t="str">
        <f>VLOOKUP(A535,DataUsuario!B:D,2,FALSE)</f>
        <v>Administración y Finanzas</v>
      </c>
      <c r="E535" t="str">
        <f>VLOOKUP(A535,DataUsuario!B:D,3,FALSE)</f>
        <v>Finanzas y Tesorería</v>
      </c>
      <c r="F535" t="s">
        <v>66</v>
      </c>
    </row>
    <row r="536" spans="1:6" x14ac:dyDescent="0.3">
      <c r="A536" s="156" t="s">
        <v>85</v>
      </c>
      <c r="B536" t="s">
        <v>4</v>
      </c>
      <c r="C536" s="158">
        <v>5</v>
      </c>
      <c r="D536" t="str">
        <f>VLOOKUP(A536,DataUsuario!B:D,2,FALSE)</f>
        <v>Operaciones</v>
      </c>
      <c r="E536" t="str">
        <f>VLOOKUP(A536,DataUsuario!B:D,3,FALSE)</f>
        <v>Comercial</v>
      </c>
      <c r="F536" t="s">
        <v>70</v>
      </c>
    </row>
    <row r="537" spans="1:6" x14ac:dyDescent="0.3">
      <c r="A537" s="159" t="s">
        <v>350</v>
      </c>
      <c r="B537" t="s">
        <v>4</v>
      </c>
      <c r="C537" s="161">
        <v>5</v>
      </c>
      <c r="D537" t="str">
        <f>VLOOKUP(A537,DataUsuario!B:D,2,FALSE)</f>
        <v>Agrícola</v>
      </c>
      <c r="E537" t="str">
        <f>VLOOKUP(A537,DataUsuario!B:D,3,FALSE)</f>
        <v>Planificador Agrícola</v>
      </c>
      <c r="F537" t="s">
        <v>89</v>
      </c>
    </row>
    <row r="538" spans="1:6" x14ac:dyDescent="0.3">
      <c r="A538" s="156" t="s">
        <v>120</v>
      </c>
      <c r="B538" t="s">
        <v>4</v>
      </c>
      <c r="C538" s="158">
        <v>4</v>
      </c>
      <c r="D538" t="str">
        <f>VLOOKUP(A538,DataUsuario!B:D,2,FALSE)</f>
        <v>Agrícola</v>
      </c>
      <c r="E538" t="str">
        <f>VLOOKUP(A538,DataUsuario!B:D,3,FALSE)</f>
        <v>Fundo Montelima</v>
      </c>
      <c r="F538" t="s">
        <v>89</v>
      </c>
    </row>
    <row r="539" spans="1:6" x14ac:dyDescent="0.3">
      <c r="A539" s="159" t="s">
        <v>617</v>
      </c>
      <c r="B539" t="s">
        <v>4</v>
      </c>
      <c r="C539" s="161" t="s">
        <v>666</v>
      </c>
      <c r="D539" t="str">
        <f>VLOOKUP(A539,DataUsuario!B:D,2,FALSE)</f>
        <v>Agrícola</v>
      </c>
      <c r="E539" t="str">
        <f>VLOOKUP(A539,DataUsuario!B:D,3,FALSE)</f>
        <v>Mantenimiento de Riego y Bombas</v>
      </c>
      <c r="F539" t="s">
        <v>89</v>
      </c>
    </row>
    <row r="540" spans="1:6" x14ac:dyDescent="0.3">
      <c r="A540" s="156" t="s">
        <v>345</v>
      </c>
      <c r="B540" t="s">
        <v>4</v>
      </c>
      <c r="C540" s="158">
        <v>4</v>
      </c>
      <c r="D540" t="str">
        <f>VLOOKUP(A540,DataUsuario!B:D,2,FALSE)</f>
        <v>Agrícola</v>
      </c>
      <c r="E540" t="str">
        <f>VLOOKUP(A540,DataUsuario!B:D,3,FALSE)</f>
        <v>Mantenimiento de Riego y Bombas</v>
      </c>
      <c r="F540" t="s">
        <v>89</v>
      </c>
    </row>
    <row r="541" spans="1:6" x14ac:dyDescent="0.3">
      <c r="A541" s="159" t="s">
        <v>618</v>
      </c>
      <c r="B541" t="s">
        <v>4</v>
      </c>
      <c r="C541" s="161">
        <v>4</v>
      </c>
      <c r="D541" t="str">
        <f>VLOOKUP(A541,DataUsuario!B:D,2,FALSE)</f>
        <v>Agrícola</v>
      </c>
      <c r="E541" t="str">
        <f>VLOOKUP(A541,DataUsuario!B:D,3,FALSE)</f>
        <v>Fundo San Vicente</v>
      </c>
      <c r="F541" t="s">
        <v>89</v>
      </c>
    </row>
    <row r="542" spans="1:6" x14ac:dyDescent="0.3">
      <c r="A542" s="156" t="s">
        <v>183</v>
      </c>
      <c r="B542" t="s">
        <v>4</v>
      </c>
      <c r="C542" s="158">
        <v>5</v>
      </c>
      <c r="D542" t="str">
        <f>VLOOKUP(A542,DataUsuario!B:D,2,FALSE)</f>
        <v>Agrícola</v>
      </c>
      <c r="E542" t="str">
        <f>VLOOKUP(A542,DataUsuario!B:D,3,FALSE)</f>
        <v>Planificador Agrícola</v>
      </c>
      <c r="F542" t="s">
        <v>89</v>
      </c>
    </row>
    <row r="543" spans="1:6" x14ac:dyDescent="0.3">
      <c r="A543" s="159" t="s">
        <v>82</v>
      </c>
      <c r="B543" t="s">
        <v>4</v>
      </c>
      <c r="C543" s="161">
        <v>4</v>
      </c>
      <c r="D543" t="str">
        <f>VLOOKUP(A543,DataUsuario!B:D,2,FALSE)</f>
        <v>Industrial y de Mantenimiento</v>
      </c>
      <c r="E543" t="str">
        <f>VLOOKUP(A543,DataUsuario!B:D,3,FALSE)</f>
        <v>Producción</v>
      </c>
      <c r="F543" t="s">
        <v>74</v>
      </c>
    </row>
    <row r="544" spans="1:6" x14ac:dyDescent="0.3">
      <c r="A544" s="156" t="s">
        <v>224</v>
      </c>
      <c r="B544" t="s">
        <v>4</v>
      </c>
      <c r="C544" s="158">
        <v>5</v>
      </c>
      <c r="D544" t="str">
        <f>VLOOKUP(A544,DataUsuario!B:D,2,FALSE)</f>
        <v>Agrícola</v>
      </c>
      <c r="E544" t="str">
        <f>VLOOKUP(A544,DataUsuario!B:D,3,FALSE)</f>
        <v>Laboratorio e Investigación Agricola</v>
      </c>
      <c r="F544" t="s">
        <v>89</v>
      </c>
    </row>
    <row r="545" spans="1:6" x14ac:dyDescent="0.3">
      <c r="A545" s="159" t="s">
        <v>152</v>
      </c>
      <c r="B545" t="s">
        <v>4</v>
      </c>
      <c r="C545" s="161">
        <v>5</v>
      </c>
      <c r="D545" t="str">
        <f>VLOOKUP(A545,DataUsuario!B:D,2,FALSE)</f>
        <v>Operaciones</v>
      </c>
      <c r="E545" t="str">
        <f>VLOOKUP(A545,DataUsuario!B:D,3,FALSE)</f>
        <v>Almacenes y Distribución PT</v>
      </c>
      <c r="F545" t="s">
        <v>70</v>
      </c>
    </row>
    <row r="546" spans="1:6" x14ac:dyDescent="0.3">
      <c r="A546" s="156" t="s">
        <v>622</v>
      </c>
      <c r="B546" t="s">
        <v>4</v>
      </c>
      <c r="C546" s="158">
        <v>5</v>
      </c>
      <c r="D546" t="str">
        <f>VLOOKUP(A546,DataUsuario!B:D,2,FALSE)</f>
        <v>Operaciones</v>
      </c>
      <c r="E546" t="str">
        <f>VLOOKUP(A546,DataUsuario!B:D,3,FALSE)</f>
        <v>Almacenes y Distribución PT</v>
      </c>
      <c r="F546" t="s">
        <v>70</v>
      </c>
    </row>
    <row r="547" spans="1:6" x14ac:dyDescent="0.3">
      <c r="A547" s="159" t="s">
        <v>365</v>
      </c>
      <c r="B547" t="s">
        <v>4</v>
      </c>
      <c r="C547" s="161">
        <v>4</v>
      </c>
      <c r="D547" t="str">
        <f>VLOOKUP(A547,DataUsuario!B:D,2,FALSE)</f>
        <v>Operaciones</v>
      </c>
      <c r="E547" t="str">
        <f>VLOOKUP(A547,DataUsuario!B:D,3,FALSE)</f>
        <v>Cosecha</v>
      </c>
      <c r="F547" t="s">
        <v>70</v>
      </c>
    </row>
    <row r="548" spans="1:6" x14ac:dyDescent="0.3">
      <c r="A548" s="156" t="s">
        <v>215</v>
      </c>
      <c r="B548" t="s">
        <v>4</v>
      </c>
      <c r="C548" s="158">
        <v>5</v>
      </c>
      <c r="D548" t="str">
        <f>VLOOKUP(A548,DataUsuario!B:D,2,FALSE)</f>
        <v>Gestión Humana y Sostenibilidad</v>
      </c>
      <c r="E548" t="str">
        <f>VLOOKUP(A548,DataUsuario!B:D,3,FALSE)</f>
        <v>Seguridad</v>
      </c>
      <c r="F548" t="s">
        <v>62</v>
      </c>
    </row>
    <row r="549" spans="1:6" x14ac:dyDescent="0.3">
      <c r="A549" s="159" t="s">
        <v>374</v>
      </c>
      <c r="B549" t="s">
        <v>4</v>
      </c>
      <c r="C549" s="161">
        <v>4</v>
      </c>
      <c r="D549" t="str">
        <f>VLOOKUP(A549,DataUsuario!B:D,2,FALSE)</f>
        <v>Agrícola</v>
      </c>
      <c r="E549" t="str">
        <f>VLOOKUP(A549,DataUsuario!B:D,3,FALSE)</f>
        <v>Mantenimiento de Riego y Bombas</v>
      </c>
      <c r="F549" t="s">
        <v>89</v>
      </c>
    </row>
    <row r="550" spans="1:6" x14ac:dyDescent="0.3">
      <c r="A550" s="156" t="s">
        <v>316</v>
      </c>
      <c r="B550" t="s">
        <v>4</v>
      </c>
      <c r="C550" s="158">
        <v>5</v>
      </c>
      <c r="D550" t="str">
        <f>VLOOKUP(A550,DataUsuario!B:D,2,FALSE)</f>
        <v>Administración y Finanzas</v>
      </c>
      <c r="E550" t="str">
        <f>VLOOKUP(A550,DataUsuario!B:D,3,FALSE)</f>
        <v>Compras</v>
      </c>
      <c r="F550" t="s">
        <v>66</v>
      </c>
    </row>
    <row r="551" spans="1:6" x14ac:dyDescent="0.3">
      <c r="A551" s="159" t="s">
        <v>626</v>
      </c>
      <c r="B551" t="s">
        <v>4</v>
      </c>
      <c r="C551" s="161">
        <v>5</v>
      </c>
      <c r="D551" t="str">
        <f>VLOOKUP(A551,DataUsuario!B:D,2,FALSE)</f>
        <v>Administración y Finanzas</v>
      </c>
      <c r="E551" t="str">
        <f>VLOOKUP(A551,DataUsuario!B:D,3,FALSE)</f>
        <v>Finanzas y Tesorería</v>
      </c>
      <c r="F551" t="s">
        <v>66</v>
      </c>
    </row>
    <row r="552" spans="1:6" x14ac:dyDescent="0.3">
      <c r="A552" s="156" t="s">
        <v>423</v>
      </c>
      <c r="B552" t="s">
        <v>4</v>
      </c>
      <c r="C552" s="158">
        <v>5</v>
      </c>
      <c r="D552" t="str">
        <f>VLOOKUP(A552,DataUsuario!B:D,2,FALSE)</f>
        <v>Industrial y de Mantenimiento</v>
      </c>
      <c r="E552" t="str">
        <f>VLOOKUP(A552,DataUsuario!B:D,3,FALSE)</f>
        <v>Producción</v>
      </c>
      <c r="F552" t="s">
        <v>74</v>
      </c>
    </row>
    <row r="553" spans="1:6" x14ac:dyDescent="0.3">
      <c r="A553" s="159" t="s">
        <v>387</v>
      </c>
      <c r="B553" t="s">
        <v>4</v>
      </c>
      <c r="C553" s="161">
        <v>5</v>
      </c>
      <c r="D553" t="str">
        <f>VLOOKUP(A553,DataUsuario!B:D,2,FALSE)</f>
        <v>Administración y Finanzas</v>
      </c>
      <c r="E553" t="str">
        <f>VLOOKUP(A553,DataUsuario!B:D,3,FALSE)</f>
        <v>Contabilidad Tributaria</v>
      </c>
      <c r="F553" t="s">
        <v>66</v>
      </c>
    </row>
    <row r="554" spans="1:6" x14ac:dyDescent="0.3">
      <c r="A554" s="156" t="s">
        <v>305</v>
      </c>
      <c r="B554" t="s">
        <v>4</v>
      </c>
      <c r="C554" s="158" t="s">
        <v>666</v>
      </c>
      <c r="D554" t="str">
        <f>VLOOKUP(A554,DataUsuario!B:D,2,FALSE)</f>
        <v>Industrial y de Mantenimiento</v>
      </c>
      <c r="E554" t="str">
        <f>VLOOKUP(A554,DataUsuario!B:D,3,FALSE)</f>
        <v>Producción</v>
      </c>
      <c r="F554" t="s">
        <v>74</v>
      </c>
    </row>
    <row r="555" spans="1:6" x14ac:dyDescent="0.3">
      <c r="A555" s="159" t="s">
        <v>303</v>
      </c>
      <c r="B555" t="s">
        <v>4</v>
      </c>
      <c r="C555" s="161">
        <v>5</v>
      </c>
      <c r="D555" t="str">
        <f>VLOOKUP(A555,DataUsuario!B:D,2,FALSE)</f>
        <v>Administración y Finanzas</v>
      </c>
      <c r="E555" t="str">
        <f>VLOOKUP(A555,DataUsuario!B:D,3,FALSE)</f>
        <v>Control de Gestión</v>
      </c>
      <c r="F555" t="s">
        <v>66</v>
      </c>
    </row>
    <row r="556" spans="1:6" x14ac:dyDescent="0.3">
      <c r="A556" s="156" t="s">
        <v>238</v>
      </c>
      <c r="B556" t="s">
        <v>4</v>
      </c>
      <c r="C556" s="158">
        <v>4</v>
      </c>
      <c r="D556" t="str">
        <f>VLOOKUP(A556,DataUsuario!B:D,2,FALSE)</f>
        <v>Industrial y de Mantenimiento</v>
      </c>
      <c r="E556" t="str">
        <f>VLOOKUP(A556,DataUsuario!B:D,3,FALSE)</f>
        <v>Producción</v>
      </c>
      <c r="F556" t="s">
        <v>74</v>
      </c>
    </row>
    <row r="557" spans="1:6" x14ac:dyDescent="0.3">
      <c r="A557" s="159" t="s">
        <v>630</v>
      </c>
      <c r="B557" t="s">
        <v>4</v>
      </c>
      <c r="C557" s="161">
        <v>5</v>
      </c>
      <c r="D557" t="str">
        <f>VLOOKUP(A557,DataUsuario!B:D,2,FALSE)</f>
        <v>Industrial y de Mantenimiento</v>
      </c>
      <c r="E557" t="str">
        <f>VLOOKUP(A557,DataUsuario!B:D,3,FALSE)</f>
        <v>Mantenimiento Industrial</v>
      </c>
      <c r="F557" t="s">
        <v>74</v>
      </c>
    </row>
    <row r="558" spans="1:6" x14ac:dyDescent="0.3">
      <c r="A558" s="156" t="s">
        <v>301</v>
      </c>
      <c r="B558" t="s">
        <v>4</v>
      </c>
      <c r="C558" s="158">
        <v>5</v>
      </c>
      <c r="D558" t="str">
        <f>VLOOKUP(A558,DataUsuario!B:D,2,FALSE)</f>
        <v>Administración y Finanzas</v>
      </c>
      <c r="E558" t="str">
        <f>VLOOKUP(A558,DataUsuario!B:D,3,FALSE)</f>
        <v>Contabilidad Tributaria</v>
      </c>
      <c r="F558" t="s">
        <v>66</v>
      </c>
    </row>
    <row r="559" spans="1:6" x14ac:dyDescent="0.3">
      <c r="A559" s="159" t="s">
        <v>435</v>
      </c>
      <c r="B559" t="s">
        <v>4</v>
      </c>
      <c r="C559" s="161">
        <v>5</v>
      </c>
      <c r="D559" t="str">
        <f>VLOOKUP(A559,DataUsuario!B:D,2,FALSE)</f>
        <v>Operaciones</v>
      </c>
      <c r="E559" t="str">
        <f>VLOOKUP(A559,DataUsuario!B:D,3,FALSE)</f>
        <v>Almacenes y Distribución PT</v>
      </c>
      <c r="F559" t="s">
        <v>70</v>
      </c>
    </row>
    <row r="560" spans="1:6" x14ac:dyDescent="0.3">
      <c r="A560" s="156" t="s">
        <v>383</v>
      </c>
      <c r="B560" t="s">
        <v>4</v>
      </c>
      <c r="C560" s="158">
        <v>4</v>
      </c>
      <c r="D560" t="str">
        <f>VLOOKUP(A560,DataUsuario!B:D,2,FALSE)</f>
        <v>Agrícola</v>
      </c>
      <c r="E560" t="str">
        <f>VLOOKUP(A560,DataUsuario!B:D,3,FALSE)</f>
        <v>Fundo Lobo</v>
      </c>
      <c r="F560" t="s">
        <v>89</v>
      </c>
    </row>
    <row r="561" spans="1:6" x14ac:dyDescent="0.3">
      <c r="A561" s="159" t="s">
        <v>307</v>
      </c>
      <c r="B561" t="s">
        <v>4</v>
      </c>
      <c r="C561" s="161">
        <v>5</v>
      </c>
      <c r="D561" t="str">
        <f>VLOOKUP(A561,DataUsuario!B:D,2,FALSE)</f>
        <v>Gestión Humana y Sostenibilidad</v>
      </c>
      <c r="E561" t="str">
        <f>VLOOKUP(A561,DataUsuario!B:D,3,FALSE)</f>
        <v>Comunicaciones y Responsabilidad Social</v>
      </c>
      <c r="F561" t="s">
        <v>62</v>
      </c>
    </row>
    <row r="562" spans="1:6" x14ac:dyDescent="0.3">
      <c r="A562" s="156" t="s">
        <v>631</v>
      </c>
      <c r="B562" t="s">
        <v>4</v>
      </c>
      <c r="C562" s="158">
        <v>3</v>
      </c>
      <c r="D562" t="str">
        <f>VLOOKUP(A562,DataUsuario!B:D,2,FALSE)</f>
        <v>Administración y Finanzas</v>
      </c>
      <c r="E562" t="str">
        <f>VLOOKUP(A562,DataUsuario!B:D,3,FALSE)</f>
        <v>Compras</v>
      </c>
      <c r="F562" t="s">
        <v>66</v>
      </c>
    </row>
    <row r="563" spans="1:6" x14ac:dyDescent="0.3">
      <c r="A563" s="159" t="s">
        <v>415</v>
      </c>
      <c r="B563" t="s">
        <v>4</v>
      </c>
      <c r="C563" s="161">
        <v>5</v>
      </c>
      <c r="D563" t="str">
        <f>VLOOKUP(A563,DataUsuario!B:D,2,FALSE)</f>
        <v>Administración y Finanzas</v>
      </c>
      <c r="E563" t="str">
        <f>VLOOKUP(A563,DataUsuario!B:D,3,FALSE)</f>
        <v>Administración</v>
      </c>
      <c r="F563" t="s">
        <v>66</v>
      </c>
    </row>
    <row r="564" spans="1:6" x14ac:dyDescent="0.3">
      <c r="A564" s="156" t="s">
        <v>128</v>
      </c>
      <c r="B564" t="s">
        <v>4</v>
      </c>
      <c r="C564" s="158">
        <v>5</v>
      </c>
      <c r="D564" t="str">
        <f>VLOOKUP(A564,DataUsuario!B:D,2,FALSE)</f>
        <v>Agrícola</v>
      </c>
      <c r="E564" t="str">
        <f>VLOOKUP(A564,DataUsuario!B:D,3,FALSE)</f>
        <v>Fundo Lobo</v>
      </c>
      <c r="F564" t="s">
        <v>89</v>
      </c>
    </row>
    <row r="565" spans="1:6" x14ac:dyDescent="0.3">
      <c r="A565" s="159" t="s">
        <v>632</v>
      </c>
      <c r="B565" t="s">
        <v>4</v>
      </c>
      <c r="C565" s="161">
        <v>4</v>
      </c>
      <c r="D565" t="str">
        <f>VLOOKUP(A565,DataUsuario!B:D,2,FALSE)</f>
        <v>Gestión Humana y Sostenibilidad</v>
      </c>
      <c r="E565" t="str">
        <f>VLOOKUP(A565,DataUsuario!B:D,3,FALSE)</f>
        <v>Gestor de Recursos Humanos</v>
      </c>
      <c r="F565" t="s">
        <v>62</v>
      </c>
    </row>
    <row r="566" spans="1:6" x14ac:dyDescent="0.3">
      <c r="A566" s="156" t="s">
        <v>205</v>
      </c>
      <c r="B566" t="s">
        <v>4</v>
      </c>
      <c r="C566" s="158">
        <v>5</v>
      </c>
      <c r="D566" t="str">
        <f>VLOOKUP(A566,DataUsuario!B:D,2,FALSE)</f>
        <v>Operaciones</v>
      </c>
      <c r="E566" t="str">
        <f>VLOOKUP(A566,DataUsuario!B:D,3,FALSE)</f>
        <v>Almacenes y Distribución PT</v>
      </c>
      <c r="F566" t="s">
        <v>70</v>
      </c>
    </row>
    <row r="567" spans="1:6" x14ac:dyDescent="0.3">
      <c r="A567" s="159" t="s">
        <v>633</v>
      </c>
      <c r="B567" t="s">
        <v>4</v>
      </c>
      <c r="C567" s="161">
        <v>4</v>
      </c>
      <c r="D567" t="str">
        <f>VLOOKUP(A567,DataUsuario!B:D,2,FALSE)</f>
        <v>Gestión Humana y Sostenibilidad</v>
      </c>
      <c r="E567" t="str">
        <f>VLOOKUP(A567,DataUsuario!B:D,3,FALSE)</f>
        <v>Bienestar - Medico Ocupacional</v>
      </c>
      <c r="F567" t="s">
        <v>62</v>
      </c>
    </row>
    <row r="568" spans="1:6" x14ac:dyDescent="0.3">
      <c r="A568" s="156" t="s">
        <v>634</v>
      </c>
      <c r="B568" t="s">
        <v>4</v>
      </c>
      <c r="C568" s="158">
        <v>4</v>
      </c>
      <c r="D568" t="str">
        <f>VLOOKUP(A568,DataUsuario!B:D,2,FALSE)</f>
        <v>Industrial y de Mantenimiento</v>
      </c>
      <c r="E568" t="str">
        <f>VLOOKUP(A568,DataUsuario!B:D,3,FALSE)</f>
        <v>Producción</v>
      </c>
      <c r="F568" t="s">
        <v>74</v>
      </c>
    </row>
    <row r="569" spans="1:6" x14ac:dyDescent="0.3">
      <c r="A569" s="159" t="s">
        <v>192</v>
      </c>
      <c r="B569" t="s">
        <v>4</v>
      </c>
      <c r="C569" s="161">
        <v>5</v>
      </c>
      <c r="D569" t="str">
        <f>VLOOKUP(A569,DataUsuario!B:D,2,FALSE)</f>
        <v>Agrícola</v>
      </c>
      <c r="E569" t="str">
        <f>VLOOKUP(A569,DataUsuario!B:D,3,FALSE)</f>
        <v>Mantenimiento de Riego y Bombas</v>
      </c>
      <c r="F569" t="s">
        <v>89</v>
      </c>
    </row>
    <row r="570" spans="1:6" x14ac:dyDescent="0.3">
      <c r="A570" s="156" t="s">
        <v>150</v>
      </c>
      <c r="B570" t="s">
        <v>4</v>
      </c>
      <c r="C570" s="158">
        <v>3</v>
      </c>
      <c r="D570" t="str">
        <f>VLOOKUP(A570,DataUsuario!B:D,2,FALSE)</f>
        <v>Industrial y de Mantenimiento</v>
      </c>
      <c r="E570" t="str">
        <f>VLOOKUP(A570,DataUsuario!B:D,3,FALSE)</f>
        <v>Producción</v>
      </c>
      <c r="F570" t="s">
        <v>74</v>
      </c>
    </row>
    <row r="571" spans="1:6" x14ac:dyDescent="0.3">
      <c r="A571" s="159" t="s">
        <v>181</v>
      </c>
      <c r="B571" t="s">
        <v>4</v>
      </c>
      <c r="C571" s="161">
        <v>5</v>
      </c>
      <c r="D571" t="str">
        <f>VLOOKUP(A571,DataUsuario!B:D,2,FALSE)</f>
        <v>Gestión Humana y Sostenibilidad</v>
      </c>
      <c r="E571" t="str">
        <f>VLOOKUP(A571,DataUsuario!B:D,3,FALSE)</f>
        <v>Compensación y Nóminas</v>
      </c>
      <c r="F571" t="s">
        <v>62</v>
      </c>
    </row>
    <row r="572" spans="1:6" x14ac:dyDescent="0.3">
      <c r="A572" s="156" t="s">
        <v>337</v>
      </c>
      <c r="B572" t="s">
        <v>4</v>
      </c>
      <c r="C572" s="158">
        <v>5</v>
      </c>
      <c r="D572" t="str">
        <f>VLOOKUP(A572,DataUsuario!B:D,2,FALSE)</f>
        <v>Agrícola</v>
      </c>
      <c r="E572" t="str">
        <f>VLOOKUP(A572,DataUsuario!B:D,3,FALSE)</f>
        <v>Fundo San Vicente</v>
      </c>
      <c r="F572" t="s">
        <v>89</v>
      </c>
    </row>
    <row r="573" spans="1:6" x14ac:dyDescent="0.3">
      <c r="A573" s="159" t="s">
        <v>369</v>
      </c>
      <c r="B573" t="s">
        <v>4</v>
      </c>
      <c r="C573" s="161">
        <v>4</v>
      </c>
      <c r="D573" t="str">
        <f>VLOOKUP(A573,DataUsuario!B:D,2,FALSE)</f>
        <v>Agrícola</v>
      </c>
      <c r="E573" t="str">
        <f>VLOOKUP(A573,DataUsuario!B:D,3,FALSE)</f>
        <v>Sistema Integral de Gestión</v>
      </c>
      <c r="F573" t="s">
        <v>89</v>
      </c>
    </row>
    <row r="574" spans="1:6" x14ac:dyDescent="0.3">
      <c r="A574" s="156" t="s">
        <v>637</v>
      </c>
      <c r="B574" t="s">
        <v>4</v>
      </c>
      <c r="C574" s="158">
        <v>5</v>
      </c>
      <c r="D574" t="str">
        <f>VLOOKUP(A574,DataUsuario!B:D,2,FALSE)</f>
        <v>Operaciones</v>
      </c>
      <c r="E574" t="str">
        <f>VLOOKUP(A574,DataUsuario!B:D,3,FALSE)</f>
        <v>Almacenes y Distribución PT</v>
      </c>
      <c r="F574" t="s">
        <v>70</v>
      </c>
    </row>
    <row r="575" spans="1:6" x14ac:dyDescent="0.3">
      <c r="A575" s="159" t="s">
        <v>362</v>
      </c>
      <c r="B575" t="s">
        <v>4</v>
      </c>
      <c r="C575" s="161">
        <v>5</v>
      </c>
      <c r="D575" t="str">
        <f>VLOOKUP(A575,DataUsuario!B:D,2,FALSE)</f>
        <v>Agrícola</v>
      </c>
      <c r="E575" t="str">
        <f>VLOOKUP(A575,DataUsuario!B:D,3,FALSE)</f>
        <v>Fundo Lobo</v>
      </c>
      <c r="F575" t="s">
        <v>89</v>
      </c>
    </row>
    <row r="576" spans="1:6" x14ac:dyDescent="0.3">
      <c r="A576" s="156" t="s">
        <v>198</v>
      </c>
      <c r="B576" t="s">
        <v>4</v>
      </c>
      <c r="C576" s="158">
        <v>5</v>
      </c>
      <c r="D576" t="str">
        <f>VLOOKUP(A576,DataUsuario!B:D,2,FALSE)</f>
        <v>Agrícola</v>
      </c>
      <c r="E576" t="str">
        <f>VLOOKUP(A576,DataUsuario!B:D,3,FALSE)</f>
        <v>Fundo Lobo</v>
      </c>
      <c r="F576" t="s">
        <v>89</v>
      </c>
    </row>
    <row r="577" spans="1:6" x14ac:dyDescent="0.3">
      <c r="A577" s="159" t="s">
        <v>256</v>
      </c>
      <c r="B577" t="s">
        <v>4</v>
      </c>
      <c r="C577" s="161">
        <v>4</v>
      </c>
      <c r="D577" t="str">
        <f>VLOOKUP(A577,DataUsuario!B:D,2,FALSE)</f>
        <v>Agrícola</v>
      </c>
      <c r="E577" t="str">
        <f>VLOOKUP(A577,DataUsuario!B:D,3,FALSE)</f>
        <v>Fundo Montelima</v>
      </c>
      <c r="F577" t="s">
        <v>89</v>
      </c>
    </row>
    <row r="578" spans="1:6" x14ac:dyDescent="0.3">
      <c r="A578" s="156" t="s">
        <v>421</v>
      </c>
      <c r="B578" t="s">
        <v>4</v>
      </c>
      <c r="C578" s="158">
        <v>4</v>
      </c>
      <c r="D578" t="str">
        <f>VLOOKUP(A578,DataUsuario!B:D,2,FALSE)</f>
        <v>Operaciones</v>
      </c>
      <c r="E578" t="str">
        <f>VLOOKUP(A578,DataUsuario!B:D,3,FALSE)</f>
        <v>Cosecha</v>
      </c>
      <c r="F578" t="s">
        <v>70</v>
      </c>
    </row>
    <row r="579" spans="1:6" x14ac:dyDescent="0.3">
      <c r="A579" s="159" t="s">
        <v>118</v>
      </c>
      <c r="B579" t="s">
        <v>4</v>
      </c>
      <c r="C579" s="161">
        <v>5</v>
      </c>
      <c r="D579" t="str">
        <f>VLOOKUP(A579,DataUsuario!B:D,2,FALSE)</f>
        <v>Agrícola</v>
      </c>
      <c r="E579" t="str">
        <f>VLOOKUP(A579,DataUsuario!B:D,3,FALSE)</f>
        <v>Fundo Lobo</v>
      </c>
      <c r="F579" t="s">
        <v>89</v>
      </c>
    </row>
    <row r="580" spans="1:6" x14ac:dyDescent="0.3">
      <c r="A580" s="156" t="s">
        <v>352</v>
      </c>
      <c r="B580" t="s">
        <v>4</v>
      </c>
      <c r="C580" s="158">
        <v>5</v>
      </c>
      <c r="D580" t="str">
        <f>VLOOKUP(A580,DataUsuario!B:D,2,FALSE)</f>
        <v>Gestión Humana y Sostenibilidad</v>
      </c>
      <c r="E580" t="str">
        <f>VLOOKUP(A580,DataUsuario!B:D,3,FALSE)</f>
        <v>Compensación y Nóminas</v>
      </c>
      <c r="F580" t="s">
        <v>62</v>
      </c>
    </row>
    <row r="581" spans="1:6" x14ac:dyDescent="0.3">
      <c r="A581" s="159" t="s">
        <v>170</v>
      </c>
      <c r="B581" t="s">
        <v>4</v>
      </c>
      <c r="C581" s="161">
        <v>5</v>
      </c>
      <c r="D581" t="str">
        <f>VLOOKUP(A581,DataUsuario!B:D,2,FALSE)</f>
        <v>Operaciones</v>
      </c>
      <c r="E581" t="str">
        <f>VLOOKUP(A581,DataUsuario!B:D,3,FALSE)</f>
        <v>Mantenimiento CAT</v>
      </c>
      <c r="F581" t="s">
        <v>70</v>
      </c>
    </row>
    <row r="582" spans="1:6" x14ac:dyDescent="0.3">
      <c r="A582" s="156" t="s">
        <v>200</v>
      </c>
      <c r="B582" t="s">
        <v>4</v>
      </c>
      <c r="C582" s="158">
        <v>5</v>
      </c>
      <c r="D582" t="str">
        <f>VLOOKUP(A582,DataUsuario!B:D,2,FALSE)</f>
        <v>Industrial y de Mantenimiento</v>
      </c>
      <c r="E582" t="str">
        <f>VLOOKUP(A582,DataUsuario!B:D,3,FALSE)</f>
        <v>Electricidad</v>
      </c>
      <c r="F582" t="s">
        <v>74</v>
      </c>
    </row>
    <row r="583" spans="1:6" x14ac:dyDescent="0.3">
      <c r="A583" s="159" t="s">
        <v>341</v>
      </c>
      <c r="B583" t="s">
        <v>4</v>
      </c>
      <c r="C583" s="161">
        <v>5</v>
      </c>
      <c r="D583" t="str">
        <f>VLOOKUP(A583,DataUsuario!B:D,2,FALSE)</f>
        <v>Administración y Finanzas</v>
      </c>
      <c r="E583" t="str">
        <f>VLOOKUP(A583,DataUsuario!B:D,3,FALSE)</f>
        <v>Contabilidad Tributaria</v>
      </c>
      <c r="F583" t="s">
        <v>66</v>
      </c>
    </row>
    <row r="584" spans="1:6" x14ac:dyDescent="0.3">
      <c r="A584" s="156" t="s">
        <v>643</v>
      </c>
      <c r="B584" t="s">
        <v>4</v>
      </c>
      <c r="C584" s="158">
        <v>5</v>
      </c>
      <c r="D584" t="str">
        <f>VLOOKUP(A584,DataUsuario!B:D,2,FALSE)</f>
        <v>Gestión Humana y Sostenibilidad</v>
      </c>
      <c r="E584" t="str">
        <f>VLOOKUP(A584,DataUsuario!B:D,3,FALSE)</f>
        <v>Gestor de Recursos Humanos</v>
      </c>
      <c r="F584" t="s">
        <v>62</v>
      </c>
    </row>
    <row r="585" spans="1:6" x14ac:dyDescent="0.3">
      <c r="A585" s="159" t="s">
        <v>217</v>
      </c>
      <c r="B585" t="s">
        <v>4</v>
      </c>
      <c r="C585" s="161">
        <v>4</v>
      </c>
      <c r="D585" t="str">
        <f>VLOOKUP(A585,DataUsuario!B:D,2,FALSE)</f>
        <v>Agrícola</v>
      </c>
      <c r="E585" t="str">
        <f>VLOOKUP(A585,DataUsuario!B:D,3,FALSE)</f>
        <v>Mantenimiento de Riego y Bombas</v>
      </c>
      <c r="F585" t="s">
        <v>89</v>
      </c>
    </row>
    <row r="586" spans="1:6" x14ac:dyDescent="0.3">
      <c r="A586" s="156" t="s">
        <v>267</v>
      </c>
      <c r="B586" t="s">
        <v>4</v>
      </c>
      <c r="C586" s="158">
        <v>5</v>
      </c>
      <c r="D586" t="str">
        <f>VLOOKUP(A586,DataUsuario!B:D,2,FALSE)</f>
        <v>Gestión Humana y Sostenibilidad</v>
      </c>
      <c r="E586" t="str">
        <f>VLOOKUP(A586,DataUsuario!B:D,3,FALSE)</f>
        <v>Sostenibilidad</v>
      </c>
      <c r="F586" t="s">
        <v>62</v>
      </c>
    </row>
    <row r="587" spans="1:6" x14ac:dyDescent="0.3">
      <c r="A587" s="159" t="s">
        <v>347</v>
      </c>
      <c r="B587" t="s">
        <v>4</v>
      </c>
      <c r="C587" s="161">
        <v>5</v>
      </c>
      <c r="D587" t="str">
        <f>VLOOKUP(A587,DataUsuario!B:D,2,FALSE)</f>
        <v>Operaciones</v>
      </c>
      <c r="E587" t="str">
        <f>VLOOKUP(A587,DataUsuario!B:D,3,FALSE)</f>
        <v>Almacenes y Distribución PT</v>
      </c>
      <c r="F587" t="s">
        <v>70</v>
      </c>
    </row>
    <row r="588" spans="1:6" x14ac:dyDescent="0.3">
      <c r="A588" s="156" t="s">
        <v>102</v>
      </c>
      <c r="B588" t="s">
        <v>4</v>
      </c>
      <c r="C588" s="158">
        <v>5</v>
      </c>
      <c r="D588" t="str">
        <f>VLOOKUP(A588,DataUsuario!B:D,2,FALSE)</f>
        <v>Operaciones</v>
      </c>
      <c r="E588" t="str">
        <f>VLOOKUP(A588,DataUsuario!B:D,3,FALSE)</f>
        <v>Almacenes y Distribución PT</v>
      </c>
      <c r="F588" t="s">
        <v>70</v>
      </c>
    </row>
    <row r="589" spans="1:6" x14ac:dyDescent="0.3">
      <c r="A589" s="159" t="s">
        <v>249</v>
      </c>
      <c r="B589" t="s">
        <v>4</v>
      </c>
      <c r="C589" s="161">
        <v>5</v>
      </c>
      <c r="D589" t="str">
        <f>VLOOKUP(A589,DataUsuario!B:D,2,FALSE)</f>
        <v>Administración y Finanzas</v>
      </c>
      <c r="E589" t="str">
        <f>VLOOKUP(A589,DataUsuario!B:D,3,FALSE)</f>
        <v>Compras</v>
      </c>
      <c r="F589" t="s">
        <v>66</v>
      </c>
    </row>
    <row r="590" spans="1:6" x14ac:dyDescent="0.3">
      <c r="A590" s="156" t="s">
        <v>409</v>
      </c>
      <c r="B590" t="s">
        <v>4</v>
      </c>
      <c r="C590" s="158">
        <v>4</v>
      </c>
      <c r="D590" t="str">
        <f>VLOOKUP(A590,DataUsuario!B:D,2,FALSE)</f>
        <v>Agrícola</v>
      </c>
      <c r="E590" t="str">
        <f>VLOOKUP(A590,DataUsuario!B:D,3,FALSE)</f>
        <v>Fundo Lobo</v>
      </c>
      <c r="F590" t="s">
        <v>89</v>
      </c>
    </row>
    <row r="591" spans="1:6" x14ac:dyDescent="0.3">
      <c r="A591" s="159" t="s">
        <v>136</v>
      </c>
      <c r="B591" t="s">
        <v>4</v>
      </c>
      <c r="C591" s="161">
        <v>5</v>
      </c>
      <c r="D591" t="str">
        <f>VLOOKUP(A591,DataUsuario!B:D,2,FALSE)</f>
        <v>Operaciones</v>
      </c>
      <c r="E591" t="str">
        <f>VLOOKUP(A591,DataUsuario!B:D,3,FALSE)</f>
        <v>Comercial</v>
      </c>
      <c r="F591" t="s">
        <v>70</v>
      </c>
    </row>
    <row r="592" spans="1:6" x14ac:dyDescent="0.3">
      <c r="A592" s="156" t="s">
        <v>649</v>
      </c>
      <c r="B592" t="s">
        <v>4</v>
      </c>
      <c r="C592" s="158" t="s">
        <v>666</v>
      </c>
      <c r="D592" t="str">
        <f>VLOOKUP(A592,DataUsuario!B:D,2,FALSE)</f>
        <v>Gestión Humana y Sostenibilidad</v>
      </c>
      <c r="E592" t="str">
        <f>VLOOKUP(A592,DataUsuario!B:D,3,FALSE)</f>
        <v>Control Presupuestal</v>
      </c>
      <c r="F592" t="s">
        <v>62</v>
      </c>
    </row>
    <row r="593" spans="1:6" x14ac:dyDescent="0.3">
      <c r="A593" s="159" t="s">
        <v>651</v>
      </c>
      <c r="B593" t="s">
        <v>4</v>
      </c>
      <c r="C593" s="161">
        <v>4</v>
      </c>
      <c r="D593" t="str">
        <f>VLOOKUP(A593,DataUsuario!B:D,2,FALSE)</f>
        <v>Operaciones</v>
      </c>
      <c r="E593" t="str">
        <f>VLOOKUP(A593,DataUsuario!B:D,3,FALSE)</f>
        <v>Almacenes y Distribución PT</v>
      </c>
      <c r="F593" t="s">
        <v>70</v>
      </c>
    </row>
    <row r="594" spans="1:6" x14ac:dyDescent="0.3">
      <c r="A594" s="156" t="s">
        <v>320</v>
      </c>
      <c r="B594" t="s">
        <v>4</v>
      </c>
      <c r="C594" s="158">
        <v>5</v>
      </c>
      <c r="D594" t="str">
        <f>VLOOKUP(A594,DataUsuario!B:D,2,FALSE)</f>
        <v>Gestión Humana y Sostenibilidad</v>
      </c>
      <c r="E594" t="str">
        <f>VLOOKUP(A594,DataUsuario!B:D,3,FALSE)</f>
        <v>Sostenibilidad</v>
      </c>
      <c r="F594" t="s">
        <v>62</v>
      </c>
    </row>
    <row r="595" spans="1:6" x14ac:dyDescent="0.3">
      <c r="A595" s="159" t="s">
        <v>230</v>
      </c>
      <c r="B595" t="s">
        <v>4</v>
      </c>
      <c r="C595" s="161">
        <v>4</v>
      </c>
      <c r="D595" t="str">
        <f>VLOOKUP(A595,DataUsuario!B:D,2,FALSE)</f>
        <v>Agrícola</v>
      </c>
      <c r="E595" t="str">
        <f>VLOOKUP(A595,DataUsuario!B:D,3,FALSE)</f>
        <v>Fundo Lobo</v>
      </c>
      <c r="F595" t="s">
        <v>89</v>
      </c>
    </row>
    <row r="596" spans="1:6" x14ac:dyDescent="0.3">
      <c r="A596" s="156" t="s">
        <v>314</v>
      </c>
      <c r="B596" t="s">
        <v>4</v>
      </c>
      <c r="C596" s="158">
        <v>4</v>
      </c>
      <c r="D596" t="str">
        <f>VLOOKUP(A596,DataUsuario!B:D,2,FALSE)</f>
        <v>Industrial y de Mantenimiento</v>
      </c>
      <c r="E596" t="str">
        <f>VLOOKUP(A596,DataUsuario!B:D,3,FALSE)</f>
        <v>Mantenimiento Industrial</v>
      </c>
      <c r="F596" t="s">
        <v>74</v>
      </c>
    </row>
    <row r="597" spans="1:6" x14ac:dyDescent="0.3">
      <c r="A597" s="159" t="s">
        <v>99</v>
      </c>
      <c r="B597" t="s">
        <v>4</v>
      </c>
      <c r="C597" s="161">
        <v>5</v>
      </c>
      <c r="D597" t="str">
        <f>VLOOKUP(A597,DataUsuario!B:D,2,FALSE)</f>
        <v>Gestión Humana y Sostenibilidad</v>
      </c>
      <c r="E597" t="str">
        <f>VLOOKUP(A597,DataUsuario!B:D,3,FALSE)</f>
        <v>Gestor de Recursos Humanos</v>
      </c>
      <c r="F597" t="s">
        <v>62</v>
      </c>
    </row>
    <row r="598" spans="1:6" x14ac:dyDescent="0.3">
      <c r="A598" s="156" t="s">
        <v>391</v>
      </c>
      <c r="B598" t="s">
        <v>4</v>
      </c>
      <c r="C598" s="158">
        <v>5</v>
      </c>
      <c r="D598" t="str">
        <f>VLOOKUP(A598,DataUsuario!B:D,2,FALSE)</f>
        <v>Administración y Finanzas</v>
      </c>
      <c r="E598" t="str">
        <f>VLOOKUP(A598,DataUsuario!B:D,3,FALSE)</f>
        <v>Finanzas y Tesorería</v>
      </c>
      <c r="F598" t="s">
        <v>66</v>
      </c>
    </row>
    <row r="599" spans="1:6" x14ac:dyDescent="0.3">
      <c r="A599" s="159" t="s">
        <v>372</v>
      </c>
      <c r="B599" t="s">
        <v>4</v>
      </c>
      <c r="C599" s="161">
        <v>5</v>
      </c>
      <c r="D599" t="str">
        <f>VLOOKUP(A599,DataUsuario!B:D,2,FALSE)</f>
        <v>Agrícola</v>
      </c>
      <c r="E599" t="str">
        <f>VLOOKUP(A599,DataUsuario!B:D,3,FALSE)</f>
        <v>Laboratorio e Investigación Agricola</v>
      </c>
      <c r="F599" t="s">
        <v>89</v>
      </c>
    </row>
    <row r="600" spans="1:6" x14ac:dyDescent="0.3">
      <c r="A600" s="156" t="s">
        <v>156</v>
      </c>
      <c r="B600" t="s">
        <v>4</v>
      </c>
      <c r="C600" s="158" t="s">
        <v>666</v>
      </c>
      <c r="D600" t="str">
        <f>VLOOKUP(A600,DataUsuario!B:D,2,FALSE)</f>
        <v>Administración y Finanzas</v>
      </c>
      <c r="E600" t="str">
        <f>VLOOKUP(A600,DataUsuario!B:D,3,FALSE)</f>
        <v>Compras</v>
      </c>
      <c r="F600" t="s">
        <v>66</v>
      </c>
    </row>
    <row r="601" spans="1:6" x14ac:dyDescent="0.3">
      <c r="A601" s="159" t="s">
        <v>258</v>
      </c>
      <c r="B601" t="s">
        <v>4</v>
      </c>
      <c r="C601" s="161">
        <v>4</v>
      </c>
      <c r="D601" t="str">
        <f>VLOOKUP(A601,DataUsuario!B:D,2,FALSE)</f>
        <v>Operaciones</v>
      </c>
      <c r="E601" t="str">
        <f>VLOOKUP(A601,DataUsuario!B:D,3,FALSE)</f>
        <v>Calidad</v>
      </c>
      <c r="F601" t="s">
        <v>70</v>
      </c>
    </row>
    <row r="602" spans="1:6" x14ac:dyDescent="0.3">
      <c r="A602" s="156" t="s">
        <v>61</v>
      </c>
      <c r="B602" t="s">
        <v>4</v>
      </c>
      <c r="C602" s="158">
        <v>4</v>
      </c>
      <c r="D602" t="str">
        <f>VLOOKUP(A602,DataUsuario!B:D,2,FALSE)</f>
        <v>Gestión Humana y Sostenibilidad</v>
      </c>
      <c r="E602" t="str">
        <f>VLOOKUP(A602,DataUsuario!B:D,3,FALSE)</f>
        <v>Compensación y Nóminas</v>
      </c>
      <c r="F602" t="s">
        <v>62</v>
      </c>
    </row>
    <row r="603" spans="1:6" x14ac:dyDescent="0.3">
      <c r="A603" s="159" t="s">
        <v>289</v>
      </c>
      <c r="B603" t="s">
        <v>4</v>
      </c>
      <c r="C603" s="161">
        <v>4</v>
      </c>
      <c r="D603" t="str">
        <f>VLOOKUP(A603,DataUsuario!B:D,2,FALSE)</f>
        <v>Agrícola</v>
      </c>
      <c r="E603" t="str">
        <f>VLOOKUP(A603,DataUsuario!B:D,3,FALSE)</f>
        <v>Mantenimiento de Riego y Bombas</v>
      </c>
      <c r="F603" t="s">
        <v>89</v>
      </c>
    </row>
    <row r="604" spans="1:6" x14ac:dyDescent="0.3">
      <c r="A604" s="156" t="s">
        <v>158</v>
      </c>
      <c r="B604" t="s">
        <v>4</v>
      </c>
      <c r="C604" s="158">
        <v>4</v>
      </c>
      <c r="D604" t="str">
        <f>VLOOKUP(A604,DataUsuario!B:D,2,FALSE)</f>
        <v>Operaciones</v>
      </c>
      <c r="E604" t="str">
        <f>VLOOKUP(A604,DataUsuario!B:D,3,FALSE)</f>
        <v>Calidad</v>
      </c>
      <c r="F604" t="s">
        <v>70</v>
      </c>
    </row>
    <row r="605" spans="1:6" x14ac:dyDescent="0.3">
      <c r="A605" s="159" t="s">
        <v>251</v>
      </c>
      <c r="B605" t="s">
        <v>4</v>
      </c>
      <c r="C605" s="161">
        <v>2</v>
      </c>
      <c r="D605" t="str">
        <f>VLOOKUP(A605,DataUsuario!B:D,2,FALSE)</f>
        <v>Industrial y de Mantenimiento</v>
      </c>
      <c r="E605" t="str">
        <f>VLOOKUP(A605,DataUsuario!B:D,3,FALSE)</f>
        <v>Automatización</v>
      </c>
      <c r="F605" t="s">
        <v>74</v>
      </c>
    </row>
    <row r="606" spans="1:6" x14ac:dyDescent="0.3">
      <c r="A606" s="156" t="s">
        <v>653</v>
      </c>
      <c r="B606" t="s">
        <v>4</v>
      </c>
      <c r="C606" s="158">
        <v>5</v>
      </c>
      <c r="D606" t="str">
        <f>VLOOKUP(A606,DataUsuario!B:D,2,FALSE)</f>
        <v>Industrial y de Mantenimiento</v>
      </c>
      <c r="E606" t="str">
        <f>VLOOKUP(A606,DataUsuario!B:D,3,FALSE)</f>
        <v>Mantenimiento Industrial</v>
      </c>
      <c r="F606" t="s">
        <v>74</v>
      </c>
    </row>
    <row r="607" spans="1:6" x14ac:dyDescent="0.3">
      <c r="A607" s="159" t="s">
        <v>279</v>
      </c>
      <c r="B607" t="s">
        <v>4</v>
      </c>
      <c r="C607" s="161">
        <v>4</v>
      </c>
      <c r="D607" t="str">
        <f>VLOOKUP(A607,DataUsuario!B:D,2,FALSE)</f>
        <v>Operaciones</v>
      </c>
      <c r="E607" t="str">
        <f>VLOOKUP(A607,DataUsuario!B:D,3,FALSE)</f>
        <v>Transporte</v>
      </c>
      <c r="F607" t="s">
        <v>70</v>
      </c>
    </row>
    <row r="608" spans="1:6" x14ac:dyDescent="0.3">
      <c r="A608" s="156" t="s">
        <v>655</v>
      </c>
      <c r="B608" t="s">
        <v>4</v>
      </c>
      <c r="C608" s="158">
        <v>5</v>
      </c>
      <c r="D608" t="str">
        <f>VLOOKUP(A608,DataUsuario!B:D,2,FALSE)</f>
        <v>Operaciones</v>
      </c>
      <c r="E608" t="str">
        <f>VLOOKUP(A608,DataUsuario!B:D,3,FALSE)</f>
        <v>Almacenes y Distribución PT</v>
      </c>
      <c r="F608" t="s">
        <v>70</v>
      </c>
    </row>
    <row r="609" spans="1:6" x14ac:dyDescent="0.3">
      <c r="A609" s="159" t="s">
        <v>202</v>
      </c>
      <c r="B609" t="s">
        <v>4</v>
      </c>
      <c r="C609" s="161" t="s">
        <v>666</v>
      </c>
      <c r="D609" t="str">
        <f>VLOOKUP(A609,DataUsuario!B:D,2,FALSE)</f>
        <v>Agrícola</v>
      </c>
      <c r="E609" t="str">
        <f>VLOOKUP(A609,DataUsuario!B:D,3,FALSE)</f>
        <v>Fundo La Huaca</v>
      </c>
      <c r="F609" t="s">
        <v>89</v>
      </c>
    </row>
    <row r="610" spans="1:6" x14ac:dyDescent="0.3">
      <c r="A610" s="156" t="s">
        <v>154</v>
      </c>
      <c r="B610" t="s">
        <v>4</v>
      </c>
      <c r="C610" s="158">
        <v>4</v>
      </c>
      <c r="D610" t="str">
        <f>VLOOKUP(A610,DataUsuario!B:D,2,FALSE)</f>
        <v>Industrial y de Mantenimiento</v>
      </c>
      <c r="E610" t="str">
        <f>VLOOKUP(A610,DataUsuario!B:D,3,FALSE)</f>
        <v>Mantenimiento Industrial</v>
      </c>
      <c r="F610" t="s">
        <v>74</v>
      </c>
    </row>
    <row r="611" spans="1:6" x14ac:dyDescent="0.3">
      <c r="A611" s="159" t="s">
        <v>332</v>
      </c>
      <c r="B611" t="s">
        <v>4</v>
      </c>
      <c r="C611" s="161">
        <v>4</v>
      </c>
      <c r="D611" t="str">
        <f>VLOOKUP(A611,DataUsuario!B:D,2,FALSE)</f>
        <v>Agrícola</v>
      </c>
      <c r="E611" t="str">
        <f>VLOOKUP(A611,DataUsuario!B:D,3,FALSE)</f>
        <v>Gerencia Agrícola</v>
      </c>
      <c r="F611" t="s">
        <v>89</v>
      </c>
    </row>
    <row r="612" spans="1:6" x14ac:dyDescent="0.3">
      <c r="A612" s="156" t="s">
        <v>359</v>
      </c>
      <c r="B612" t="s">
        <v>4</v>
      </c>
      <c r="C612" s="158">
        <v>4</v>
      </c>
      <c r="D612" t="str">
        <f>VLOOKUP(A612,DataUsuario!B:D,2,FALSE)</f>
        <v>Operaciones</v>
      </c>
      <c r="E612" t="str">
        <f>VLOOKUP(A612,DataUsuario!B:D,3,FALSE)</f>
        <v>Gerencia de Operaciones</v>
      </c>
      <c r="F612" t="s">
        <v>70</v>
      </c>
    </row>
    <row r="613" spans="1:6" x14ac:dyDescent="0.3">
      <c r="A613" s="159" t="s">
        <v>172</v>
      </c>
      <c r="B613" t="s">
        <v>4</v>
      </c>
      <c r="C613" s="161">
        <v>2</v>
      </c>
      <c r="D613" t="str">
        <f>VLOOKUP(A613,DataUsuario!B:D,2,FALSE)</f>
        <v>Gestión Humana y Sostenibilidad</v>
      </c>
      <c r="E613" t="str">
        <f>VLOOKUP(A613,DataUsuario!B:D,3,FALSE)</f>
        <v>Gestor de Recursos Humanos</v>
      </c>
      <c r="F613" t="s">
        <v>62</v>
      </c>
    </row>
    <row r="614" spans="1:6" x14ac:dyDescent="0.3">
      <c r="A614" s="156" t="s">
        <v>260</v>
      </c>
      <c r="B614" t="s">
        <v>4</v>
      </c>
      <c r="C614" s="158">
        <v>3</v>
      </c>
      <c r="D614" t="str">
        <f>VLOOKUP(A614,DataUsuario!B:D,2,FALSE)</f>
        <v>Industrial y de Mantenimiento</v>
      </c>
      <c r="E614" t="str">
        <f>VLOOKUP(A614,DataUsuario!B:D,3,FALSE)</f>
        <v>Producción</v>
      </c>
      <c r="F614" t="s">
        <v>74</v>
      </c>
    </row>
    <row r="615" spans="1:6" x14ac:dyDescent="0.3">
      <c r="A615" s="159" t="s">
        <v>242</v>
      </c>
      <c r="B615" t="s">
        <v>4</v>
      </c>
      <c r="C615" s="161">
        <v>4</v>
      </c>
      <c r="D615" t="str">
        <f>VLOOKUP(A615,DataUsuario!B:D,2,FALSE)</f>
        <v>Agrícola</v>
      </c>
      <c r="E615" t="str">
        <f>VLOOKUP(A615,DataUsuario!B:D,3,FALSE)</f>
        <v>Fundo Montelima</v>
      </c>
      <c r="F615" t="s">
        <v>89</v>
      </c>
    </row>
    <row r="616" spans="1:6" x14ac:dyDescent="0.3">
      <c r="A616" s="156" t="s">
        <v>661</v>
      </c>
      <c r="B616" t="s">
        <v>4</v>
      </c>
      <c r="C616" s="158">
        <v>4</v>
      </c>
      <c r="D616" t="str">
        <f>VLOOKUP(A616,DataUsuario!B:D,2,FALSE)</f>
        <v>Gestión Humana y Sostenibilidad</v>
      </c>
      <c r="E616" t="str">
        <f>VLOOKUP(A616,DataUsuario!B:D,3,FALSE)</f>
        <v>Gestión Humana</v>
      </c>
      <c r="F616" t="s">
        <v>62</v>
      </c>
    </row>
    <row r="617" spans="1:6" x14ac:dyDescent="0.3">
      <c r="A617" s="159" t="s">
        <v>138</v>
      </c>
      <c r="B617" t="s">
        <v>4</v>
      </c>
      <c r="C617" s="161">
        <v>4</v>
      </c>
      <c r="D617" t="str">
        <f>VLOOKUP(A617,DataUsuario!B:D,2,FALSE)</f>
        <v>Gestión Humana y Sostenibilidad</v>
      </c>
      <c r="E617" t="str">
        <f>VLOOKUP(A617,DataUsuario!B:D,3,FALSE)</f>
        <v>Gestion del Talento</v>
      </c>
      <c r="F617" t="s">
        <v>62</v>
      </c>
    </row>
    <row r="618" spans="1:6" x14ac:dyDescent="0.3">
      <c r="A618" s="156" t="s">
        <v>662</v>
      </c>
      <c r="B618" t="s">
        <v>4</v>
      </c>
      <c r="C618" s="158">
        <v>5</v>
      </c>
      <c r="D618" t="str">
        <f>VLOOKUP(A618,DataUsuario!B:D,2,FALSE)</f>
        <v>Gestión Humana y Sostenibilidad</v>
      </c>
      <c r="E618" t="str">
        <f>VLOOKUP(A618,DataUsuario!B:D,3,FALSE)</f>
        <v>Relaciones Laborales</v>
      </c>
      <c r="F618" t="s">
        <v>62</v>
      </c>
    </row>
    <row r="619" spans="1:6" x14ac:dyDescent="0.3">
      <c r="A619" s="159" t="s">
        <v>663</v>
      </c>
      <c r="B619" t="s">
        <v>4</v>
      </c>
      <c r="C619" s="161">
        <v>5</v>
      </c>
      <c r="D619" t="str">
        <f>VLOOKUP(A619,DataUsuario!B:D,2,FALSE)</f>
        <v>Administración y Finanzas</v>
      </c>
      <c r="E619" t="str">
        <f>VLOOKUP(A619,DataUsuario!B:D,3,FALSE)</f>
        <v>Contabilidad Tributaria</v>
      </c>
      <c r="F619" t="s">
        <v>66</v>
      </c>
    </row>
    <row r="620" spans="1:6" x14ac:dyDescent="0.3">
      <c r="A620" s="156" t="s">
        <v>247</v>
      </c>
      <c r="B620" t="s">
        <v>4</v>
      </c>
      <c r="C620" s="158">
        <v>4</v>
      </c>
      <c r="D620" t="str">
        <f>VLOOKUP(A620,DataUsuario!B:D,2,FALSE)</f>
        <v>Industrial y de Mantenimiento</v>
      </c>
      <c r="E620" t="str">
        <f>VLOOKUP(A620,DataUsuario!B:D,3,FALSE)</f>
        <v>Mantenimiento Industrial</v>
      </c>
      <c r="F620" t="s">
        <v>74</v>
      </c>
    </row>
    <row r="621" spans="1:6" x14ac:dyDescent="0.3">
      <c r="A621" s="159" t="s">
        <v>271</v>
      </c>
      <c r="B621" t="s">
        <v>4</v>
      </c>
      <c r="C621" s="161">
        <v>5</v>
      </c>
      <c r="D621" t="str">
        <f>VLOOKUP(A621,DataUsuario!B:D,2,FALSE)</f>
        <v>Operaciones</v>
      </c>
      <c r="E621" t="str">
        <f>VLOOKUP(A621,DataUsuario!B:D,3,FALSE)</f>
        <v>Calidad</v>
      </c>
      <c r="F621" t="s">
        <v>70</v>
      </c>
    </row>
    <row r="622" spans="1:6" x14ac:dyDescent="0.3">
      <c r="A622" s="156" t="s">
        <v>291</v>
      </c>
      <c r="B622" t="s">
        <v>4</v>
      </c>
      <c r="C622" s="158">
        <v>5</v>
      </c>
      <c r="D622" t="str">
        <f>VLOOKUP(A622,DataUsuario!B:D,2,FALSE)</f>
        <v>Gestión Humana y Sostenibilidad</v>
      </c>
      <c r="E622" t="str">
        <f>VLOOKUP(A622,DataUsuario!B:D,3,FALSE)</f>
        <v>Gerencia Gestión Humana y Sostenibilidad</v>
      </c>
      <c r="F622" t="s">
        <v>62</v>
      </c>
    </row>
    <row r="623" spans="1:6" x14ac:dyDescent="0.3">
      <c r="A623" s="159" t="s">
        <v>80</v>
      </c>
      <c r="B623" t="s">
        <v>4</v>
      </c>
      <c r="C623" s="161">
        <v>4</v>
      </c>
      <c r="D623" t="str">
        <f>VLOOKUP(A623,DataUsuario!B:D,2,FALSE)</f>
        <v>Administración y Finanzas</v>
      </c>
      <c r="E623" t="str">
        <f>VLOOKUP(A623,DataUsuario!B:D,3,FALSE)</f>
        <v>Compras</v>
      </c>
      <c r="F623" t="s">
        <v>66</v>
      </c>
    </row>
    <row r="624" spans="1:6" x14ac:dyDescent="0.3">
      <c r="A624" s="156" t="s">
        <v>88</v>
      </c>
      <c r="B624" t="s">
        <v>4</v>
      </c>
      <c r="C624" s="158">
        <v>5</v>
      </c>
      <c r="D624" t="str">
        <f>VLOOKUP(A624,DataUsuario!B:D,2,FALSE)</f>
        <v>Agrícola</v>
      </c>
      <c r="E624" t="str">
        <f>VLOOKUP(A624,DataUsuario!B:D,3,FALSE)</f>
        <v>Fundo Lobo</v>
      </c>
      <c r="F624" t="s">
        <v>89</v>
      </c>
    </row>
    <row r="625" spans="1:6" x14ac:dyDescent="0.3">
      <c r="A625" s="159" t="s">
        <v>143</v>
      </c>
      <c r="B625" t="s">
        <v>4</v>
      </c>
      <c r="C625" s="161">
        <v>5</v>
      </c>
      <c r="D625" t="str">
        <f>VLOOKUP(A625,DataUsuario!B:D,2,FALSE)</f>
        <v>Operaciones</v>
      </c>
      <c r="E625" t="str">
        <f>VLOOKUP(A625,DataUsuario!B:D,3,FALSE)</f>
        <v>Transporte</v>
      </c>
      <c r="F625" t="s">
        <v>70</v>
      </c>
    </row>
    <row r="626" spans="1:6" x14ac:dyDescent="0.3">
      <c r="A626" s="162" t="s">
        <v>123</v>
      </c>
      <c r="B626" t="s">
        <v>4</v>
      </c>
      <c r="C626" s="164">
        <v>4</v>
      </c>
      <c r="D626" t="str">
        <f>VLOOKUP(A626,DataUsuario!B:D,2,FALSE)</f>
        <v>Administración y Finanzas</v>
      </c>
      <c r="E626" t="str">
        <f>VLOOKUP(A626,DataUsuario!B:D,3,FALSE)</f>
        <v>Gerencia Administración y Finanzas</v>
      </c>
      <c r="F626" t="s">
        <v>66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38FA5-43CD-4D96-8FD8-1A94F18DED6F}">
  <sheetPr codeName="Hoja6"/>
  <dimension ref="A2:M41"/>
  <sheetViews>
    <sheetView tabSelected="1" workbookViewId="0">
      <selection activeCell="L12" sqref="L12"/>
    </sheetView>
  </sheetViews>
  <sheetFormatPr baseColWidth="10" defaultRowHeight="14.4" x14ac:dyDescent="0.3"/>
  <cols>
    <col min="13" max="13" width="11.88671875" customWidth="1"/>
  </cols>
  <sheetData>
    <row r="2" spans="1:13" x14ac:dyDescent="0.3">
      <c r="A2" t="s">
        <v>672</v>
      </c>
      <c r="B2">
        <v>128</v>
      </c>
    </row>
    <row r="3" spans="1:13" x14ac:dyDescent="0.3">
      <c r="A3" t="s">
        <v>673</v>
      </c>
      <c r="B3">
        <v>125</v>
      </c>
    </row>
    <row r="4" spans="1:13" x14ac:dyDescent="0.3">
      <c r="A4" t="s">
        <v>674</v>
      </c>
      <c r="B4">
        <v>3</v>
      </c>
    </row>
    <row r="15" spans="1:13" x14ac:dyDescent="0.3">
      <c r="A15" t="s">
        <v>452</v>
      </c>
      <c r="B15" t="s">
        <v>669</v>
      </c>
      <c r="L15" t="s">
        <v>670</v>
      </c>
      <c r="M15" t="s">
        <v>671</v>
      </c>
    </row>
    <row r="16" spans="1:13" x14ac:dyDescent="0.3">
      <c r="A16" t="s">
        <v>4</v>
      </c>
      <c r="B16">
        <v>4.5629999999999997</v>
      </c>
      <c r="L16" t="s">
        <v>66</v>
      </c>
      <c r="M16">
        <v>4.7030000000000003</v>
      </c>
    </row>
    <row r="17" spans="1:13" x14ac:dyDescent="0.3">
      <c r="A17" t="s">
        <v>0</v>
      </c>
      <c r="B17">
        <v>4.532</v>
      </c>
      <c r="L17" t="s">
        <v>70</v>
      </c>
      <c r="M17">
        <v>4.5720000000000001</v>
      </c>
    </row>
    <row r="18" spans="1:13" x14ac:dyDescent="0.3">
      <c r="A18" t="s">
        <v>1</v>
      </c>
      <c r="B18">
        <v>4.5119999999999996</v>
      </c>
      <c r="L18" t="s">
        <v>62</v>
      </c>
      <c r="M18">
        <v>4.4720000000000004</v>
      </c>
    </row>
    <row r="19" spans="1:13" x14ac:dyDescent="0.3">
      <c r="A19" t="s">
        <v>2</v>
      </c>
      <c r="B19">
        <v>4.4710000000000001</v>
      </c>
      <c r="L19" t="s">
        <v>89</v>
      </c>
      <c r="M19" s="177">
        <v>4.3099999999999996</v>
      </c>
    </row>
    <row r="20" spans="1:13" x14ac:dyDescent="0.3">
      <c r="A20" t="s">
        <v>3</v>
      </c>
      <c r="B20">
        <v>4.2880000000000003</v>
      </c>
      <c r="L20" t="s">
        <v>74</v>
      </c>
      <c r="M20">
        <v>4.1879999999999997</v>
      </c>
    </row>
    <row r="36" spans="1:5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</row>
    <row r="37" spans="1:5" x14ac:dyDescent="0.3">
      <c r="A37" t="s">
        <v>4</v>
      </c>
      <c r="B37" s="31">
        <v>3.7218693284936482</v>
      </c>
      <c r="C37" s="27">
        <v>4.246031746031746</v>
      </c>
      <c r="D37" s="25">
        <v>4.5369999999999999</v>
      </c>
      <c r="E37" s="19">
        <v>4.5629999999999997</v>
      </c>
    </row>
    <row r="38" spans="1:5" x14ac:dyDescent="0.3">
      <c r="A38" t="s">
        <v>0</v>
      </c>
      <c r="B38" s="31">
        <v>4.2670668953687825</v>
      </c>
      <c r="C38" s="27">
        <v>4.1010101010101003</v>
      </c>
      <c r="D38" s="12">
        <v>4.4809999999999999</v>
      </c>
      <c r="E38">
        <v>4.532</v>
      </c>
    </row>
    <row r="39" spans="1:5" x14ac:dyDescent="0.3">
      <c r="A39" t="s">
        <v>1</v>
      </c>
      <c r="B39" s="31">
        <v>3.9935141509433962</v>
      </c>
      <c r="C39" s="27">
        <v>4.2103174603174605</v>
      </c>
      <c r="D39" s="12">
        <v>4.4820000000000002</v>
      </c>
      <c r="E39">
        <v>4.5119999999999996</v>
      </c>
    </row>
    <row r="40" spans="1:5" x14ac:dyDescent="0.3">
      <c r="A40" t="s">
        <v>2</v>
      </c>
      <c r="B40" s="31">
        <v>3.9239926739926738</v>
      </c>
      <c r="C40" s="27">
        <v>4.1768632753084329</v>
      </c>
      <c r="D40" s="12">
        <v>4.4720000000000004</v>
      </c>
      <c r="E40">
        <v>4.4710000000000001</v>
      </c>
    </row>
    <row r="41" spans="1:5" ht="15" thickBot="1" x14ac:dyDescent="0.35">
      <c r="A41" t="s">
        <v>3</v>
      </c>
      <c r="B41" s="34">
        <v>3.7519181585677748</v>
      </c>
      <c r="C41" s="29">
        <v>4.0061094819159333</v>
      </c>
      <c r="D41" s="32">
        <v>4.327</v>
      </c>
      <c r="E41" s="18">
        <v>4.2880000000000003</v>
      </c>
    </row>
  </sheetData>
  <autoFilter ref="A36:E41" xr:uid="{11238FA5-43CD-4D96-8FD8-1A94F18DED6F}">
    <sortState xmlns:xlrd2="http://schemas.microsoft.com/office/spreadsheetml/2017/richdata2" ref="A37:E41">
      <sortCondition descending="1" ref="E36:E41"/>
    </sortState>
  </autoFilter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6329E-8F5B-4DC1-9422-D425A95B0B07}">
  <sheetPr codeName="Hoja9"/>
  <dimension ref="B69:N86"/>
  <sheetViews>
    <sheetView topLeftCell="A55" zoomScaleNormal="100" workbookViewId="0">
      <selection activeCell="B74" sqref="B74"/>
    </sheetView>
  </sheetViews>
  <sheetFormatPr baseColWidth="10" defaultRowHeight="14.4" x14ac:dyDescent="0.3"/>
  <sheetData>
    <row r="69" spans="2:14" x14ac:dyDescent="0.3">
      <c r="B69" s="165"/>
      <c r="C69" s="166"/>
      <c r="D69" s="166"/>
      <c r="E69" s="166"/>
      <c r="F69" s="166"/>
      <c r="G69" s="166"/>
      <c r="H69" s="166"/>
      <c r="I69" s="166"/>
      <c r="J69" s="166"/>
      <c r="K69" s="166"/>
      <c r="L69" s="166"/>
      <c r="M69" s="166"/>
      <c r="N69" s="167"/>
    </row>
    <row r="70" spans="2:14" x14ac:dyDescent="0.3">
      <c r="B70" s="168" t="s">
        <v>675</v>
      </c>
      <c r="N70" s="169"/>
    </row>
    <row r="71" spans="2:14" x14ac:dyDescent="0.3">
      <c r="B71" s="168"/>
      <c r="N71" s="169"/>
    </row>
    <row r="72" spans="2:14" x14ac:dyDescent="0.3">
      <c r="B72" s="10" t="s">
        <v>5</v>
      </c>
      <c r="C72" s="10">
        <v>2021</v>
      </c>
      <c r="D72" s="10">
        <v>2022</v>
      </c>
      <c r="E72" s="11">
        <v>2023</v>
      </c>
      <c r="F72" s="11">
        <v>2024</v>
      </c>
      <c r="G72" s="43"/>
      <c r="N72" s="169"/>
    </row>
    <row r="73" spans="2:14" x14ac:dyDescent="0.3">
      <c r="B73" s="173" t="s">
        <v>442</v>
      </c>
      <c r="C73" s="33">
        <v>4.08</v>
      </c>
      <c r="D73" s="16">
        <v>4.2089999999999996</v>
      </c>
      <c r="E73" s="16">
        <v>4.1479269326947801</v>
      </c>
      <c r="F73" s="17">
        <v>4.466480667480667</v>
      </c>
      <c r="G73" s="108"/>
      <c r="N73" s="169"/>
    </row>
    <row r="74" spans="2:14" x14ac:dyDescent="0.3">
      <c r="B74" s="168"/>
      <c r="N74" s="169"/>
    </row>
    <row r="75" spans="2:14" x14ac:dyDescent="0.3">
      <c r="B75" s="168"/>
      <c r="N75" s="169"/>
    </row>
    <row r="76" spans="2:14" x14ac:dyDescent="0.3">
      <c r="B76" s="168"/>
      <c r="N76" s="169"/>
    </row>
    <row r="77" spans="2:14" x14ac:dyDescent="0.3">
      <c r="B77" s="168"/>
      <c r="D77" s="141"/>
      <c r="N77" s="169"/>
    </row>
    <row r="78" spans="2:14" x14ac:dyDescent="0.3">
      <c r="B78" s="168"/>
      <c r="N78" s="169"/>
    </row>
    <row r="79" spans="2:14" x14ac:dyDescent="0.3">
      <c r="B79" s="168"/>
      <c r="N79" s="169"/>
    </row>
    <row r="80" spans="2:14" x14ac:dyDescent="0.3">
      <c r="B80" s="168"/>
      <c r="N80" s="169"/>
    </row>
    <row r="81" spans="2:14" x14ac:dyDescent="0.3">
      <c r="B81" s="168"/>
      <c r="N81" s="169"/>
    </row>
    <row r="82" spans="2:14" x14ac:dyDescent="0.3">
      <c r="B82" s="168"/>
      <c r="N82" s="169"/>
    </row>
    <row r="83" spans="2:14" x14ac:dyDescent="0.3">
      <c r="B83" s="168"/>
      <c r="N83" s="169"/>
    </row>
    <row r="84" spans="2:14" x14ac:dyDescent="0.3">
      <c r="B84" s="168"/>
      <c r="N84" s="169"/>
    </row>
    <row r="85" spans="2:14" x14ac:dyDescent="0.3">
      <c r="B85" s="168"/>
      <c r="N85" s="169"/>
    </row>
    <row r="86" spans="2:14" x14ac:dyDescent="0.3">
      <c r="B86" s="170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2"/>
    </row>
  </sheetData>
  <pageMargins left="0.7" right="0.7" top="0.75" bottom="0.75" header="0.3" footer="0.3"/>
  <pageSetup paperSize="9" orientation="portrait" r:id="rId1"/>
  <headerFooter>
    <oddHeader>&amp;Cv cvcvc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2025-01-02T20:47:26Z</dcterms:modified>
</cp:coreProperties>
</file>