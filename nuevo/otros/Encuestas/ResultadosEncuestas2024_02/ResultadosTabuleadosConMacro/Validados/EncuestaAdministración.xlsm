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tables/table3.xml" ContentType="application/vnd.openxmlformats-officedocument.spreadsheetml.table+xml"/>
  <Override PartName="/xl/pivotTables/pivotTable2.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D:\Encuestas\ResultadosEncuestas2024_02\ResultadosTabuleadosConMacro\Validados\"/>
    </mc:Choice>
  </mc:AlternateContent>
  <xr:revisionPtr revIDLastSave="0" documentId="13_ncr:1_{F8702A2E-06C8-4451-862E-31A8F79E72C9}" xr6:coauthVersionLast="47" xr6:coauthVersionMax="47" xr10:uidLastSave="{00000000-0000-0000-0000-000000000000}"/>
  <bookViews>
    <workbookView xWindow="-108" yWindow="-108" windowWidth="23256" windowHeight="13896" firstSheet="7" activeTab="10" xr2:uid="{33B226CF-D489-4D0F-8D70-DC6CBAFC18C2}"/>
  </bookViews>
  <sheets>
    <sheet name="DataUsuario" sheetId="19" r:id="rId1"/>
    <sheet name="EncuestaAreas" sheetId="18" r:id="rId2"/>
    <sheet name="HistoricoAreas" sheetId="162" r:id="rId3"/>
    <sheet name="UniversoAreas" sheetId="121" r:id="rId4"/>
    <sheet name="Paso1_RespuestasMicrosoftForms" sheetId="192" r:id="rId5"/>
    <sheet name="Estadística" sheetId="193" r:id="rId6"/>
    <sheet name="Estadística_Gerencias" sheetId="200" r:id="rId7"/>
    <sheet name="Paso2_Comentarios" sheetId="201" r:id="rId8"/>
    <sheet name="Paso3_Tabuleado" sheetId="203" r:id="rId9"/>
    <sheet name="DataResumen" sheetId="204" r:id="rId10"/>
    <sheet name="Graficos" sheetId="205" r:id="rId11"/>
  </sheets>
  <functionGroups builtInGroupCount="19"/>
  <definedNames>
    <definedName name="_xlnm._FilterDatabase" localSheetId="9" hidden="1">DataResumen!$A$36:$E$40</definedName>
  </definedNames>
  <calcPr calcId="191029"/>
  <pivotCaches>
    <pivotCache cacheId="315" r:id="rId12"/>
    <pivotCache cacheId="325"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203" l="1"/>
  <c r="E3" i="203"/>
  <c r="E4" i="203"/>
  <c r="E5" i="203"/>
  <c r="E6" i="203"/>
  <c r="E7" i="203"/>
  <c r="E8" i="203"/>
  <c r="E9" i="203"/>
  <c r="E10" i="203"/>
  <c r="E11" i="203"/>
  <c r="E12" i="203"/>
  <c r="E13" i="203"/>
  <c r="E14" i="203"/>
  <c r="E15" i="203"/>
  <c r="E16" i="203"/>
  <c r="E17" i="203"/>
  <c r="E18" i="203"/>
  <c r="E19" i="203"/>
  <c r="E20" i="203"/>
  <c r="E21" i="203"/>
  <c r="E22" i="203"/>
  <c r="E23" i="203"/>
  <c r="E24" i="203"/>
  <c r="E25" i="203"/>
  <c r="E26" i="203"/>
  <c r="E27" i="203"/>
  <c r="E28" i="203"/>
  <c r="E29" i="203"/>
  <c r="E30" i="203"/>
  <c r="E31" i="203"/>
  <c r="E32" i="203"/>
  <c r="E33" i="203"/>
  <c r="E34" i="203"/>
  <c r="E35" i="203"/>
  <c r="E36" i="203"/>
  <c r="E37" i="203"/>
  <c r="E38" i="203"/>
  <c r="E39" i="203"/>
  <c r="E40" i="203"/>
  <c r="E41" i="203"/>
  <c r="E42" i="203"/>
  <c r="E43" i="203"/>
  <c r="E44" i="203"/>
  <c r="E45" i="203"/>
  <c r="E46" i="203"/>
  <c r="E47" i="203"/>
  <c r="E48" i="203"/>
  <c r="E49" i="203"/>
  <c r="E50" i="203"/>
  <c r="E51" i="203"/>
  <c r="E52" i="203"/>
  <c r="E53" i="203"/>
  <c r="E54" i="203"/>
  <c r="E55" i="203"/>
  <c r="E56" i="203"/>
  <c r="E57" i="203"/>
  <c r="E58" i="203"/>
  <c r="E59" i="203"/>
  <c r="E60" i="203"/>
  <c r="E61" i="203"/>
  <c r="E62" i="203"/>
  <c r="E63" i="203"/>
  <c r="E64" i="203"/>
  <c r="E65" i="203"/>
  <c r="E66" i="203"/>
  <c r="E67" i="203"/>
  <c r="E68" i="203"/>
  <c r="E69" i="203"/>
  <c r="E70" i="203"/>
  <c r="E71" i="203"/>
  <c r="E72" i="203"/>
  <c r="E73" i="203"/>
  <c r="E74" i="203"/>
  <c r="E75" i="203"/>
  <c r="E76" i="203"/>
  <c r="E77" i="203"/>
  <c r="E78" i="203"/>
  <c r="E79" i="203"/>
  <c r="E80" i="203"/>
  <c r="E81" i="203"/>
  <c r="E82" i="203"/>
  <c r="E83" i="203"/>
  <c r="E84" i="203"/>
  <c r="E85" i="203"/>
  <c r="E86" i="203"/>
  <c r="E87" i="203"/>
  <c r="E88" i="203"/>
  <c r="E89" i="203"/>
  <c r="E90" i="203"/>
  <c r="E91" i="203"/>
  <c r="E92" i="203"/>
  <c r="E93" i="203"/>
  <c r="E94" i="203"/>
  <c r="E95" i="203"/>
  <c r="E96" i="203"/>
  <c r="E97" i="203"/>
  <c r="E98" i="203"/>
  <c r="E99" i="203"/>
  <c r="E100" i="203"/>
  <c r="E101" i="203"/>
  <c r="E102" i="203"/>
  <c r="E103" i="203"/>
  <c r="E104" i="203"/>
  <c r="E105" i="203"/>
  <c r="E106" i="203"/>
  <c r="E107" i="203"/>
  <c r="E108" i="203"/>
  <c r="E109" i="203"/>
  <c r="E110" i="203"/>
  <c r="E111" i="203"/>
  <c r="E112" i="203"/>
  <c r="E113" i="203"/>
  <c r="E114" i="203"/>
  <c r="E115" i="203"/>
  <c r="E116" i="203"/>
  <c r="E117" i="203"/>
  <c r="E118" i="203"/>
  <c r="E119" i="203"/>
  <c r="E120" i="203"/>
  <c r="E121" i="203"/>
  <c r="E122" i="203"/>
  <c r="E123" i="203"/>
  <c r="E124" i="203"/>
  <c r="E125" i="203"/>
  <c r="E126" i="203"/>
  <c r="E127" i="203"/>
  <c r="E128" i="203"/>
  <c r="E129" i="203"/>
  <c r="E130" i="203"/>
  <c r="E131" i="203"/>
  <c r="E132" i="203"/>
  <c r="E133" i="203"/>
  <c r="E134" i="203"/>
  <c r="E135" i="203"/>
  <c r="E136" i="203"/>
  <c r="E137" i="203"/>
  <c r="E138" i="203"/>
  <c r="E139" i="203"/>
  <c r="E140" i="203"/>
  <c r="E141" i="203"/>
  <c r="E142" i="203"/>
  <c r="E143" i="203"/>
  <c r="E144" i="203"/>
  <c r="E145" i="203"/>
  <c r="E146" i="203"/>
  <c r="E147" i="203"/>
  <c r="E148" i="203"/>
  <c r="E149" i="203"/>
  <c r="E150" i="203"/>
  <c r="E151" i="203"/>
  <c r="E152" i="203"/>
  <c r="E153" i="203"/>
  <c r="E154" i="203"/>
  <c r="E155" i="203"/>
  <c r="E156" i="203"/>
  <c r="E157" i="203"/>
  <c r="E158" i="203"/>
  <c r="E159" i="203"/>
  <c r="E160" i="203"/>
  <c r="E161" i="203"/>
  <c r="E162" i="203"/>
  <c r="E163" i="203"/>
  <c r="E164" i="203"/>
  <c r="E165" i="203"/>
  <c r="E166" i="203"/>
  <c r="E167" i="203"/>
  <c r="E168" i="203"/>
  <c r="E169" i="203"/>
  <c r="E170" i="203"/>
  <c r="E171" i="203"/>
  <c r="E172" i="203"/>
  <c r="E173" i="203"/>
  <c r="E174" i="203"/>
  <c r="E175" i="203"/>
  <c r="E176" i="203"/>
  <c r="E177" i="203"/>
  <c r="E178" i="203"/>
  <c r="E179" i="203"/>
  <c r="E180" i="203"/>
  <c r="E181" i="203"/>
  <c r="E182" i="203"/>
  <c r="E183" i="203"/>
  <c r="E184" i="203"/>
  <c r="E185" i="203"/>
  <c r="E186" i="203"/>
  <c r="E187" i="203"/>
  <c r="E188" i="203"/>
  <c r="E189" i="203"/>
  <c r="E190" i="203"/>
  <c r="E191" i="203"/>
  <c r="E192" i="203"/>
  <c r="E193" i="203"/>
  <c r="E194" i="203"/>
  <c r="E195" i="203"/>
  <c r="E196" i="203"/>
  <c r="E197" i="203"/>
  <c r="E198" i="203"/>
  <c r="E199" i="203"/>
  <c r="E200" i="203"/>
  <c r="E201" i="203"/>
  <c r="E202" i="203"/>
  <c r="E203" i="203"/>
  <c r="E204" i="203"/>
  <c r="E205" i="203"/>
  <c r="E206" i="203"/>
  <c r="E207" i="203"/>
  <c r="E208" i="203"/>
  <c r="E209" i="203"/>
  <c r="E210" i="203"/>
  <c r="E211" i="203"/>
  <c r="E212" i="203"/>
  <c r="E213" i="203"/>
  <c r="E214" i="203"/>
  <c r="E215" i="203"/>
  <c r="E216" i="203"/>
  <c r="E217" i="203"/>
  <c r="E218" i="203"/>
  <c r="E219" i="203"/>
  <c r="E220" i="203"/>
  <c r="E221" i="203"/>
  <c r="E222" i="203"/>
  <c r="E223" i="203"/>
  <c r="E224" i="203"/>
  <c r="E225" i="203"/>
  <c r="E226" i="203"/>
  <c r="E227" i="203"/>
  <c r="E228" i="203"/>
  <c r="E229" i="203"/>
  <c r="E230" i="203"/>
  <c r="E231" i="203"/>
  <c r="E232" i="203"/>
  <c r="E233" i="203"/>
  <c r="E234" i="203"/>
  <c r="E235" i="203"/>
  <c r="E236" i="203"/>
  <c r="E237" i="203"/>
  <c r="E238" i="203"/>
  <c r="E239" i="203"/>
  <c r="E240" i="203"/>
  <c r="E241" i="203"/>
  <c r="E242" i="203"/>
  <c r="E243" i="203"/>
  <c r="E244" i="203"/>
  <c r="E245" i="203"/>
  <c r="E246" i="203"/>
  <c r="E247" i="203"/>
  <c r="E248" i="203"/>
  <c r="E249" i="203"/>
  <c r="E250" i="203"/>
  <c r="E251" i="203"/>
  <c r="E252" i="203"/>
  <c r="E253" i="203"/>
  <c r="E254" i="203"/>
  <c r="E255" i="203"/>
  <c r="E256" i="203"/>
  <c r="E257" i="203"/>
  <c r="E258" i="203"/>
  <c r="E259" i="203"/>
  <c r="E260" i="203"/>
  <c r="E261" i="203"/>
  <c r="E262" i="203"/>
  <c r="E263" i="203"/>
  <c r="E264" i="203"/>
  <c r="E265" i="203"/>
  <c r="E266" i="203"/>
  <c r="E267" i="203"/>
  <c r="E268" i="203"/>
  <c r="E269" i="203"/>
  <c r="E270" i="203"/>
  <c r="E271" i="203"/>
  <c r="E272" i="203"/>
  <c r="E273" i="203"/>
  <c r="E274" i="203"/>
  <c r="E275" i="203"/>
  <c r="E276" i="203"/>
  <c r="E277" i="203"/>
  <c r="E278" i="203"/>
  <c r="E279" i="203"/>
  <c r="E280" i="203"/>
  <c r="E281" i="203"/>
  <c r="E282" i="203"/>
  <c r="E283" i="203"/>
  <c r="E284" i="203"/>
  <c r="E285" i="203"/>
  <c r="E286" i="203"/>
  <c r="E287" i="203"/>
  <c r="E288" i="203"/>
  <c r="E289" i="203"/>
  <c r="E290" i="203"/>
  <c r="E291" i="203"/>
  <c r="E292" i="203"/>
  <c r="E293" i="203"/>
  <c r="E294" i="203"/>
  <c r="E295" i="203"/>
  <c r="E296" i="203"/>
  <c r="E297" i="203"/>
  <c r="E298" i="203"/>
  <c r="E299" i="203"/>
  <c r="E300" i="203"/>
  <c r="E301" i="203"/>
  <c r="E302" i="203"/>
  <c r="E303" i="203"/>
  <c r="E304" i="203"/>
  <c r="E305" i="203"/>
  <c r="E306" i="203"/>
  <c r="E307" i="203"/>
  <c r="E308" i="203"/>
  <c r="E309" i="203"/>
  <c r="E310" i="203"/>
  <c r="E311" i="203"/>
  <c r="E312" i="203"/>
  <c r="E313" i="203"/>
  <c r="E314" i="203"/>
  <c r="E315" i="203"/>
  <c r="E316" i="203"/>
  <c r="E317" i="203"/>
  <c r="E318" i="203"/>
  <c r="E319" i="203"/>
  <c r="E320" i="203"/>
  <c r="E321" i="203"/>
  <c r="E322" i="203"/>
  <c r="E323" i="203"/>
  <c r="E324" i="203"/>
  <c r="E325" i="203"/>
  <c r="E326" i="203"/>
  <c r="E327" i="203"/>
  <c r="E328" i="203"/>
  <c r="E329" i="203"/>
  <c r="E330" i="203"/>
  <c r="E331" i="203"/>
  <c r="E332" i="203"/>
  <c r="E333" i="203"/>
  <c r="E334" i="203"/>
  <c r="E335" i="203"/>
  <c r="E336" i="203"/>
  <c r="E337" i="203"/>
  <c r="E338" i="203"/>
  <c r="E339" i="203"/>
  <c r="E340" i="203"/>
  <c r="E341" i="203"/>
  <c r="E342" i="203"/>
  <c r="E343" i="203"/>
  <c r="E344" i="203"/>
  <c r="E345" i="203"/>
  <c r="E346" i="203"/>
  <c r="E347" i="203"/>
  <c r="E348" i="203"/>
  <c r="E349" i="203"/>
  <c r="E350" i="203"/>
  <c r="E351" i="203"/>
  <c r="E352" i="203"/>
  <c r="E353" i="203"/>
  <c r="E354" i="203"/>
  <c r="E355" i="203"/>
  <c r="E356" i="203"/>
  <c r="E357" i="203"/>
  <c r="E358" i="203"/>
  <c r="E359" i="203"/>
  <c r="E360" i="203"/>
  <c r="E361" i="203"/>
  <c r="E362" i="203"/>
  <c r="E363" i="203"/>
  <c r="E364" i="203"/>
  <c r="E365" i="203"/>
  <c r="E366" i="203"/>
  <c r="E367" i="203"/>
  <c r="E368" i="203"/>
  <c r="E369" i="203"/>
  <c r="E370" i="203"/>
  <c r="E371" i="203"/>
  <c r="E372" i="203"/>
  <c r="E373" i="203"/>
  <c r="E374" i="203"/>
  <c r="E375" i="203"/>
  <c r="E376" i="203"/>
  <c r="E377" i="203"/>
  <c r="E378" i="203"/>
  <c r="E379" i="203"/>
  <c r="E380" i="203"/>
  <c r="E381" i="203"/>
  <c r="E382" i="203"/>
  <c r="E383" i="203"/>
  <c r="E384" i="203"/>
  <c r="E385" i="203"/>
  <c r="E386" i="203"/>
  <c r="E387" i="203"/>
  <c r="E388" i="203"/>
  <c r="E389" i="203"/>
  <c r="D2" i="203"/>
  <c r="D3" i="203"/>
  <c r="D4" i="203"/>
  <c r="D5" i="203"/>
  <c r="D6" i="203"/>
  <c r="D7" i="203"/>
  <c r="D8" i="203"/>
  <c r="D9" i="203"/>
  <c r="D10" i="203"/>
  <c r="D11" i="203"/>
  <c r="D12" i="203"/>
  <c r="D13" i="203"/>
  <c r="D14" i="203"/>
  <c r="D15" i="203"/>
  <c r="D16" i="203"/>
  <c r="D17" i="203"/>
  <c r="D18" i="203"/>
  <c r="D19" i="203"/>
  <c r="D20" i="203"/>
  <c r="D21" i="203"/>
  <c r="D22" i="203"/>
  <c r="D23" i="203"/>
  <c r="D24" i="203"/>
  <c r="D25" i="203"/>
  <c r="D26" i="203"/>
  <c r="D27" i="203"/>
  <c r="D28" i="203"/>
  <c r="D29" i="203"/>
  <c r="D30" i="203"/>
  <c r="D31" i="203"/>
  <c r="D32" i="203"/>
  <c r="D33" i="203"/>
  <c r="D34" i="203"/>
  <c r="D35" i="203"/>
  <c r="D36" i="203"/>
  <c r="D37" i="203"/>
  <c r="D38" i="203"/>
  <c r="D39" i="203"/>
  <c r="D40" i="203"/>
  <c r="D41" i="203"/>
  <c r="D42" i="203"/>
  <c r="D43" i="203"/>
  <c r="D44" i="203"/>
  <c r="D45" i="203"/>
  <c r="D46" i="203"/>
  <c r="D47" i="203"/>
  <c r="D48" i="203"/>
  <c r="D49" i="203"/>
  <c r="D50" i="203"/>
  <c r="D51" i="203"/>
  <c r="D52" i="203"/>
  <c r="D53" i="203"/>
  <c r="D54" i="203"/>
  <c r="D55" i="203"/>
  <c r="D56" i="203"/>
  <c r="D57" i="203"/>
  <c r="D58" i="203"/>
  <c r="D59" i="203"/>
  <c r="D60" i="203"/>
  <c r="D61" i="203"/>
  <c r="D62" i="203"/>
  <c r="D63" i="203"/>
  <c r="D64" i="203"/>
  <c r="D65" i="203"/>
  <c r="D66" i="203"/>
  <c r="D67" i="203"/>
  <c r="D68" i="203"/>
  <c r="D69" i="203"/>
  <c r="D70" i="203"/>
  <c r="D71" i="203"/>
  <c r="D72" i="203"/>
  <c r="D73" i="203"/>
  <c r="D74" i="203"/>
  <c r="D75" i="203"/>
  <c r="D76" i="203"/>
  <c r="D77" i="203"/>
  <c r="D78" i="203"/>
  <c r="D79" i="203"/>
  <c r="D80" i="203"/>
  <c r="D81" i="203"/>
  <c r="D82" i="203"/>
  <c r="D83" i="203"/>
  <c r="D84" i="203"/>
  <c r="D85" i="203"/>
  <c r="D86" i="203"/>
  <c r="D87" i="203"/>
  <c r="D88" i="203"/>
  <c r="D89" i="203"/>
  <c r="D90" i="203"/>
  <c r="D91" i="203"/>
  <c r="D92" i="203"/>
  <c r="D93" i="203"/>
  <c r="D94" i="203"/>
  <c r="D95" i="203"/>
  <c r="D96" i="203"/>
  <c r="D97" i="203"/>
  <c r="D98" i="203"/>
  <c r="D99" i="203"/>
  <c r="D100" i="203"/>
  <c r="D101" i="203"/>
  <c r="D102" i="203"/>
  <c r="D103" i="203"/>
  <c r="D104" i="203"/>
  <c r="D105" i="203"/>
  <c r="D106" i="203"/>
  <c r="D107" i="203"/>
  <c r="D108" i="203"/>
  <c r="D109" i="203"/>
  <c r="D110" i="203"/>
  <c r="D111" i="203"/>
  <c r="D112" i="203"/>
  <c r="D113" i="203"/>
  <c r="D114" i="203"/>
  <c r="D115" i="203"/>
  <c r="D116" i="203"/>
  <c r="D117" i="203"/>
  <c r="D118" i="203"/>
  <c r="D119" i="203"/>
  <c r="D120" i="203"/>
  <c r="D121" i="203"/>
  <c r="D122" i="203"/>
  <c r="D123" i="203"/>
  <c r="D124" i="203"/>
  <c r="D125" i="203"/>
  <c r="D126" i="203"/>
  <c r="D127" i="203"/>
  <c r="D128" i="203"/>
  <c r="D129" i="203"/>
  <c r="D130" i="203"/>
  <c r="D131" i="203"/>
  <c r="D132" i="203"/>
  <c r="D133" i="203"/>
  <c r="D134" i="203"/>
  <c r="D135" i="203"/>
  <c r="D136" i="203"/>
  <c r="D137" i="203"/>
  <c r="D138" i="203"/>
  <c r="D139" i="203"/>
  <c r="D140" i="203"/>
  <c r="D141" i="203"/>
  <c r="D142" i="203"/>
  <c r="D143" i="203"/>
  <c r="D144" i="203"/>
  <c r="D145" i="203"/>
  <c r="D146" i="203"/>
  <c r="D147" i="203"/>
  <c r="D148" i="203"/>
  <c r="D149" i="203"/>
  <c r="D150" i="203"/>
  <c r="D151" i="203"/>
  <c r="D152" i="203"/>
  <c r="D153" i="203"/>
  <c r="D154" i="203"/>
  <c r="D155" i="203"/>
  <c r="D156" i="203"/>
  <c r="D157" i="203"/>
  <c r="D158" i="203"/>
  <c r="D159" i="203"/>
  <c r="D160" i="203"/>
  <c r="D161" i="203"/>
  <c r="D162" i="203"/>
  <c r="D163" i="203"/>
  <c r="D164" i="203"/>
  <c r="D165" i="203"/>
  <c r="D166" i="203"/>
  <c r="D167" i="203"/>
  <c r="D168" i="203"/>
  <c r="D169" i="203"/>
  <c r="D170" i="203"/>
  <c r="D171" i="203"/>
  <c r="D172" i="203"/>
  <c r="D173" i="203"/>
  <c r="D174" i="203"/>
  <c r="D175" i="203"/>
  <c r="D176" i="203"/>
  <c r="D177" i="203"/>
  <c r="D178" i="203"/>
  <c r="D179" i="203"/>
  <c r="D180" i="203"/>
  <c r="D181" i="203"/>
  <c r="D182" i="203"/>
  <c r="D183" i="203"/>
  <c r="D184" i="203"/>
  <c r="D185" i="203"/>
  <c r="D186" i="203"/>
  <c r="D187" i="203"/>
  <c r="D188" i="203"/>
  <c r="D189" i="203"/>
  <c r="D190" i="203"/>
  <c r="D191" i="203"/>
  <c r="D192" i="203"/>
  <c r="D193" i="203"/>
  <c r="D194" i="203"/>
  <c r="D195" i="203"/>
  <c r="D196" i="203"/>
  <c r="D197" i="203"/>
  <c r="D198" i="203"/>
  <c r="D199" i="203"/>
  <c r="D200" i="203"/>
  <c r="D201" i="203"/>
  <c r="D202" i="203"/>
  <c r="D203" i="203"/>
  <c r="D204" i="203"/>
  <c r="D205" i="203"/>
  <c r="D206" i="203"/>
  <c r="D207" i="203"/>
  <c r="D208" i="203"/>
  <c r="D209" i="203"/>
  <c r="D210" i="203"/>
  <c r="D211" i="203"/>
  <c r="D212" i="203"/>
  <c r="D213" i="203"/>
  <c r="D214" i="203"/>
  <c r="D215" i="203"/>
  <c r="D216" i="203"/>
  <c r="D217" i="203"/>
  <c r="D218" i="203"/>
  <c r="D219" i="203"/>
  <c r="D220" i="203"/>
  <c r="D221" i="203"/>
  <c r="D222" i="203"/>
  <c r="D223" i="203"/>
  <c r="D224" i="203"/>
  <c r="D225" i="203"/>
  <c r="D226" i="203"/>
  <c r="D227" i="203"/>
  <c r="D228" i="203"/>
  <c r="D229" i="203"/>
  <c r="D230" i="203"/>
  <c r="D231" i="203"/>
  <c r="D232" i="203"/>
  <c r="D233" i="203"/>
  <c r="D234" i="203"/>
  <c r="D235" i="203"/>
  <c r="D236" i="203"/>
  <c r="D237" i="203"/>
  <c r="D238" i="203"/>
  <c r="D239" i="203"/>
  <c r="D240" i="203"/>
  <c r="D241" i="203"/>
  <c r="D242" i="203"/>
  <c r="D243" i="203"/>
  <c r="D244" i="203"/>
  <c r="D245" i="203"/>
  <c r="D246" i="203"/>
  <c r="D247" i="203"/>
  <c r="D248" i="203"/>
  <c r="D249" i="203"/>
  <c r="D250" i="203"/>
  <c r="D251" i="203"/>
  <c r="D252" i="203"/>
  <c r="D253" i="203"/>
  <c r="D254" i="203"/>
  <c r="D255" i="203"/>
  <c r="D256" i="203"/>
  <c r="D257" i="203"/>
  <c r="D258" i="203"/>
  <c r="D259" i="203"/>
  <c r="D260" i="203"/>
  <c r="D261" i="203"/>
  <c r="D262" i="203"/>
  <c r="D263" i="203"/>
  <c r="D264" i="203"/>
  <c r="D265" i="203"/>
  <c r="D266" i="203"/>
  <c r="D267" i="203"/>
  <c r="D268" i="203"/>
  <c r="D269" i="203"/>
  <c r="D270" i="203"/>
  <c r="D271" i="203"/>
  <c r="D272" i="203"/>
  <c r="D273" i="203"/>
  <c r="D274" i="203"/>
  <c r="D275" i="203"/>
  <c r="D276" i="203"/>
  <c r="D277" i="203"/>
  <c r="D278" i="203"/>
  <c r="D279" i="203"/>
  <c r="D280" i="203"/>
  <c r="D281" i="203"/>
  <c r="D282" i="203"/>
  <c r="D283" i="203"/>
  <c r="D284" i="203"/>
  <c r="D285" i="203"/>
  <c r="D286" i="203"/>
  <c r="D287" i="203"/>
  <c r="D288" i="203"/>
  <c r="D289" i="203"/>
  <c r="D290" i="203"/>
  <c r="D291" i="203"/>
  <c r="D292" i="203"/>
  <c r="D293" i="203"/>
  <c r="D294" i="203"/>
  <c r="D295" i="203"/>
  <c r="D296" i="203"/>
  <c r="D297" i="203"/>
  <c r="D298" i="203"/>
  <c r="D299" i="203"/>
  <c r="D300" i="203"/>
  <c r="D301" i="203"/>
  <c r="D302" i="203"/>
  <c r="D303" i="203"/>
  <c r="D304" i="203"/>
  <c r="D305" i="203"/>
  <c r="D306" i="203"/>
  <c r="D307" i="203"/>
  <c r="D308" i="203"/>
  <c r="D309" i="203"/>
  <c r="D310" i="203"/>
  <c r="D311" i="203"/>
  <c r="D312" i="203"/>
  <c r="D313" i="203"/>
  <c r="D314" i="203"/>
  <c r="D315" i="203"/>
  <c r="D316" i="203"/>
  <c r="D317" i="203"/>
  <c r="D318" i="203"/>
  <c r="D319" i="203"/>
  <c r="D320" i="203"/>
  <c r="D321" i="203"/>
  <c r="D322" i="203"/>
  <c r="D323" i="203"/>
  <c r="D324" i="203"/>
  <c r="D325" i="203"/>
  <c r="D326" i="203"/>
  <c r="D327" i="203"/>
  <c r="D328" i="203"/>
  <c r="D329" i="203"/>
  <c r="D330" i="203"/>
  <c r="D331" i="203"/>
  <c r="D332" i="203"/>
  <c r="D333" i="203"/>
  <c r="D334" i="203"/>
  <c r="D335" i="203"/>
  <c r="D336" i="203"/>
  <c r="D337" i="203"/>
  <c r="D338" i="203"/>
  <c r="D339" i="203"/>
  <c r="D340" i="203"/>
  <c r="D341" i="203"/>
  <c r="D342" i="203"/>
  <c r="D343" i="203"/>
  <c r="D344" i="203"/>
  <c r="D345" i="203"/>
  <c r="D346" i="203"/>
  <c r="D347" i="203"/>
  <c r="D348" i="203"/>
  <c r="D349" i="203"/>
  <c r="D350" i="203"/>
  <c r="D351" i="203"/>
  <c r="D352" i="203"/>
  <c r="D353" i="203"/>
  <c r="D354" i="203"/>
  <c r="D355" i="203"/>
  <c r="D356" i="203"/>
  <c r="D357" i="203"/>
  <c r="D358" i="203"/>
  <c r="D359" i="203"/>
  <c r="D360" i="203"/>
  <c r="D361" i="203"/>
  <c r="D362" i="203"/>
  <c r="D363" i="203"/>
  <c r="D364" i="203"/>
  <c r="D365" i="203"/>
  <c r="D366" i="203"/>
  <c r="D367" i="203"/>
  <c r="D368" i="203"/>
  <c r="D369" i="203"/>
  <c r="D370" i="203"/>
  <c r="D371" i="203"/>
  <c r="D372" i="203"/>
  <c r="D373" i="203"/>
  <c r="D374" i="203"/>
  <c r="D375" i="203"/>
  <c r="D376" i="203"/>
  <c r="D377" i="203"/>
  <c r="D378" i="203"/>
  <c r="D379" i="203"/>
  <c r="D380" i="203"/>
  <c r="D381" i="203"/>
  <c r="D382" i="203"/>
  <c r="D383" i="203"/>
  <c r="D384" i="203"/>
  <c r="D385" i="203"/>
  <c r="D386" i="203"/>
  <c r="D387" i="203"/>
  <c r="D388" i="203"/>
  <c r="D389" i="203"/>
  <c r="K7" i="162"/>
  <c r="U31" i="193" l="1"/>
  <c r="J25" i="193"/>
  <c r="K25" i="193"/>
  <c r="L25" i="193"/>
  <c r="M25" i="193"/>
  <c r="N25" i="193"/>
  <c r="O25" i="193"/>
  <c r="P25" i="193"/>
  <c r="Q25" i="193"/>
  <c r="R25" i="193"/>
  <c r="S25" i="193"/>
  <c r="T25" i="193"/>
  <c r="U25" i="193"/>
  <c r="V25" i="193"/>
  <c r="W25" i="193"/>
  <c r="X25" i="193"/>
  <c r="Y25" i="193"/>
  <c r="Z25" i="193"/>
  <c r="AA25" i="193"/>
  <c r="AB25" i="193"/>
  <c r="AC25" i="193"/>
  <c r="AD25" i="193"/>
  <c r="AE25" i="193"/>
  <c r="AF25" i="193"/>
  <c r="AG25" i="193"/>
  <c r="AH25" i="193"/>
  <c r="AI25" i="193"/>
  <c r="AJ25" i="193"/>
  <c r="AK25" i="193"/>
  <c r="AL25" i="193"/>
  <c r="AM25" i="193"/>
  <c r="AN25" i="193"/>
  <c r="AO25" i="193"/>
  <c r="AP25" i="193"/>
  <c r="AQ25" i="193"/>
  <c r="AR25" i="193"/>
  <c r="AS25" i="193"/>
  <c r="AT25" i="193"/>
  <c r="AU25" i="193"/>
  <c r="AV25" i="193"/>
  <c r="M20" i="200"/>
  <c r="M19" i="200"/>
  <c r="N20" i="200"/>
  <c r="M21" i="200"/>
  <c r="N21" i="200"/>
  <c r="M22" i="200"/>
  <c r="N22" i="200"/>
  <c r="M23" i="200"/>
  <c r="N23" i="200"/>
  <c r="N19" i="200"/>
  <c r="J19" i="200"/>
  <c r="I34" i="193"/>
  <c r="E26" i="193"/>
  <c r="E27" i="193"/>
  <c r="E28" i="193"/>
  <c r="E29" i="193"/>
  <c r="E30" i="193"/>
  <c r="E31" i="193"/>
  <c r="E32" i="193"/>
  <c r="E33" i="193"/>
  <c r="E34" i="193"/>
  <c r="E35" i="193"/>
  <c r="E25" i="193"/>
  <c r="D30" i="193"/>
  <c r="D27" i="193"/>
  <c r="D33" i="193"/>
  <c r="D35" i="193"/>
  <c r="D25" i="193"/>
  <c r="C30" i="193"/>
  <c r="C31" i="193"/>
  <c r="C32" i="193"/>
  <c r="C33" i="193"/>
  <c r="C34" i="193"/>
  <c r="C35" i="193"/>
  <c r="C29" i="193"/>
  <c r="C28" i="193"/>
  <c r="C27" i="193"/>
  <c r="C26" i="193"/>
  <c r="C25" i="193"/>
  <c r="BT34" i="193"/>
  <c r="BT30" i="193"/>
  <c r="BW35" i="193"/>
  <c r="BU35" i="193"/>
  <c r="BR34" i="193"/>
  <c r="BS32" i="193"/>
  <c r="BW31" i="193"/>
  <c r="BV26" i="193"/>
  <c r="BR26" i="193"/>
  <c r="T46" i="193" s="1"/>
  <c r="BS26" i="193"/>
  <c r="BT26" i="193"/>
  <c r="BU26" i="193"/>
  <c r="BW26" i="193"/>
  <c r="BR27" i="193"/>
  <c r="T47" i="193" s="1"/>
  <c r="BS27" i="193"/>
  <c r="BT27" i="193"/>
  <c r="BU27" i="193"/>
  <c r="BV27" i="193"/>
  <c r="BW27" i="193"/>
  <c r="BR28" i="193"/>
  <c r="BS28" i="193"/>
  <c r="BT28" i="193"/>
  <c r="BU28" i="193"/>
  <c r="BV28" i="193"/>
  <c r="BW28" i="193"/>
  <c r="BR29" i="193"/>
  <c r="T49" i="193" s="1"/>
  <c r="BS29" i="193"/>
  <c r="BT29" i="193"/>
  <c r="BU29" i="193"/>
  <c r="BV29" i="193"/>
  <c r="BW29" i="193"/>
  <c r="BR30" i="193"/>
  <c r="BS30" i="193"/>
  <c r="BU30" i="193"/>
  <c r="BV30" i="193"/>
  <c r="BW30" i="193"/>
  <c r="BR31" i="193"/>
  <c r="BS31" i="193"/>
  <c r="BT31" i="193"/>
  <c r="BU31" i="193"/>
  <c r="BV31" i="193"/>
  <c r="BR32" i="193"/>
  <c r="BT32" i="193"/>
  <c r="BU32" i="193"/>
  <c r="BV32" i="193"/>
  <c r="BW32" i="193"/>
  <c r="BR33" i="193"/>
  <c r="BS33" i="193"/>
  <c r="BT33" i="193"/>
  <c r="BU33" i="193"/>
  <c r="BV33" i="193"/>
  <c r="BW33" i="193"/>
  <c r="BS34" i="193"/>
  <c r="BU34" i="193"/>
  <c r="BV34" i="193"/>
  <c r="BW34" i="193"/>
  <c r="BR35" i="193"/>
  <c r="BS35" i="193"/>
  <c r="BT35" i="193"/>
  <c r="BV35" i="193"/>
  <c r="BS25" i="193"/>
  <c r="BT25" i="193"/>
  <c r="BU25" i="193"/>
  <c r="BV25" i="193"/>
  <c r="BW25" i="193"/>
  <c r="BR25" i="193"/>
  <c r="BQ26" i="193"/>
  <c r="BP25" i="193"/>
  <c r="BP26" i="193"/>
  <c r="BO28" i="193"/>
  <c r="BL35" i="193"/>
  <c r="S55" i="193" s="1"/>
  <c r="BM34" i="193"/>
  <c r="BQ33" i="193"/>
  <c r="BQ28" i="193"/>
  <c r="BP28" i="193"/>
  <c r="BL26" i="193"/>
  <c r="BM26" i="193"/>
  <c r="BN26" i="193"/>
  <c r="BO26" i="193"/>
  <c r="BL27" i="193"/>
  <c r="BM27" i="193"/>
  <c r="BN27" i="193"/>
  <c r="BO27" i="193"/>
  <c r="BP27" i="193"/>
  <c r="BQ27" i="193"/>
  <c r="BL28" i="193"/>
  <c r="S48" i="193" s="1"/>
  <c r="BM28" i="193"/>
  <c r="BN28" i="193"/>
  <c r="BL29" i="193"/>
  <c r="BM29" i="193"/>
  <c r="BN29" i="193"/>
  <c r="BO29" i="193"/>
  <c r="BP29" i="193"/>
  <c r="BQ29" i="193"/>
  <c r="BL30" i="193"/>
  <c r="BM30" i="193"/>
  <c r="BN30" i="193"/>
  <c r="BO30" i="193"/>
  <c r="BP30" i="193"/>
  <c r="BQ30" i="193"/>
  <c r="BL31" i="193"/>
  <c r="BM31" i="193"/>
  <c r="BN31" i="193"/>
  <c r="BO31" i="193"/>
  <c r="BP31" i="193"/>
  <c r="BQ31" i="193"/>
  <c r="BL32" i="193"/>
  <c r="BM32" i="193"/>
  <c r="BN32" i="193"/>
  <c r="BO32" i="193"/>
  <c r="BP32" i="193"/>
  <c r="BQ32" i="193"/>
  <c r="BL33" i="193"/>
  <c r="BM33" i="193"/>
  <c r="BN33" i="193"/>
  <c r="BO33" i="193"/>
  <c r="BP33" i="193"/>
  <c r="BL34" i="193"/>
  <c r="BN34" i="193"/>
  <c r="BO34" i="193"/>
  <c r="BP34" i="193"/>
  <c r="BQ34" i="193"/>
  <c r="BM35" i="193"/>
  <c r="BN35" i="193"/>
  <c r="BO35" i="193"/>
  <c r="BP35" i="193"/>
  <c r="BQ35" i="193"/>
  <c r="BM25" i="193"/>
  <c r="BN25" i="193"/>
  <c r="BO25" i="193"/>
  <c r="BQ25" i="193"/>
  <c r="BL25" i="193"/>
  <c r="S45" i="193" s="1"/>
  <c r="BF25" i="193"/>
  <c r="R45" i="193" s="1"/>
  <c r="BH34" i="193"/>
  <c r="BI34" i="193"/>
  <c r="BJ33" i="193"/>
  <c r="BK32" i="193"/>
  <c r="AS32" i="193"/>
  <c r="AR31" i="193"/>
  <c r="AQ30" i="193"/>
  <c r="AX31" i="193"/>
  <c r="BJ30" i="193"/>
  <c r="BF26" i="193"/>
  <c r="BG26" i="193"/>
  <c r="BH26" i="193"/>
  <c r="BI26" i="193"/>
  <c r="BJ26" i="193"/>
  <c r="BK26" i="193"/>
  <c r="BF27" i="193"/>
  <c r="BG27" i="193"/>
  <c r="BH27" i="193"/>
  <c r="BI27" i="193"/>
  <c r="BJ27" i="193"/>
  <c r="BK27" i="193"/>
  <c r="BF28" i="193"/>
  <c r="BG28" i="193"/>
  <c r="BH28" i="193"/>
  <c r="BI28" i="193"/>
  <c r="BJ28" i="193"/>
  <c r="BK28" i="193"/>
  <c r="BF29" i="193"/>
  <c r="BG29" i="193"/>
  <c r="BH29" i="193"/>
  <c r="BI29" i="193"/>
  <c r="BJ29" i="193"/>
  <c r="BK29" i="193"/>
  <c r="BF30" i="193"/>
  <c r="BG30" i="193"/>
  <c r="BH30" i="193"/>
  <c r="BI30" i="193"/>
  <c r="BK30" i="193"/>
  <c r="BF31" i="193"/>
  <c r="BG31" i="193"/>
  <c r="BH31" i="193"/>
  <c r="BI31" i="193"/>
  <c r="BJ31" i="193"/>
  <c r="BK31" i="193"/>
  <c r="BF32" i="193"/>
  <c r="BG32" i="193"/>
  <c r="BH32" i="193"/>
  <c r="BI32" i="193"/>
  <c r="BJ32" i="193"/>
  <c r="BF33" i="193"/>
  <c r="BG33" i="193"/>
  <c r="BH33" i="193"/>
  <c r="BI33" i="193"/>
  <c r="BK33" i="193"/>
  <c r="BF34" i="193"/>
  <c r="BG34" i="193"/>
  <c r="BJ34" i="193"/>
  <c r="BK34" i="193"/>
  <c r="BF35" i="193"/>
  <c r="BG35" i="193"/>
  <c r="BH35" i="193"/>
  <c r="BI35" i="193"/>
  <c r="BJ35" i="193"/>
  <c r="BK35" i="193"/>
  <c r="BG25" i="193"/>
  <c r="BH25" i="193"/>
  <c r="BI25" i="193"/>
  <c r="BJ25" i="193"/>
  <c r="BK25" i="193"/>
  <c r="AZ25" i="193"/>
  <c r="BE27" i="193"/>
  <c r="BC27" i="193"/>
  <c r="AZ27" i="193"/>
  <c r="AV26" i="193"/>
  <c r="BR20" i="200"/>
  <c r="BS20" i="200"/>
  <c r="BT20" i="200"/>
  <c r="BU20" i="200"/>
  <c r="BV20" i="200"/>
  <c r="BW20" i="200"/>
  <c r="BR21" i="200"/>
  <c r="BS21" i="200"/>
  <c r="BT21" i="200"/>
  <c r="BU21" i="200"/>
  <c r="BV21" i="200"/>
  <c r="BW21" i="200"/>
  <c r="BR22" i="200"/>
  <c r="BS22" i="200"/>
  <c r="BT22" i="200"/>
  <c r="BU22" i="200"/>
  <c r="BV22" i="200"/>
  <c r="BW22" i="200"/>
  <c r="BR23" i="200"/>
  <c r="BS23" i="200"/>
  <c r="T37" i="200" s="1"/>
  <c r="BT23" i="200"/>
  <c r="BU23" i="200"/>
  <c r="BV23" i="200"/>
  <c r="BW23" i="200"/>
  <c r="BS19" i="200"/>
  <c r="BT19" i="200"/>
  <c r="BU19" i="200"/>
  <c r="BV19" i="200"/>
  <c r="BW19" i="200"/>
  <c r="BR19" i="200"/>
  <c r="BM20" i="200"/>
  <c r="BP21" i="200"/>
  <c r="BQ21" i="200"/>
  <c r="BP20" i="200"/>
  <c r="BL20" i="200"/>
  <c r="BN20" i="200"/>
  <c r="BO20" i="200"/>
  <c r="BQ20" i="200"/>
  <c r="BL21" i="200"/>
  <c r="BM21" i="200"/>
  <c r="BN21" i="200"/>
  <c r="BO21" i="200"/>
  <c r="BL22" i="200"/>
  <c r="BM22" i="200"/>
  <c r="BN22" i="200"/>
  <c r="BO22" i="200"/>
  <c r="BP22" i="200"/>
  <c r="BQ22" i="200"/>
  <c r="BL23" i="200"/>
  <c r="BM23" i="200"/>
  <c r="BN23" i="200"/>
  <c r="BO23" i="200"/>
  <c r="BP23" i="200"/>
  <c r="BQ23" i="200"/>
  <c r="BM19" i="200"/>
  <c r="BN19" i="200"/>
  <c r="BO19" i="200"/>
  <c r="BP19" i="200"/>
  <c r="BQ19" i="200"/>
  <c r="BL19" i="200"/>
  <c r="BK22" i="200"/>
  <c r="BK19" i="200"/>
  <c r="BK23" i="200"/>
  <c r="BJ22" i="200"/>
  <c r="BJ21" i="200"/>
  <c r="BJ20" i="200"/>
  <c r="BG19" i="200"/>
  <c r="BH19" i="200"/>
  <c r="BI19" i="200"/>
  <c r="BJ19" i="200"/>
  <c r="BG20" i="200"/>
  <c r="BH20" i="200"/>
  <c r="BI20" i="200"/>
  <c r="BK20" i="200"/>
  <c r="BG21" i="200"/>
  <c r="BH21" i="200"/>
  <c r="BI21" i="200"/>
  <c r="BK21" i="200"/>
  <c r="BG22" i="200"/>
  <c r="BH22" i="200"/>
  <c r="BI22" i="200"/>
  <c r="BG23" i="200"/>
  <c r="BH23" i="200"/>
  <c r="BI23" i="200"/>
  <c r="BJ23" i="200"/>
  <c r="BF20" i="200"/>
  <c r="BF21" i="200"/>
  <c r="BF22" i="200"/>
  <c r="BF23" i="200"/>
  <c r="BF19" i="200"/>
  <c r="BD23" i="200"/>
  <c r="BC21" i="200"/>
  <c r="AZ20" i="200"/>
  <c r="AX20" i="200"/>
  <c r="AV20" i="200"/>
  <c r="BE20" i="200"/>
  <c r="BE21" i="200"/>
  <c r="BE22" i="200"/>
  <c r="BE23" i="200"/>
  <c r="BE19" i="200"/>
  <c r="AY23" i="200"/>
  <c r="AY19" i="200"/>
  <c r="AY20" i="200"/>
  <c r="AY21" i="200"/>
  <c r="AY22" i="200"/>
  <c r="AS20" i="200"/>
  <c r="AS21" i="200"/>
  <c r="AS22" i="200"/>
  <c r="AS23" i="200"/>
  <c r="AS19" i="200"/>
  <c r="AM20" i="200"/>
  <c r="AM21" i="200"/>
  <c r="AM22" i="200"/>
  <c r="AM23" i="200"/>
  <c r="AM19" i="200"/>
  <c r="AG21" i="200"/>
  <c r="AG22" i="200"/>
  <c r="AG23" i="200"/>
  <c r="AG20" i="200"/>
  <c r="AG19" i="200"/>
  <c r="AA20" i="200"/>
  <c r="AA21" i="200"/>
  <c r="AA22" i="200"/>
  <c r="AA23" i="200"/>
  <c r="AA19" i="200"/>
  <c r="U20" i="200"/>
  <c r="U21" i="200"/>
  <c r="U22" i="200"/>
  <c r="U23" i="200"/>
  <c r="U19" i="200"/>
  <c r="O22" i="200"/>
  <c r="O21" i="200"/>
  <c r="O19" i="200"/>
  <c r="O20" i="200"/>
  <c r="O23" i="200"/>
  <c r="K19" i="200"/>
  <c r="L19" i="200"/>
  <c r="J20" i="200"/>
  <c r="K20" i="200"/>
  <c r="L20" i="200"/>
  <c r="J21" i="200"/>
  <c r="K21" i="200"/>
  <c r="L21" i="200"/>
  <c r="J22" i="200"/>
  <c r="K22" i="200"/>
  <c r="L22" i="200"/>
  <c r="J23" i="200"/>
  <c r="K23" i="200"/>
  <c r="L23" i="200"/>
  <c r="R46" i="193" l="1"/>
  <c r="S35" i="200"/>
  <c r="R35" i="200"/>
  <c r="R36" i="200"/>
  <c r="R50" i="193"/>
  <c r="S47" i="193"/>
  <c r="T48" i="193"/>
  <c r="R49" i="193"/>
  <c r="T45" i="193"/>
  <c r="T52" i="193"/>
  <c r="T53" i="193"/>
  <c r="R54" i="193"/>
  <c r="S46" i="193"/>
  <c r="R53" i="193"/>
  <c r="R47" i="193"/>
  <c r="S53" i="193"/>
  <c r="S51" i="193"/>
  <c r="S49" i="193"/>
  <c r="T54" i="193"/>
  <c r="R55" i="193"/>
  <c r="R48" i="193"/>
  <c r="T55" i="193"/>
  <c r="T50" i="193"/>
  <c r="R51" i="193"/>
  <c r="S52" i="193"/>
  <c r="T51" i="193"/>
  <c r="S50" i="193"/>
  <c r="S54" i="193"/>
  <c r="R52" i="193"/>
  <c r="J33" i="200"/>
  <c r="J36" i="200"/>
  <c r="J35" i="200"/>
  <c r="J34" i="200"/>
  <c r="T33" i="200"/>
  <c r="R37" i="200"/>
  <c r="R33" i="200"/>
  <c r="R34" i="200"/>
  <c r="S37" i="200"/>
  <c r="T36" i="200"/>
  <c r="T34" i="200"/>
  <c r="S33" i="200"/>
  <c r="S34" i="200"/>
  <c r="T35" i="200"/>
  <c r="S36" i="200"/>
  <c r="BE25" i="193" l="1"/>
  <c r="H20" i="200"/>
  <c r="F23" i="200"/>
  <c r="G23" i="200"/>
  <c r="H23" i="200"/>
  <c r="F24" i="200"/>
  <c r="I12" i="200"/>
  <c r="I24" i="200" s="1"/>
  <c r="F19" i="200"/>
  <c r="I19" i="200"/>
  <c r="F20" i="200"/>
  <c r="G20" i="200"/>
  <c r="I20" i="200"/>
  <c r="F21" i="200"/>
  <c r="G21" i="200"/>
  <c r="H21" i="200"/>
  <c r="I21" i="200"/>
  <c r="F22" i="200"/>
  <c r="G22" i="200"/>
  <c r="H22" i="200"/>
  <c r="I22" i="200"/>
  <c r="I23" i="200"/>
  <c r="AN19" i="200"/>
  <c r="AT19" i="200"/>
  <c r="AZ19" i="200"/>
  <c r="BC23" i="200"/>
  <c r="BB23" i="200"/>
  <c r="BA23" i="200"/>
  <c r="AZ23" i="200"/>
  <c r="AX23" i="200"/>
  <c r="AW23" i="200"/>
  <c r="AV23" i="200"/>
  <c r="AU23" i="200"/>
  <c r="AT23" i="200"/>
  <c r="AR23" i="200"/>
  <c r="AQ23" i="200"/>
  <c r="AP23" i="200"/>
  <c r="AO23" i="200"/>
  <c r="AN23" i="200"/>
  <c r="AL23" i="200"/>
  <c r="AK23" i="200"/>
  <c r="AJ23" i="200"/>
  <c r="AI23" i="200"/>
  <c r="AH23" i="200"/>
  <c r="AF23" i="200"/>
  <c r="AE23" i="200"/>
  <c r="AD23" i="200"/>
  <c r="AC23" i="200"/>
  <c r="AB23" i="200"/>
  <c r="Z23" i="200"/>
  <c r="Y23" i="200"/>
  <c r="X23" i="200"/>
  <c r="W23" i="200"/>
  <c r="V23" i="200"/>
  <c r="T23" i="200"/>
  <c r="S23" i="200"/>
  <c r="R23" i="200"/>
  <c r="Q23" i="200"/>
  <c r="P23" i="200"/>
  <c r="BD22" i="200"/>
  <c r="BC22" i="200"/>
  <c r="BB22" i="200"/>
  <c r="BA22" i="200"/>
  <c r="AZ22" i="200"/>
  <c r="AX22" i="200"/>
  <c r="AW22" i="200"/>
  <c r="AV22" i="200"/>
  <c r="AU22" i="200"/>
  <c r="AT22" i="200"/>
  <c r="AR22" i="200"/>
  <c r="AQ22" i="200"/>
  <c r="AP22" i="200"/>
  <c r="AO22" i="200"/>
  <c r="AN22" i="200"/>
  <c r="AL22" i="200"/>
  <c r="AK22" i="200"/>
  <c r="AJ22" i="200"/>
  <c r="AI22" i="200"/>
  <c r="AH22" i="200"/>
  <c r="AF22" i="200"/>
  <c r="AE22" i="200"/>
  <c r="AD22" i="200"/>
  <c r="AC22" i="200"/>
  <c r="AB22" i="200"/>
  <c r="Z22" i="200"/>
  <c r="Y22" i="200"/>
  <c r="X22" i="200"/>
  <c r="W22" i="200"/>
  <c r="V22" i="200"/>
  <c r="T22" i="200"/>
  <c r="S22" i="200"/>
  <c r="R22" i="200"/>
  <c r="Q22" i="200"/>
  <c r="P22" i="200"/>
  <c r="BD21" i="200"/>
  <c r="BB21" i="200"/>
  <c r="BA21" i="200"/>
  <c r="AZ21" i="200"/>
  <c r="AX21" i="200"/>
  <c r="AW21" i="200"/>
  <c r="AV21" i="200"/>
  <c r="AU21" i="200"/>
  <c r="AT21" i="200"/>
  <c r="AR21" i="200"/>
  <c r="AQ21" i="200"/>
  <c r="AP21" i="200"/>
  <c r="AO21" i="200"/>
  <c r="AN21" i="200"/>
  <c r="AL21" i="200"/>
  <c r="AK21" i="200"/>
  <c r="AJ21" i="200"/>
  <c r="AI21" i="200"/>
  <c r="AH21" i="200"/>
  <c r="AF21" i="200"/>
  <c r="AE21" i="200"/>
  <c r="AD21" i="200"/>
  <c r="AC21" i="200"/>
  <c r="AB21" i="200"/>
  <c r="Z21" i="200"/>
  <c r="Y21" i="200"/>
  <c r="X21" i="200"/>
  <c r="W21" i="200"/>
  <c r="V21" i="200"/>
  <c r="T21" i="200"/>
  <c r="S21" i="200"/>
  <c r="R21" i="200"/>
  <c r="Q21" i="200"/>
  <c r="P21" i="200"/>
  <c r="BD20" i="200"/>
  <c r="BC20" i="200"/>
  <c r="BB20" i="200"/>
  <c r="BA20" i="200"/>
  <c r="AW20" i="200"/>
  <c r="AU20" i="200"/>
  <c r="AT20" i="200"/>
  <c r="AR20" i="200"/>
  <c r="AQ20" i="200"/>
  <c r="AP20" i="200"/>
  <c r="AO20" i="200"/>
  <c r="AN20" i="200"/>
  <c r="AL20" i="200"/>
  <c r="AK20" i="200"/>
  <c r="AJ20" i="200"/>
  <c r="AI20" i="200"/>
  <c r="AH20" i="200"/>
  <c r="AF20" i="200"/>
  <c r="AE20" i="200"/>
  <c r="AD20" i="200"/>
  <c r="AC20" i="200"/>
  <c r="AB20" i="200"/>
  <c r="Z20" i="200"/>
  <c r="Y20" i="200"/>
  <c r="X20" i="200"/>
  <c r="W20" i="200"/>
  <c r="V20" i="200"/>
  <c r="T20" i="200"/>
  <c r="S20" i="200"/>
  <c r="R20" i="200"/>
  <c r="Q20" i="200"/>
  <c r="P20" i="200"/>
  <c r="BD19" i="200"/>
  <c r="BC19" i="200"/>
  <c r="BB19" i="200"/>
  <c r="BA19" i="200"/>
  <c r="AX19" i="200"/>
  <c r="AW19" i="200"/>
  <c r="AV19" i="200"/>
  <c r="AU19" i="200"/>
  <c r="AR19" i="200"/>
  <c r="AQ19" i="200"/>
  <c r="AP19" i="200"/>
  <c r="AO19" i="200"/>
  <c r="AL19" i="200"/>
  <c r="AK19" i="200"/>
  <c r="AJ19" i="200"/>
  <c r="AI19" i="200"/>
  <c r="AH19" i="200"/>
  <c r="AF19" i="200"/>
  <c r="AE19" i="200"/>
  <c r="AD19" i="200"/>
  <c r="AC19" i="200"/>
  <c r="AB19" i="200"/>
  <c r="Z19" i="200"/>
  <c r="Y19" i="200"/>
  <c r="X19" i="200"/>
  <c r="W19" i="200"/>
  <c r="V19" i="200"/>
  <c r="T19" i="200"/>
  <c r="S19" i="200"/>
  <c r="R19" i="200"/>
  <c r="Q19" i="200"/>
  <c r="P19" i="200"/>
  <c r="K27" i="162"/>
  <c r="BD26" i="193"/>
  <c r="L36" i="200" l="1"/>
  <c r="K36" i="200"/>
  <c r="N36" i="200"/>
  <c r="N35" i="200"/>
  <c r="N37" i="200"/>
  <c r="K33" i="200"/>
  <c r="G19" i="200"/>
  <c r="H19" i="200"/>
  <c r="H24" i="200"/>
  <c r="G24" i="200"/>
  <c r="K35" i="200"/>
  <c r="M35" i="200"/>
  <c r="O35" i="200"/>
  <c r="Q35" i="200"/>
  <c r="M36" i="200"/>
  <c r="O36" i="200"/>
  <c r="Q36" i="200"/>
  <c r="O34" i="200"/>
  <c r="N33" i="200"/>
  <c r="P33" i="200"/>
  <c r="K37" i="200"/>
  <c r="M37" i="200"/>
  <c r="O37" i="200"/>
  <c r="Q37" i="200"/>
  <c r="L34" i="200"/>
  <c r="N34" i="200"/>
  <c r="P34" i="200"/>
  <c r="L35" i="200"/>
  <c r="P35" i="200"/>
  <c r="L33" i="200"/>
  <c r="P36" i="200"/>
  <c r="M33" i="200"/>
  <c r="O33" i="200"/>
  <c r="Q33" i="200"/>
  <c r="J37" i="200"/>
  <c r="L37" i="200"/>
  <c r="P37" i="200"/>
  <c r="K34" i="200"/>
  <c r="M34" i="200"/>
  <c r="Q34" i="200"/>
  <c r="G7" i="193"/>
  <c r="F7" i="193"/>
  <c r="F25" i="193" s="1"/>
  <c r="D8" i="193"/>
  <c r="F8" i="193" s="1"/>
  <c r="F9" i="193"/>
  <c r="F27" i="193" s="1"/>
  <c r="G9" i="193"/>
  <c r="H9" i="193" s="1"/>
  <c r="H27" i="193" s="1"/>
  <c r="D10" i="193"/>
  <c r="D11" i="193"/>
  <c r="D29" i="193" s="1"/>
  <c r="F12" i="193"/>
  <c r="F30" i="193" s="1"/>
  <c r="G12" i="193"/>
  <c r="G30" i="193" s="1"/>
  <c r="D13" i="193"/>
  <c r="D14" i="193"/>
  <c r="D32" i="193" s="1"/>
  <c r="F15" i="193"/>
  <c r="G15" i="193"/>
  <c r="H15" i="193" s="1"/>
  <c r="D16" i="193"/>
  <c r="F17" i="193"/>
  <c r="G17" i="193"/>
  <c r="H17" i="193" s="1"/>
  <c r="BB25" i="193"/>
  <c r="AY25" i="193"/>
  <c r="I25" i="193"/>
  <c r="BE35" i="193"/>
  <c r="BD35" i="193"/>
  <c r="BC35" i="193"/>
  <c r="BB35" i="193"/>
  <c r="BA35" i="193"/>
  <c r="AZ35" i="193"/>
  <c r="AY35" i="193"/>
  <c r="AX35" i="193"/>
  <c r="AW35" i="193"/>
  <c r="AV35" i="193"/>
  <c r="AU35" i="193"/>
  <c r="AT35" i="193"/>
  <c r="AS35" i="193"/>
  <c r="AR35" i="193"/>
  <c r="AQ35" i="193"/>
  <c r="AP35" i="193"/>
  <c r="AO35" i="193"/>
  <c r="AN35" i="193"/>
  <c r="AM35" i="193"/>
  <c r="AL35" i="193"/>
  <c r="AK35" i="193"/>
  <c r="AJ35" i="193"/>
  <c r="AI35" i="193"/>
  <c r="AH35" i="193"/>
  <c r="AG35" i="193"/>
  <c r="AF35" i="193"/>
  <c r="AE35" i="193"/>
  <c r="AD35" i="193"/>
  <c r="AC35" i="193"/>
  <c r="AB35" i="193"/>
  <c r="AA35" i="193"/>
  <c r="Z35" i="193"/>
  <c r="Y35" i="193"/>
  <c r="X35" i="193"/>
  <c r="W35" i="193"/>
  <c r="V35" i="193"/>
  <c r="U35" i="193"/>
  <c r="T35" i="193"/>
  <c r="S35" i="193"/>
  <c r="R35" i="193"/>
  <c r="Q35" i="193"/>
  <c r="P35" i="193"/>
  <c r="O35" i="193"/>
  <c r="N35" i="193"/>
  <c r="M35" i="193"/>
  <c r="L35" i="193"/>
  <c r="K35" i="193"/>
  <c r="J35" i="193"/>
  <c r="I35" i="193"/>
  <c r="BE34" i="193"/>
  <c r="BD34" i="193"/>
  <c r="BC34" i="193"/>
  <c r="BB34" i="193"/>
  <c r="BA34" i="193"/>
  <c r="AZ34" i="193"/>
  <c r="AY34" i="193"/>
  <c r="AX34" i="193"/>
  <c r="AW34" i="193"/>
  <c r="AV34" i="193"/>
  <c r="AU34" i="193"/>
  <c r="AT34" i="193"/>
  <c r="AS34" i="193"/>
  <c r="AR34" i="193"/>
  <c r="AQ34" i="193"/>
  <c r="AP34" i="193"/>
  <c r="AO34" i="193"/>
  <c r="AN34" i="193"/>
  <c r="AM34" i="193"/>
  <c r="AL34" i="193"/>
  <c r="AK34" i="193"/>
  <c r="AJ34" i="193"/>
  <c r="AI34" i="193"/>
  <c r="AH34" i="193"/>
  <c r="AG34" i="193"/>
  <c r="AF34" i="193"/>
  <c r="AE34" i="193"/>
  <c r="AD34" i="193"/>
  <c r="AC34" i="193"/>
  <c r="AB34" i="193"/>
  <c r="AA34" i="193"/>
  <c r="Z34" i="193"/>
  <c r="Y34" i="193"/>
  <c r="X34" i="193"/>
  <c r="W34" i="193"/>
  <c r="V34" i="193"/>
  <c r="U34" i="193"/>
  <c r="T34" i="193"/>
  <c r="S34" i="193"/>
  <c r="R34" i="193"/>
  <c r="Q34" i="193"/>
  <c r="P34" i="193"/>
  <c r="O34" i="193"/>
  <c r="N34" i="193"/>
  <c r="M34" i="193"/>
  <c r="L34" i="193"/>
  <c r="K34" i="193"/>
  <c r="J34" i="193"/>
  <c r="BE33" i="193"/>
  <c r="BD33" i="193"/>
  <c r="BC33" i="193"/>
  <c r="BB33" i="193"/>
  <c r="BA33" i="193"/>
  <c r="AZ33" i="193"/>
  <c r="AY33" i="193"/>
  <c r="AX33" i="193"/>
  <c r="AW33" i="193"/>
  <c r="AV33" i="193"/>
  <c r="AU33" i="193"/>
  <c r="AT33" i="193"/>
  <c r="AS33" i="193"/>
  <c r="AR33" i="193"/>
  <c r="AQ33" i="193"/>
  <c r="AP33" i="193"/>
  <c r="AO33" i="193"/>
  <c r="AN33" i="193"/>
  <c r="AM33" i="193"/>
  <c r="AL33" i="193"/>
  <c r="AK33" i="193"/>
  <c r="AJ33" i="193"/>
  <c r="AI33" i="193"/>
  <c r="AH33" i="193"/>
  <c r="AG33" i="193"/>
  <c r="AF33" i="193"/>
  <c r="AE33" i="193"/>
  <c r="AD33" i="193"/>
  <c r="AC33" i="193"/>
  <c r="AB33" i="193"/>
  <c r="AA33" i="193"/>
  <c r="Z33" i="193"/>
  <c r="Y33" i="193"/>
  <c r="X33" i="193"/>
  <c r="W33" i="193"/>
  <c r="V33" i="193"/>
  <c r="U33" i="193"/>
  <c r="T33" i="193"/>
  <c r="S33" i="193"/>
  <c r="R33" i="193"/>
  <c r="Q33" i="193"/>
  <c r="P33" i="193"/>
  <c r="O33" i="193"/>
  <c r="N33" i="193"/>
  <c r="M33" i="193"/>
  <c r="L33" i="193"/>
  <c r="K33" i="193"/>
  <c r="J33" i="193"/>
  <c r="I33" i="193"/>
  <c r="BE32" i="193"/>
  <c r="BD32" i="193"/>
  <c r="BC32" i="193"/>
  <c r="BB32" i="193"/>
  <c r="BA32" i="193"/>
  <c r="AZ32" i="193"/>
  <c r="AY32" i="193"/>
  <c r="AX32" i="193"/>
  <c r="AW32" i="193"/>
  <c r="AV32" i="193"/>
  <c r="AU32" i="193"/>
  <c r="AT32" i="193"/>
  <c r="AR32" i="193"/>
  <c r="AQ32" i="193"/>
  <c r="AP32" i="193"/>
  <c r="AO32" i="193"/>
  <c r="AN32" i="193"/>
  <c r="AM32" i="193"/>
  <c r="AL32" i="193"/>
  <c r="AK32" i="193"/>
  <c r="AJ32" i="193"/>
  <c r="AI32" i="193"/>
  <c r="AH32" i="193"/>
  <c r="AG32" i="193"/>
  <c r="AF32" i="193"/>
  <c r="AE32" i="193"/>
  <c r="AD32" i="193"/>
  <c r="AC32" i="193"/>
  <c r="AB32" i="193"/>
  <c r="AA32" i="193"/>
  <c r="Z32" i="193"/>
  <c r="Y32" i="193"/>
  <c r="X32" i="193"/>
  <c r="W32" i="193"/>
  <c r="V32" i="193"/>
  <c r="U32" i="193"/>
  <c r="T32" i="193"/>
  <c r="S32" i="193"/>
  <c r="R32" i="193"/>
  <c r="Q32" i="193"/>
  <c r="P32" i="193"/>
  <c r="O32" i="193"/>
  <c r="N32" i="193"/>
  <c r="M32" i="193"/>
  <c r="L32" i="193"/>
  <c r="K32" i="193"/>
  <c r="J32" i="193"/>
  <c r="I32" i="193"/>
  <c r="BE31" i="193"/>
  <c r="BD31" i="193"/>
  <c r="BC31" i="193"/>
  <c r="BB31" i="193"/>
  <c r="BA31" i="193"/>
  <c r="AZ31" i="193"/>
  <c r="AY31" i="193"/>
  <c r="AW31" i="193"/>
  <c r="AV31" i="193"/>
  <c r="AU31" i="193"/>
  <c r="AT31" i="193"/>
  <c r="AS31" i="193"/>
  <c r="AQ31" i="193"/>
  <c r="AP31" i="193"/>
  <c r="AO31" i="193"/>
  <c r="AN31" i="193"/>
  <c r="AM31" i="193"/>
  <c r="AL31" i="193"/>
  <c r="AK31" i="193"/>
  <c r="AJ31" i="193"/>
  <c r="AI31" i="193"/>
  <c r="AH31" i="193"/>
  <c r="AG31" i="193"/>
  <c r="AF31" i="193"/>
  <c r="AE31" i="193"/>
  <c r="AD31" i="193"/>
  <c r="AC31" i="193"/>
  <c r="AB31" i="193"/>
  <c r="AA31" i="193"/>
  <c r="Z31" i="193"/>
  <c r="Y31" i="193"/>
  <c r="X31" i="193"/>
  <c r="W31" i="193"/>
  <c r="V31" i="193"/>
  <c r="T31" i="193"/>
  <c r="S31" i="193"/>
  <c r="R31" i="193"/>
  <c r="Q31" i="193"/>
  <c r="P31" i="193"/>
  <c r="O31" i="193"/>
  <c r="N31" i="193"/>
  <c r="M31" i="193"/>
  <c r="L31" i="193"/>
  <c r="K31" i="193"/>
  <c r="J31" i="193"/>
  <c r="I31" i="193"/>
  <c r="BE30" i="193"/>
  <c r="BD30" i="193"/>
  <c r="BC30" i="193"/>
  <c r="BB30" i="193"/>
  <c r="BA30" i="193"/>
  <c r="AZ30" i="193"/>
  <c r="AY30" i="193"/>
  <c r="AX30" i="193"/>
  <c r="AW30" i="193"/>
  <c r="AV30" i="193"/>
  <c r="AU30" i="193"/>
  <c r="AT30" i="193"/>
  <c r="AS30" i="193"/>
  <c r="AR30" i="193"/>
  <c r="AP30" i="193"/>
  <c r="AO30" i="193"/>
  <c r="AN30" i="193"/>
  <c r="AM30" i="193"/>
  <c r="AL30" i="193"/>
  <c r="AK30" i="193"/>
  <c r="AJ30" i="193"/>
  <c r="AI30" i="193"/>
  <c r="AH30" i="193"/>
  <c r="AG30" i="193"/>
  <c r="AF30" i="193"/>
  <c r="AE30" i="193"/>
  <c r="AD30" i="193"/>
  <c r="AC30" i="193"/>
  <c r="AB30" i="193"/>
  <c r="AA30" i="193"/>
  <c r="Z30" i="193"/>
  <c r="Y30" i="193"/>
  <c r="X30" i="193"/>
  <c r="W30" i="193"/>
  <c r="V30" i="193"/>
  <c r="U30" i="193"/>
  <c r="T30" i="193"/>
  <c r="S30" i="193"/>
  <c r="R30" i="193"/>
  <c r="Q30" i="193"/>
  <c r="P30" i="193"/>
  <c r="O30" i="193"/>
  <c r="N30" i="193"/>
  <c r="M30" i="193"/>
  <c r="L30" i="193"/>
  <c r="K30" i="193"/>
  <c r="J30" i="193"/>
  <c r="I30" i="193"/>
  <c r="BE29" i="193"/>
  <c r="BD29" i="193"/>
  <c r="BC29" i="193"/>
  <c r="BB29" i="193"/>
  <c r="BA29" i="193"/>
  <c r="AZ29" i="193"/>
  <c r="AY29" i="193"/>
  <c r="AX29" i="193"/>
  <c r="AW29" i="193"/>
  <c r="AV29" i="193"/>
  <c r="AU29" i="193"/>
  <c r="AT29" i="193"/>
  <c r="AS29" i="193"/>
  <c r="AR29" i="193"/>
  <c r="AQ29" i="193"/>
  <c r="AP29" i="193"/>
  <c r="AO29" i="193"/>
  <c r="AN29" i="193"/>
  <c r="AM29" i="193"/>
  <c r="AL29" i="193"/>
  <c r="AK29" i="193"/>
  <c r="AJ29" i="193"/>
  <c r="AI29" i="193"/>
  <c r="AH29" i="193"/>
  <c r="AG29" i="193"/>
  <c r="AF29" i="193"/>
  <c r="AE29" i="193"/>
  <c r="AD29" i="193"/>
  <c r="AC29" i="193"/>
  <c r="AB29" i="193"/>
  <c r="AA29" i="193"/>
  <c r="Z29" i="193"/>
  <c r="Y29" i="193"/>
  <c r="X29" i="193"/>
  <c r="W29" i="193"/>
  <c r="V29" i="193"/>
  <c r="U29" i="193"/>
  <c r="T29" i="193"/>
  <c r="S29" i="193"/>
  <c r="R29" i="193"/>
  <c r="Q29" i="193"/>
  <c r="P29" i="193"/>
  <c r="O29" i="193"/>
  <c r="N29" i="193"/>
  <c r="M29" i="193"/>
  <c r="L29" i="193"/>
  <c r="K29" i="193"/>
  <c r="J29" i="193"/>
  <c r="I29" i="193"/>
  <c r="BE28" i="193"/>
  <c r="BD28" i="193"/>
  <c r="BC28" i="193"/>
  <c r="BB28" i="193"/>
  <c r="BA28" i="193"/>
  <c r="AZ28" i="193"/>
  <c r="AY28" i="193"/>
  <c r="AX28" i="193"/>
  <c r="AW28" i="193"/>
  <c r="AV28" i="193"/>
  <c r="AU28" i="193"/>
  <c r="AT28" i="193"/>
  <c r="AS28" i="193"/>
  <c r="AR28" i="193"/>
  <c r="AQ28" i="193"/>
  <c r="AP28" i="193"/>
  <c r="AO28" i="193"/>
  <c r="AN28" i="193"/>
  <c r="AM28" i="193"/>
  <c r="AL28" i="193"/>
  <c r="AK28" i="193"/>
  <c r="AJ28" i="193"/>
  <c r="AI28" i="193"/>
  <c r="AH28" i="193"/>
  <c r="AG28" i="193"/>
  <c r="AF28" i="193"/>
  <c r="AE28" i="193"/>
  <c r="AD28" i="193"/>
  <c r="AC28" i="193"/>
  <c r="AB28" i="193"/>
  <c r="AA28" i="193"/>
  <c r="Z28" i="193"/>
  <c r="Y28" i="193"/>
  <c r="X28" i="193"/>
  <c r="W28" i="193"/>
  <c r="V28" i="193"/>
  <c r="U28" i="193"/>
  <c r="T28" i="193"/>
  <c r="S28" i="193"/>
  <c r="R28" i="193"/>
  <c r="Q28" i="193"/>
  <c r="P28" i="193"/>
  <c r="O28" i="193"/>
  <c r="N28" i="193"/>
  <c r="M28" i="193"/>
  <c r="L28" i="193"/>
  <c r="K28" i="193"/>
  <c r="J28" i="193"/>
  <c r="I28" i="193"/>
  <c r="BD27" i="193"/>
  <c r="BB27" i="193"/>
  <c r="BA27" i="193"/>
  <c r="AY27" i="193"/>
  <c r="AX27" i="193"/>
  <c r="AW27" i="193"/>
  <c r="AV27" i="193"/>
  <c r="AU27" i="193"/>
  <c r="AT27" i="193"/>
  <c r="AS27" i="193"/>
  <c r="AR27" i="193"/>
  <c r="AQ27" i="193"/>
  <c r="AP27" i="193"/>
  <c r="AO27" i="193"/>
  <c r="AN27" i="193"/>
  <c r="AM27" i="193"/>
  <c r="AL27" i="193"/>
  <c r="AK27" i="193"/>
  <c r="AJ27" i="193"/>
  <c r="AI27" i="193"/>
  <c r="AH27" i="193"/>
  <c r="AG27" i="193"/>
  <c r="AF27" i="193"/>
  <c r="AE27" i="193"/>
  <c r="AD27" i="193"/>
  <c r="AC27" i="193"/>
  <c r="AB27" i="193"/>
  <c r="AA27" i="193"/>
  <c r="Z27" i="193"/>
  <c r="Y27" i="193"/>
  <c r="X27" i="193"/>
  <c r="W27" i="193"/>
  <c r="V27" i="193"/>
  <c r="U27" i="193"/>
  <c r="T27" i="193"/>
  <c r="S27" i="193"/>
  <c r="R27" i="193"/>
  <c r="Q27" i="193"/>
  <c r="P27" i="193"/>
  <c r="O27" i="193"/>
  <c r="N27" i="193"/>
  <c r="M27" i="193"/>
  <c r="L27" i="193"/>
  <c r="K27" i="193"/>
  <c r="J27" i="193"/>
  <c r="I27" i="193"/>
  <c r="BE26" i="193"/>
  <c r="BC26" i="193"/>
  <c r="BB26" i="193"/>
  <c r="BA26" i="193"/>
  <c r="AZ26" i="193"/>
  <c r="AY26" i="193"/>
  <c r="AX26" i="193"/>
  <c r="AW26" i="193"/>
  <c r="AU26" i="193"/>
  <c r="AT26" i="193"/>
  <c r="AS26" i="193"/>
  <c r="AR26" i="193"/>
  <c r="AQ26" i="193"/>
  <c r="AP26" i="193"/>
  <c r="AO26" i="193"/>
  <c r="AN26" i="193"/>
  <c r="AM26" i="193"/>
  <c r="AL26" i="193"/>
  <c r="AK26" i="193"/>
  <c r="AJ26" i="193"/>
  <c r="AI26" i="193"/>
  <c r="AH26" i="193"/>
  <c r="AG26" i="193"/>
  <c r="AF26" i="193"/>
  <c r="AE26" i="193"/>
  <c r="AD26" i="193"/>
  <c r="AC26" i="193"/>
  <c r="AB26" i="193"/>
  <c r="AA26" i="193"/>
  <c r="Z26" i="193"/>
  <c r="Y26" i="193"/>
  <c r="X26" i="193"/>
  <c r="W26" i="193"/>
  <c r="V26" i="193"/>
  <c r="U26" i="193"/>
  <c r="T26" i="193"/>
  <c r="S26" i="193"/>
  <c r="R26" i="193"/>
  <c r="Q26" i="193"/>
  <c r="P26" i="193"/>
  <c r="O26" i="193"/>
  <c r="N26" i="193"/>
  <c r="M26" i="193"/>
  <c r="L26" i="193"/>
  <c r="K26" i="193"/>
  <c r="J26" i="193"/>
  <c r="I26" i="193"/>
  <c r="BD25" i="193"/>
  <c r="BC25" i="193"/>
  <c r="BA25" i="193"/>
  <c r="AX25" i="193"/>
  <c r="AW25" i="193"/>
  <c r="I18" i="193"/>
  <c r="I36" i="193" s="1"/>
  <c r="E18" i="193"/>
  <c r="O50" i="193" l="1"/>
  <c r="F10" i="193"/>
  <c r="D28" i="193"/>
  <c r="G14" i="193"/>
  <c r="H14" i="193" s="1"/>
  <c r="F14" i="193"/>
  <c r="G13" i="193"/>
  <c r="H13" i="193" s="1"/>
  <c r="D31" i="193"/>
  <c r="G8" i="193"/>
  <c r="H8" i="193" s="1"/>
  <c r="D26" i="193"/>
  <c r="D36" i="193" s="1"/>
  <c r="G11" i="193"/>
  <c r="H11" i="193" s="1"/>
  <c r="H29" i="193" s="1"/>
  <c r="F11" i="193"/>
  <c r="Q50" i="193"/>
  <c r="G16" i="193"/>
  <c r="H16" i="193" s="1"/>
  <c r="D34" i="193"/>
  <c r="Q45" i="193"/>
  <c r="P52" i="193"/>
  <c r="F13" i="193"/>
  <c r="F31" i="193" s="1"/>
  <c r="L52" i="193"/>
  <c r="N52" i="193"/>
  <c r="F16" i="193"/>
  <c r="F34" i="193" s="1"/>
  <c r="H12" i="193"/>
  <c r="H30" i="193" s="1"/>
  <c r="U35" i="200"/>
  <c r="U36" i="200"/>
  <c r="U33" i="200"/>
  <c r="U34" i="200"/>
  <c r="U37" i="200"/>
  <c r="J45" i="193"/>
  <c r="G25" i="193"/>
  <c r="H7" i="193"/>
  <c r="G10" i="193"/>
  <c r="H10" i="193" s="1"/>
  <c r="H28" i="193" s="1"/>
  <c r="G33" i="193"/>
  <c r="H33" i="193"/>
  <c r="F29" i="193"/>
  <c r="J48" i="193"/>
  <c r="L48" i="193"/>
  <c r="N48" i="193"/>
  <c r="P48" i="193"/>
  <c r="F33" i="193"/>
  <c r="K55" i="193"/>
  <c r="M55" i="193"/>
  <c r="O55" i="193"/>
  <c r="Q55" i="193"/>
  <c r="K46" i="193"/>
  <c r="O46" i="193"/>
  <c r="Q46" i="193"/>
  <c r="L50" i="193"/>
  <c r="P47" i="193"/>
  <c r="L53" i="193"/>
  <c r="N53" i="193"/>
  <c r="P53" i="193"/>
  <c r="L49" i="193"/>
  <c r="N49" i="193"/>
  <c r="P49" i="193"/>
  <c r="K51" i="193"/>
  <c r="M51" i="193"/>
  <c r="O51" i="193"/>
  <c r="Q51" i="193"/>
  <c r="K47" i="193"/>
  <c r="M47" i="193"/>
  <c r="O47" i="193"/>
  <c r="Q47" i="193"/>
  <c r="L54" i="193"/>
  <c r="N54" i="193"/>
  <c r="P54" i="193"/>
  <c r="K52" i="193"/>
  <c r="M52" i="193"/>
  <c r="O52" i="193"/>
  <c r="L46" i="193"/>
  <c r="J52" i="193"/>
  <c r="J54" i="193"/>
  <c r="P45" i="193"/>
  <c r="N45" i="193"/>
  <c r="L45" i="193"/>
  <c r="P51" i="193"/>
  <c r="M46" i="193"/>
  <c r="K54" i="193"/>
  <c r="M54" i="193"/>
  <c r="K50" i="193"/>
  <c r="M50" i="193"/>
  <c r="J49" i="193"/>
  <c r="J53" i="193"/>
  <c r="J46" i="193"/>
  <c r="N46" i="193"/>
  <c r="P46" i="193"/>
  <c r="K48" i="193"/>
  <c r="M48" i="193"/>
  <c r="O48" i="193"/>
  <c r="Q52" i="193"/>
  <c r="J55" i="193"/>
  <c r="L55" i="193"/>
  <c r="N55" i="193"/>
  <c r="P55" i="193"/>
  <c r="Q48" i="193"/>
  <c r="J50" i="193"/>
  <c r="N50" i="193"/>
  <c r="P50" i="193"/>
  <c r="K53" i="193"/>
  <c r="M53" i="193"/>
  <c r="O53" i="193"/>
  <c r="Q53" i="193"/>
  <c r="K49" i="193"/>
  <c r="M49" i="193"/>
  <c r="O49" i="193"/>
  <c r="Q49" i="193"/>
  <c r="J51" i="193"/>
  <c r="L51" i="193"/>
  <c r="K45" i="193"/>
  <c r="M45" i="193"/>
  <c r="O45" i="193"/>
  <c r="J47" i="193"/>
  <c r="L47" i="193"/>
  <c r="N47" i="193"/>
  <c r="N51" i="193"/>
  <c r="O54" i="193"/>
  <c r="Q54" i="193"/>
  <c r="H34" i="193"/>
  <c r="G34" i="193"/>
  <c r="G32" i="193"/>
  <c r="H32" i="193"/>
  <c r="F32" i="193"/>
  <c r="F35" i="193"/>
  <c r="G27" i="193"/>
  <c r="F28" i="193"/>
  <c r="F26" i="193"/>
  <c r="D18" i="193"/>
  <c r="E36" i="193"/>
  <c r="G29" i="193" l="1"/>
  <c r="G28" i="193"/>
  <c r="U45" i="193"/>
  <c r="F18" i="193"/>
  <c r="F36" i="193" s="1"/>
  <c r="U47" i="193"/>
  <c r="U50" i="193"/>
  <c r="U46" i="193"/>
  <c r="U53" i="193"/>
  <c r="U48" i="193"/>
  <c r="U54" i="193"/>
  <c r="U52" i="193"/>
  <c r="U51" i="193"/>
  <c r="U49" i="193"/>
  <c r="U55" i="193"/>
  <c r="H31" i="193"/>
  <c r="G31" i="193"/>
  <c r="H35" i="193"/>
  <c r="G35" i="193"/>
  <c r="G18" i="193"/>
  <c r="H25" i="193"/>
  <c r="G26" i="193"/>
  <c r="H26" i="193"/>
  <c r="H18" i="193" l="1"/>
  <c r="H36" i="193" s="1"/>
  <c r="G36" i="193"/>
</calcChain>
</file>

<file path=xl/sharedStrings.xml><?xml version="1.0" encoding="utf-8"?>
<sst xmlns="http://schemas.openxmlformats.org/spreadsheetml/2006/main" count="3602" uniqueCount="671">
  <si>
    <t>Desarrollo de Software</t>
  </si>
  <si>
    <t>Administración de Recursos Informáticos</t>
  </si>
  <si>
    <t>Administración de Comunicaciones</t>
  </si>
  <si>
    <t>Infraestructura</t>
  </si>
  <si>
    <t>Soporte informático y de sistemas</t>
  </si>
  <si>
    <t>Area</t>
  </si>
  <si>
    <t>Servicio</t>
  </si>
  <si>
    <t>Administración</t>
  </si>
  <si>
    <t>Comedor</t>
  </si>
  <si>
    <t>Limpieza y Lavandería</t>
  </si>
  <si>
    <t>Soporte Administrativo</t>
  </si>
  <si>
    <t>Administración de Unidades Móviles</t>
  </si>
  <si>
    <t>Contabilidad</t>
  </si>
  <si>
    <t>Entregas a rendir y reembolsos</t>
  </si>
  <si>
    <t>Contabilidad Financiera</t>
  </si>
  <si>
    <t>Contabilidad Tributaria</t>
  </si>
  <si>
    <t>Contabilidad de Activos (Alta/Baja y control de Activos Fijos)</t>
  </si>
  <si>
    <t xml:space="preserve">Capacitación y orientación en temas contables </t>
  </si>
  <si>
    <t>Calidad</t>
  </si>
  <si>
    <t>Amabilidad y disponibilidad del personal de laboratorio ante algún requerimiento</t>
  </si>
  <si>
    <t>Comunicación del personal de laboratorio con usted para las coordinaciones necesarias</t>
  </si>
  <si>
    <t>Imparcialidad del personal de laboratorio</t>
  </si>
  <si>
    <t>Nivel de compromiso en la atención a los requerimientos solicitados</t>
  </si>
  <si>
    <t>Proyecciones realizadas por parte del laboratorio Materia Prima</t>
  </si>
  <si>
    <t>FinanzasYTesorería</t>
  </si>
  <si>
    <t>Tesorería y pago a Proveedores</t>
  </si>
  <si>
    <t>Soporte financiero y evaluación de proyectos</t>
  </si>
  <si>
    <t>Solicitud de anticipos y depósito de reembolsos</t>
  </si>
  <si>
    <t>Seguros y gestión de siniestros</t>
  </si>
  <si>
    <t>RiesgosYCumplimiento</t>
  </si>
  <si>
    <t>Absolución de consultas de riesgos y éticas y emisión de reportes</t>
  </si>
  <si>
    <t>Gestión de cursos y capacitaciones</t>
  </si>
  <si>
    <t>ControlDeGestión</t>
  </si>
  <si>
    <t>Control y seguimiento de gastos y costos</t>
  </si>
  <si>
    <t>Presupuestos y Proyecciones Mensuales y Anuales</t>
  </si>
  <si>
    <t>Gestión y Control de Inversiones</t>
  </si>
  <si>
    <t>Consultas y orientaciones</t>
  </si>
  <si>
    <t>Legal</t>
  </si>
  <si>
    <t>Redacción de Contratos con proveedores y clientes</t>
  </si>
  <si>
    <t>Redacción de Cartas para entidades públicas</t>
  </si>
  <si>
    <t>Redacción de reclamos a proveedores</t>
  </si>
  <si>
    <t>Absolución de Consultas</t>
  </si>
  <si>
    <t>Soporte Legal</t>
  </si>
  <si>
    <t>Seguridad</t>
  </si>
  <si>
    <t>Compras</t>
  </si>
  <si>
    <t>Sistema integrado de gestión</t>
  </si>
  <si>
    <t>Control de Ingreso y salida de unidades de producto terminado (Alcohol/azúcar) y sub productos (bagazo/compost)</t>
  </si>
  <si>
    <t>Ingreso y salida de personal y unidades mayores y menores</t>
  </si>
  <si>
    <t>Soporte de imágenes en seguridad electrónica</t>
  </si>
  <si>
    <t>Certificación en Edificaciones de Defensa Civil de nuestras 9 instalaciones</t>
  </si>
  <si>
    <t>Capacitaciones básicas, intermedias, avanzadas y  especializadas en respuesta a emergencias</t>
  </si>
  <si>
    <t>Prevención de accidentes y promoción del comportamiento seguro (safety) detectando e informando actos, condiciones, incidentes</t>
  </si>
  <si>
    <t>Investigación de Ilícitos, denuncias ante PNP e investigaciones Fiscales.</t>
  </si>
  <si>
    <t>Recojo de Residuos de los almacenes temporales</t>
  </si>
  <si>
    <t xml:space="preserve">Certificación de ISCC </t>
  </si>
  <si>
    <t>Gestión por Procesos referidos a la mejora de las actividades agrícolas, operaciones</t>
  </si>
  <si>
    <t>Capacitación, Asesoría, Auditoría referidos a temas ambientales, ISCC, procesos, SGD</t>
  </si>
  <si>
    <t>Nombre</t>
  </si>
  <si>
    <t>Gerencia</t>
  </si>
  <si>
    <t>Área</t>
  </si>
  <si>
    <t>Acela Margot Coloma Luna</t>
  </si>
  <si>
    <t>AColomaL@agricolachira.com.pe</t>
  </si>
  <si>
    <t>Gestión Humana y Sostenibilidad</t>
  </si>
  <si>
    <t>Compensación y Nóminas</t>
  </si>
  <si>
    <t>Adriana Pamela Vilela Juarez</t>
  </si>
  <si>
    <t>AVilelaJ@agricolachira.com.pe</t>
  </si>
  <si>
    <t>Administración y Finanzas</t>
  </si>
  <si>
    <t>Finanzas y Tesorería</t>
  </si>
  <si>
    <t>Aileen Sofia Lachira Prado</t>
  </si>
  <si>
    <t>alachirap@agricolachira.com.pe</t>
  </si>
  <si>
    <t>Operaciones</t>
  </si>
  <si>
    <t>Almacenes y Distribución PT</t>
  </si>
  <si>
    <t>Albert Abel Vasquez More</t>
  </si>
  <si>
    <t>avasquezm@agricolachira.com.pe</t>
  </si>
  <si>
    <t>Industrial y de Mantenimiento</t>
  </si>
  <si>
    <t>Mantenimiento Industrial</t>
  </si>
  <si>
    <t>Alejandro Blanco Eguiluz</t>
  </si>
  <si>
    <t>ABlancoE@agricolachira.com.pe</t>
  </si>
  <si>
    <t>Comercial No Giro</t>
  </si>
  <si>
    <t>Alessandra Isela Aguilar Mogrovejo</t>
  </si>
  <si>
    <t>AAguilarMo@agricolachira.com.pe</t>
  </si>
  <si>
    <t>Alexander Moises Flores Duarez</t>
  </si>
  <si>
    <t>AFloresD@agricolachira.com.pe</t>
  </si>
  <si>
    <t>Producción</t>
  </si>
  <si>
    <t>Alicia de los Milagros Gutierrez Ross-Morrey</t>
  </si>
  <si>
    <t>AGutierrezR@agricolachira.com.pe</t>
  </si>
  <si>
    <t>Comercial</t>
  </si>
  <si>
    <t>Amelia Del Carmen Gulden Garcia</t>
  </si>
  <si>
    <t>AGuldenG@agricolachira.com.pe</t>
  </si>
  <si>
    <t>Agrícola</t>
  </si>
  <si>
    <t>Fundo Lobo</t>
  </si>
  <si>
    <t>Ana Lucía Burneo López</t>
  </si>
  <si>
    <t>ABurneoL@agricolachira.com.pe</t>
  </si>
  <si>
    <t>Control de Gestión</t>
  </si>
  <si>
    <t>Ana Lucia Garcia Pachas</t>
  </si>
  <si>
    <t>AGarciaPac@agricolachira.com.pe</t>
  </si>
  <si>
    <t>Anderson Joel Adanaque Encalada</t>
  </si>
  <si>
    <t>AAdanaqueE@agricolachira.com.pe</t>
  </si>
  <si>
    <t>Antony Darwin Sernaque Villegas</t>
  </si>
  <si>
    <t>ASernaqueV@agricolachira.com.pe</t>
  </si>
  <si>
    <t>Gestor de Recursos Humanos</t>
  </si>
  <si>
    <t>Balanza De producto terminado</t>
  </si>
  <si>
    <t>balanzapt@agricolachira.com.pe</t>
  </si>
  <si>
    <t>Bernabe Coronado Agreda</t>
  </si>
  <si>
    <t>BCoronadoA@agricolachira.com.pe</t>
  </si>
  <si>
    <t>Mantenimiento CAT</t>
  </si>
  <si>
    <t>Boris Bismark Gonzales Mogollon</t>
  </si>
  <si>
    <t>bgonzalesm@agricolachira.com.pe</t>
  </si>
  <si>
    <t>Transporte</t>
  </si>
  <si>
    <t>Bruno Alexander Lara Sanchez</t>
  </si>
  <si>
    <t>BLaraS@agricolachira.com.pe</t>
  </si>
  <si>
    <t>Cosecha</t>
  </si>
  <si>
    <t>Carlo Sergio Panta Valencia</t>
  </si>
  <si>
    <t>CPantaV@agricolachira.com.pe</t>
  </si>
  <si>
    <t>Carlos Alberto Reyes Yarleque</t>
  </si>
  <si>
    <t>creyesy@agricolachira.com.pe</t>
  </si>
  <si>
    <t>Mantenimiento de Transportes</t>
  </si>
  <si>
    <t>Carlos Andres Manayay Barrios</t>
  </si>
  <si>
    <t>CManayayB@agricolachira.com.pe</t>
  </si>
  <si>
    <t>Carlos Daniel Mendoza Mogollon</t>
  </si>
  <si>
    <t>CMendozaM@agricolachira.com.pe</t>
  </si>
  <si>
    <t>Fundo Montelima</t>
  </si>
  <si>
    <t>Carlos Roldán Vivanco Mendoza</t>
  </si>
  <si>
    <t>CVivancoM@agricolachira.com.pe</t>
  </si>
  <si>
    <t>Gerencia Administración y Finanzas</t>
  </si>
  <si>
    <t>Catalina Del Rosario Cayetano Sosa</t>
  </si>
  <si>
    <t>CCayetanoS@agricolachira.com.pe</t>
  </si>
  <si>
    <t>Cesar Joel Lupuche Valiente</t>
  </si>
  <si>
    <t>CLupucheV@agricolachira.com.pe</t>
  </si>
  <si>
    <t>César Kimbol Alva Segura</t>
  </si>
  <si>
    <t>CAlvaS@agricolachira.com.pe</t>
  </si>
  <si>
    <t>Mantenimiento de Riego y Bombas</t>
  </si>
  <si>
    <t>Cesar Miguel Carrillo Reyes</t>
  </si>
  <si>
    <t>CCarrilloR@agricolachira.com.pe</t>
  </si>
  <si>
    <t>Electricidad</t>
  </si>
  <si>
    <t>Christian Frey Merino</t>
  </si>
  <si>
    <t>cfreym@agricolachira.com.pe</t>
  </si>
  <si>
    <t>Claudia Elena Ramos Gonzales</t>
  </si>
  <si>
    <t>CRamosG@agricolachira.com.pe</t>
  </si>
  <si>
    <t>Gestion del Talento</t>
  </si>
  <si>
    <t>Claudia Iselia Sosa Lachira</t>
  </si>
  <si>
    <t>csosal@agricolachira.com.pe</t>
  </si>
  <si>
    <t>Coordinador de Transporte</t>
  </si>
  <si>
    <t>adelchira_transporte@agricolachira.com.pe</t>
  </si>
  <si>
    <t>Dalia Jovita Isabel Zurita Fernández</t>
  </si>
  <si>
    <t>DZuritaF@agricolachira.com.pe</t>
  </si>
  <si>
    <t>Daniel Isaac Arrunategui Espinoza</t>
  </si>
  <si>
    <t>DArrunateguiE@agricolachira.com.pe</t>
  </si>
  <si>
    <t>Sostenibilidad</t>
  </si>
  <si>
    <t>Darwin Abel Gamero Saavedra</t>
  </si>
  <si>
    <t>DGameroS@agricolachira.com.pe</t>
  </si>
  <si>
    <t>Darwin Andry Chero Nomberto</t>
  </si>
  <si>
    <t>DCheroN@agricolachira.com.pe</t>
  </si>
  <si>
    <t>David Israel Cruz Carrillo</t>
  </si>
  <si>
    <t>DCruzC@agricolachira.com.pe</t>
  </si>
  <si>
    <t>Deyni Alexander Floreano Puchulan</t>
  </si>
  <si>
    <t>DFloreanoP@agricolachira.com.pe</t>
  </si>
  <si>
    <t>Diana Carolina Alberca Silupú</t>
  </si>
  <si>
    <t>DAlbercaS@agricolachira.com.pe</t>
  </si>
  <si>
    <t>Digitador 1 Fundo Lobo</t>
  </si>
  <si>
    <t>digitadorlb1@agricolachira.com.pe</t>
  </si>
  <si>
    <t>Digitador 2 Fundo Lobo</t>
  </si>
  <si>
    <t>digitadorlb2@agricolachira.com.pe</t>
  </si>
  <si>
    <t>Digitador Fundo San Vicente</t>
  </si>
  <si>
    <t>adelchiradigitadorsv@agricolachira.com.pe</t>
  </si>
  <si>
    <t>Fundo San Vicente</t>
  </si>
  <si>
    <t>DigitadorML</t>
  </si>
  <si>
    <t>DigitadorML@agricolachira.com.pe</t>
  </si>
  <si>
    <t>Edinson Raymundo Cruz Alburqueque</t>
  </si>
  <si>
    <t>Edixson Mijahuanca Guerrero</t>
  </si>
  <si>
    <t>EMijahuancaG@agricolachira.com.pe</t>
  </si>
  <si>
    <t>Elvis Giron Alama</t>
  </si>
  <si>
    <t>EGironA@agricolachira.com.pe</t>
  </si>
  <si>
    <t>Elvis Heredia Ruiz</t>
  </si>
  <si>
    <t>eherediar@agricolachira.com.pe</t>
  </si>
  <si>
    <t>Enrique Alfonso Arevalo Juarez</t>
  </si>
  <si>
    <t>EArevaloJ@agricolachira.com.pe</t>
  </si>
  <si>
    <t>Cadenas Productivas</t>
  </si>
  <si>
    <t>Erick Fabian Giron Almestar</t>
  </si>
  <si>
    <t>EGironAl@agricolachira.com.pe</t>
  </si>
  <si>
    <t>Ericka Diana Martinez Guerrero</t>
  </si>
  <si>
    <t>EMartinezG@agricolachira.com.pe</t>
  </si>
  <si>
    <t>Esteban Reyes Puchulan</t>
  </si>
  <si>
    <t>ereyesp@agricolachira.com.pe</t>
  </si>
  <si>
    <t>Planificador Agrícola</t>
  </si>
  <si>
    <t>Estefano Hector Serrano Gomez</t>
  </si>
  <si>
    <t>ESerranoG@agricolachira.com.pe</t>
  </si>
  <si>
    <t>Felix Adderly Atoche Maza</t>
  </si>
  <si>
    <t>FAtocheM@agricolachira.com.pe</t>
  </si>
  <si>
    <t>Fiorella de los Angeles Flores Pinedo</t>
  </si>
  <si>
    <t>Relaciones Laborales</t>
  </si>
  <si>
    <t>Franco Valladares Carnero</t>
  </si>
  <si>
    <t>FValladaresC@agricolachira.com.pe</t>
  </si>
  <si>
    <t>Geana Elena Lisbeth Tavara Salazar</t>
  </si>
  <si>
    <t>GTavaraS@agricolachira.com.pe</t>
  </si>
  <si>
    <t xml:space="preserve">Giancarlo Cubas Acha </t>
  </si>
  <si>
    <t>GCubasA@agricolachira.com.pe</t>
  </si>
  <si>
    <t>Gonzalo Ramon Peña Peña</t>
  </si>
  <si>
    <t>GPenaP@agricolachira.com.pe</t>
  </si>
  <si>
    <t>Hector Daniel Borja Torres</t>
  </si>
  <si>
    <t>HBorjaT@agricolachira.com.pe</t>
  </si>
  <si>
    <t>Henry Luis Matias Zapata</t>
  </si>
  <si>
    <t>HMatiasZ@agricolachira.com.pe</t>
  </si>
  <si>
    <t>Fundo La Huaca</t>
  </si>
  <si>
    <t>Henry Paul Cruz Albines</t>
  </si>
  <si>
    <t>HCruzA@agricolachira.com.pe</t>
  </si>
  <si>
    <t>Hugo Martin Mocarro Chapilliquen</t>
  </si>
  <si>
    <t>HMocarroC@agricolachira.com.pe</t>
  </si>
  <si>
    <t>Riesgos y Cumplimiento</t>
  </si>
  <si>
    <t xml:space="preserve">Ismael Jacobo Flores Flores </t>
  </si>
  <si>
    <t>IFloresF@bioenergiadelchira.pe</t>
  </si>
  <si>
    <t>Planta y Srv Industriales</t>
  </si>
  <si>
    <t>Ivan Fernando Vasquez Patiño</t>
  </si>
  <si>
    <t>IVasquezP@agricolachira.com.pe</t>
  </si>
  <si>
    <t>Jaime Mendoza Garay</t>
  </si>
  <si>
    <t>JMendozaG@agricolachira.com.pe</t>
  </si>
  <si>
    <t>Jean Onsteeng Negron Calero</t>
  </si>
  <si>
    <t>JNegronC@agricolachira.com.pe</t>
  </si>
  <si>
    <t>Jen Jani Mendoza Canto</t>
  </si>
  <si>
    <t>JMendozaCa@agricolachira.com.pe</t>
  </si>
  <si>
    <t>Jene Fransheska Gomez Aparicio</t>
  </si>
  <si>
    <t>JGomezAp@agricolachira.com.pe</t>
  </si>
  <si>
    <t>Sistemas y TI</t>
  </si>
  <si>
    <t>Jessica Elizabeth Bacilio Hernandez</t>
  </si>
  <si>
    <t>jbacilioh@agricolachira.com.pe</t>
  </si>
  <si>
    <t>Laboratorio e Investigación Agricola</t>
  </si>
  <si>
    <t>Jesus Ericka Ames Masias</t>
  </si>
  <si>
    <t>eamesm@agricolachira.com.pe</t>
  </si>
  <si>
    <t>Bienestar - Medico Ocupacional</t>
  </si>
  <si>
    <t>Jesús Sphibers Urbina Panta</t>
  </si>
  <si>
    <t>JUrbinaP@agricolachira.com.pe</t>
  </si>
  <si>
    <t>Jhon Marlon Castillo Rojas</t>
  </si>
  <si>
    <t>jcastillor@agricolachira.com.pe</t>
  </si>
  <si>
    <t>Jhordy Brayan Lara Mamani</t>
  </si>
  <si>
    <t>jlarama@agricolachira.com.pe</t>
  </si>
  <si>
    <t>Jimmy Vasquez Castro</t>
  </si>
  <si>
    <t>jvasquezc@agricolachira.com.pe</t>
  </si>
  <si>
    <t>Joao Heraldo Calderon Chuquilin</t>
  </si>
  <si>
    <t>JCalderonChu@agricolachira.com.pe</t>
  </si>
  <si>
    <t>Johan Arevalo Garcia</t>
  </si>
  <si>
    <t>jarevaloga@agricolachira.com.pe</t>
  </si>
  <si>
    <t>John Angel Rojas Barrios</t>
  </si>
  <si>
    <t>JRojasBarr@agricolachira.com.pe</t>
  </si>
  <si>
    <t>Johnny Alexander Lachira Yovera</t>
  </si>
  <si>
    <t>Jordan Paul Villegas Purizaca</t>
  </si>
  <si>
    <t>JVillegasP@agricolachira.com.pe</t>
  </si>
  <si>
    <t>Jorge Anthony Albujar Carrillo</t>
  </si>
  <si>
    <t>JAlbujarC@agricolachira.com.pe</t>
  </si>
  <si>
    <t>Jorge Augusto Chaparro Benites</t>
  </si>
  <si>
    <t>JChaparroB@agricolachira.com.pe</t>
  </si>
  <si>
    <t>Jorge Hernan Maza Vilchez</t>
  </si>
  <si>
    <t>JMazaV@agricolachira.com.pe</t>
  </si>
  <si>
    <t>Automatización</t>
  </si>
  <si>
    <t>Jorge Isac Quevedo Arbulu</t>
  </si>
  <si>
    <t>jquevedoa@agricolachira.com.pe</t>
  </si>
  <si>
    <t>Jorge Luis Aquije Diaz</t>
  </si>
  <si>
    <t>JAquijeD@agricolachira.com.pe</t>
  </si>
  <si>
    <t>Jorge Luis Cobeñas Saldarriaga</t>
  </si>
  <si>
    <t>JCobenasS@agricolachira.com.pe</t>
  </si>
  <si>
    <t>Jorge Luis Seminario Abad</t>
  </si>
  <si>
    <t>JSeminarioA@agricolachira.com.pe</t>
  </si>
  <si>
    <t>Jorge Martin Flores Castro</t>
  </si>
  <si>
    <t>JFloresC@agricolachira.com.pe</t>
  </si>
  <si>
    <t>Jose Alfredo Seminario Urbina</t>
  </si>
  <si>
    <t>JSeminarioU@agricolachira.com.pe</t>
  </si>
  <si>
    <t>Jose Carlos Aladino Huaman Rojas</t>
  </si>
  <si>
    <t>Jose Jimenez Caceres</t>
  </si>
  <si>
    <t>jjimenezc@agricolachira.com.pe</t>
  </si>
  <si>
    <t>Jose Joel Suncion Camacho</t>
  </si>
  <si>
    <t>JSuncionC@agricolachira.com.pe</t>
  </si>
  <si>
    <t>Jose Juan Estela Flores</t>
  </si>
  <si>
    <t>JEstelaF@agricolachira.com.pe</t>
  </si>
  <si>
    <t>José Leoncio Lopez Silva</t>
  </si>
  <si>
    <t>jlopezsi@agricolachira.com.pe</t>
  </si>
  <si>
    <t>Jose Manuel Bayona Gallosa</t>
  </si>
  <si>
    <t>JBayonaG@agricolachira.com.pe</t>
  </si>
  <si>
    <t>Jose Vladimir Garces Villegas</t>
  </si>
  <si>
    <t>jgarcesv@agricolachira.com.pe</t>
  </si>
  <si>
    <t>Joselito Mogollon Cruz</t>
  </si>
  <si>
    <t>JMogollonC@agricolachira.com.pe</t>
  </si>
  <si>
    <t>Joseph Alexis Reyes Cruz</t>
  </si>
  <si>
    <t>jreyesc@agricolachira.com.pe</t>
  </si>
  <si>
    <t>Josue Aldair Inga Flores</t>
  </si>
  <si>
    <t>jingaf@agricolachira.com.pe</t>
  </si>
  <si>
    <t>Joyce Allison Pichilingue Pozo</t>
  </si>
  <si>
    <t>JPichilinguP@agricolachira.com.pe</t>
  </si>
  <si>
    <t>Juan Josue Ordinola Zapata</t>
  </si>
  <si>
    <t>JOrdinolaZ@agricolachira.com.pe</t>
  </si>
  <si>
    <t>Juan Martin Mio Arbulu</t>
  </si>
  <si>
    <t>JMioA@agricolachira.com.pe</t>
  </si>
  <si>
    <t>Judith Eulalia Montero Vargas</t>
  </si>
  <si>
    <t>JMonteroV@agricolachira.com.pe</t>
  </si>
  <si>
    <t>Gerencia Gestión Humana y Sostenibilidad</t>
  </si>
  <si>
    <t>Junior Alexander Hidalgo Socola</t>
  </si>
  <si>
    <t>jhidalgos@agricolachira.com.pe</t>
  </si>
  <si>
    <t>Junior Ivan Chero Paiva</t>
  </si>
  <si>
    <t>Kevin Smith Yamunaque Juarez</t>
  </si>
  <si>
    <t>kyamunaquej@agricolachira.com.pe</t>
  </si>
  <si>
    <t>Krystel Karina Otiniano Pozo</t>
  </si>
  <si>
    <t>KOtinianoP@agricolachira.com.pe</t>
  </si>
  <si>
    <t>Leonardo Manuel Chanduvi Tinedo</t>
  </si>
  <si>
    <t>LChanduviT@agricolachira.com.pe</t>
  </si>
  <si>
    <t>Lia Cristina Ocaña Pauta</t>
  </si>
  <si>
    <t>LOcanaP@agricolachira.com.pe</t>
  </si>
  <si>
    <t>Lider Padilla Salvador</t>
  </si>
  <si>
    <t>LPadillaSa@agricolachira.com.pe</t>
  </si>
  <si>
    <t>Lourdes Eliana Rodriguez Cantuarias</t>
  </si>
  <si>
    <t>LRodriguezC@agricolachira.com.pe</t>
  </si>
  <si>
    <t>Comunicaciones y Responsabilidad Social</t>
  </si>
  <si>
    <t>Luis Aderlye Dioses Silva</t>
  </si>
  <si>
    <t>LDiosesS@agricolachira.com.pe</t>
  </si>
  <si>
    <t>Luis Alexander Ruiz Muñoz</t>
  </si>
  <si>
    <t>LRuizMu@agricolachira.com.pe</t>
  </si>
  <si>
    <t>Luis Eduardo Villar Flores</t>
  </si>
  <si>
    <t>LVillarF@agricolachira.com.pe</t>
  </si>
  <si>
    <t>Luis Felipe Timana Taboada</t>
  </si>
  <si>
    <t>LTimanaT@agricolachira.com.pe</t>
  </si>
  <si>
    <t>Luis Francisco Garcia Calopiña</t>
  </si>
  <si>
    <t>LGarciaC@agricolachira.com.pe</t>
  </si>
  <si>
    <t>Luis Sipion Albirena</t>
  </si>
  <si>
    <t>lsipiona@agricolachira.com.pe</t>
  </si>
  <si>
    <t>Lyn Anthony Olaya Leon</t>
  </si>
  <si>
    <t>LOlayaLe@agricolachira.com.pe</t>
  </si>
  <si>
    <t>Maria Paula Diaz Talledo</t>
  </si>
  <si>
    <t>mdiazta@agricolachira.com.pe</t>
  </si>
  <si>
    <t>Maria Presentacion Vega Yzquierdo</t>
  </si>
  <si>
    <t>MVegaY@agricolachira.com.pe</t>
  </si>
  <si>
    <t>Mariana del Pilar Villegas Juarez</t>
  </si>
  <si>
    <t>MVillegasJ@agricolachira.com.pe</t>
  </si>
  <si>
    <t>Marzia Nicole Lingan Burga</t>
  </si>
  <si>
    <t>MLinganB@agricolachira.com.pe</t>
  </si>
  <si>
    <t>Michele Martino Di Liberto Sauri</t>
  </si>
  <si>
    <t>MDilibertoS@agricolachira.com.pe</t>
  </si>
  <si>
    <t>Gerencia Agrícola</t>
  </si>
  <si>
    <t>Miguel Adrian Navarro Monje</t>
  </si>
  <si>
    <t>MNavarroM@agricolachira.com.pe</t>
  </si>
  <si>
    <t>Milton Frank Culque Culque</t>
  </si>
  <si>
    <t>MCulqueC@agricolachira.com.pe</t>
  </si>
  <si>
    <t>Mireya Saavedra Cavero</t>
  </si>
  <si>
    <t>MSaavedraC@agricolachira.com.pe</t>
  </si>
  <si>
    <t>Miroslava Beatriz Martinez Puicon</t>
  </si>
  <si>
    <t>MMartinezP@agricolachira.com.pe</t>
  </si>
  <si>
    <t>Nataly Pizarro Castillo</t>
  </si>
  <si>
    <t>NPizarroC@agricolachira.com.pe</t>
  </si>
  <si>
    <t>Nils Enrique Hansen Gamarra</t>
  </si>
  <si>
    <t>NHansenG@agricolachira.com.pe</t>
  </si>
  <si>
    <t>Operador de Balanza</t>
  </si>
  <si>
    <t>operadordebalanza@agricolachira.com.pe</t>
  </si>
  <si>
    <t>Oscar David Montenegro Calle</t>
  </si>
  <si>
    <t>Oxslier Lenin Vasquez Pinday</t>
  </si>
  <si>
    <t>ovasquezp@agricolachira.com.pe</t>
  </si>
  <si>
    <t>Paola Cleofe Sunción Zapata</t>
  </si>
  <si>
    <t>PSuncionZ@agricolachira.com.pe</t>
  </si>
  <si>
    <t>Paola Yolanda Correa Chunga</t>
  </si>
  <si>
    <t>pcorreac@agricolachira.com.pe</t>
  </si>
  <si>
    <t>Paul Reynaldo Cruz Mogollón</t>
  </si>
  <si>
    <t>PCruzM@agricolachira.com.pe</t>
  </si>
  <si>
    <t>Paulo Roberto Rojas Roman</t>
  </si>
  <si>
    <t>Pedro  Alejandro Trigoso Feijoo</t>
  </si>
  <si>
    <t>ptrigoso@agricolachira.com.pe</t>
  </si>
  <si>
    <t>Gerencia de Operaciones</t>
  </si>
  <si>
    <t>Pedro Jesus Hernandez Huayanca</t>
  </si>
  <si>
    <t>PHernandezH@agricolachira.com.pe</t>
  </si>
  <si>
    <t>Pedro Manuel Vite Celedonio</t>
  </si>
  <si>
    <t>Pedro Pablo Arcela Castro</t>
  </si>
  <si>
    <t>PArcelaC@agricolachira.com.pe</t>
  </si>
  <si>
    <t>Pierina Sheyla Rios Siccha</t>
  </si>
  <si>
    <t>PRiosS@agricolachira.com.pe</t>
  </si>
  <si>
    <t>Piero Alejandro Marroquin Rubio</t>
  </si>
  <si>
    <t>PMarroquinR@agricolachira.com.pe</t>
  </si>
  <si>
    <t>Sistema Integral de Gestión</t>
  </si>
  <si>
    <t>Rafael Lupuche Quevedo</t>
  </si>
  <si>
    <t>RLupucheQ@agricolachira.com.pe</t>
  </si>
  <si>
    <t>Raul Torres Silva</t>
  </si>
  <si>
    <t>RTorresS@agricolachira.com.pe</t>
  </si>
  <si>
    <t>Renzo José Moncada Pérez</t>
  </si>
  <si>
    <t>RMoncadaP@agricolachira.com.pe</t>
  </si>
  <si>
    <t>Ricardo Norvil Mera Chu</t>
  </si>
  <si>
    <t>rmerach@agricolachira.com.pe</t>
  </si>
  <si>
    <t>Gerencia industrial y de Mantenimiento</t>
  </si>
  <si>
    <t>Ricardo Raid Cuba Cangahuala</t>
  </si>
  <si>
    <t>RCubaC@agricolachira.com.pe</t>
  </si>
  <si>
    <t>Ronald Christian Cesar Sacramento Lorenzo</t>
  </si>
  <si>
    <t>RSacramentoL@agricolachira.com.pe</t>
  </si>
  <si>
    <t>Roxana Aracely Infante Baca</t>
  </si>
  <si>
    <t>RInfanteB@agricolachira.com.pe</t>
  </si>
  <si>
    <t>Ruben Dario Garcia Feria</t>
  </si>
  <si>
    <t>RGarciaFe@agricolachira.com.pe</t>
  </si>
  <si>
    <t>Ruth Karol Zavaleta Mar</t>
  </si>
  <si>
    <t>kzavaletam@agricolachira.com.pe</t>
  </si>
  <si>
    <t>Sandra Lucero Merino Valencia</t>
  </si>
  <si>
    <t>SMerinoV@agricolachira.com.pe</t>
  </si>
  <si>
    <t>Sandy Xiomara Ramos Timana</t>
  </si>
  <si>
    <t>SRamosT@agricolachira.com.pe</t>
  </si>
  <si>
    <t>Saul Nizama Maza</t>
  </si>
  <si>
    <t>SNizamaM@agricolachira.com.pe</t>
  </si>
  <si>
    <t>Secibel Nicol Sanchez Vilela</t>
  </si>
  <si>
    <t>SSanchezV@agricolachira.com.pe</t>
  </si>
  <si>
    <t>Seguridad Huaca</t>
  </si>
  <si>
    <t>seguridadhuaca_lobo@agricolachira.com.pe</t>
  </si>
  <si>
    <t>Seguridad San Vicente</t>
  </si>
  <si>
    <t>seguridadsanvicente@agricolachira.com.pe</t>
  </si>
  <si>
    <t>Ursula Nikoll Sanchez Flores</t>
  </si>
  <si>
    <t>USanchezF@agricolachira.com.pe</t>
  </si>
  <si>
    <t>Valeria Alejandra Requelme Seminario</t>
  </si>
  <si>
    <t>VRequelmeS@agricolachira.com.pe</t>
  </si>
  <si>
    <t>Vanessa Lizeth Vera Nole</t>
  </si>
  <si>
    <t>VVeraN@agricolachira.com.pe</t>
  </si>
  <si>
    <t>Verónica Cecilia Sánchez Aguirre</t>
  </si>
  <si>
    <t>VSanchezA@agricolachira.com.pe</t>
  </si>
  <si>
    <t>Victor Alejandro Hilares Zamudio</t>
  </si>
  <si>
    <t>vhilaresz@agricolachira.com.pe</t>
  </si>
  <si>
    <t>Victor Daniel Abad Preciado</t>
  </si>
  <si>
    <t>VAbadP@agricolachira.com.pe</t>
  </si>
  <si>
    <t>Victor Jesus Antezana Medina</t>
  </si>
  <si>
    <t>VAntezanaM@agricolachira.com.pe</t>
  </si>
  <si>
    <t>Victor Jorge del Castillo Farias</t>
  </si>
  <si>
    <t>VDelCastillF@agricolachira.com.pe</t>
  </si>
  <si>
    <t>Victor Junior Cruz Carrillo</t>
  </si>
  <si>
    <t>vcruzc@agricolachira.com.pe</t>
  </si>
  <si>
    <t>Víctor Stalin López Sánchez</t>
  </si>
  <si>
    <t>VLopezS@agricolachira.com.pe</t>
  </si>
  <si>
    <t>Walter Facundo Facundo</t>
  </si>
  <si>
    <t>WFacundoF@agricolachira.com.pe</t>
  </si>
  <si>
    <t>Wilder Roberto Carrasco Arevalo</t>
  </si>
  <si>
    <t>wcarrascoa@agricolachira.com.pe</t>
  </si>
  <si>
    <t>Willian Morales Yabar</t>
  </si>
  <si>
    <t>WmoralesY@agricolachira.com.pe</t>
  </si>
  <si>
    <t>Willian Raul Jimenez Nole</t>
  </si>
  <si>
    <t>wjimenezn@agricolachira.com.pe</t>
  </si>
  <si>
    <t>Wilmer Chavez Saavedra</t>
  </si>
  <si>
    <t>WChavezS@agricolachira.com.pe</t>
  </si>
  <si>
    <t>Wilmer Mendoza Rugel</t>
  </si>
  <si>
    <t>WMendozaR@agricolachira.com.pe</t>
  </si>
  <si>
    <t>Yadira Soledad Garrido Sanchez</t>
  </si>
  <si>
    <t>YGarridoS@agricolachira.com.pe</t>
  </si>
  <si>
    <t>Yinsa Marianela Madrid Alvarado</t>
  </si>
  <si>
    <t>YMadridA@agricolachira.com.pe</t>
  </si>
  <si>
    <t>Yubipsi Anali Moscol Cardoza</t>
  </si>
  <si>
    <t>YMoscolC@agricolachira.com.pe</t>
  </si>
  <si>
    <t>Zilmer Ahmed Muñoz Villalobos</t>
  </si>
  <si>
    <t>ZMunozV@agricolachira.com.pe</t>
  </si>
  <si>
    <t>SistemasTI</t>
  </si>
  <si>
    <t>Generación de SP Automáticas por MRP (Planificación de Materiales)</t>
  </si>
  <si>
    <t>Generación de códigos y proveedores en el sistema(Planificación de Materiales)</t>
  </si>
  <si>
    <t>Comunicación oportuna y atención de sus solicitudes (Compras)</t>
  </si>
  <si>
    <t>Conocimiento de Materiales y Proveedores (Compras)</t>
  </si>
  <si>
    <t>Comunicación oportuna y atención de sus solicitudes (puntual, emergencia y urgencia) (Servicios)</t>
  </si>
  <si>
    <t>Gestión de Contratación de Servicios y Licitaciones (Servicios)</t>
  </si>
  <si>
    <t>Búsqueda y contratación de nuevos proveedores (Servicios)</t>
  </si>
  <si>
    <t>Gestión Ambiental referidos a cumplimientos ambientales</t>
  </si>
  <si>
    <t>Universo</t>
  </si>
  <si>
    <t>Servicios</t>
  </si>
  <si>
    <t>Filtro</t>
  </si>
  <si>
    <t>2024-01</t>
  </si>
  <si>
    <t xml:space="preserve">Servicios de gestión y mantenimiento de equipos críticos </t>
  </si>
  <si>
    <t>Dato Validado según ultima PPT Multiarea</t>
  </si>
  <si>
    <t>Verificado</t>
  </si>
  <si>
    <t>Gestión para aprobación de líneas de crédito a clientes</t>
  </si>
  <si>
    <t>2024-02</t>
  </si>
  <si>
    <t>Capacitaciones, inducciones y asesoría en SST</t>
  </si>
  <si>
    <t>Soporte en investigaciones de accidentes e incidentes de trabajo - TASC</t>
  </si>
  <si>
    <t>Gestión de contratistas en SST</t>
  </si>
  <si>
    <t>Creación de reportes emitidos por parte del laboratorio de Materia Prima y/o industrial</t>
  </si>
  <si>
    <t>Soporte técnico a los requerimientos de laboratorio de materia prima y/o industrial, ISO 90001:2025, HACCP</t>
  </si>
  <si>
    <t>Capacitación y acompañamiento en temas HACCP e ISO 9001:2025</t>
  </si>
  <si>
    <t>Conformidad respecto a inspecciones HACCP, control de plagas y auditorías</t>
  </si>
  <si>
    <t>Bueno</t>
  </si>
  <si>
    <t>Excelente</t>
  </si>
  <si>
    <t>Regular</t>
  </si>
  <si>
    <t>Malo</t>
  </si>
  <si>
    <t>Pésimo</t>
  </si>
  <si>
    <t>Universo: Caña Brava</t>
  </si>
  <si>
    <t>No Aplica</t>
  </si>
  <si>
    <t>Pos</t>
  </si>
  <si>
    <t>Población</t>
  </si>
  <si>
    <t>Conestaron</t>
  </si>
  <si>
    <t>Pilares o Servicios</t>
  </si>
  <si>
    <t>Si</t>
  </si>
  <si>
    <t>No</t>
  </si>
  <si>
    <t>Cant</t>
  </si>
  <si>
    <t>Servicio 1</t>
  </si>
  <si>
    <t>Servicio 2</t>
  </si>
  <si>
    <t>Servicio 3</t>
  </si>
  <si>
    <t>Servicio 4</t>
  </si>
  <si>
    <t>Servicio 5</t>
  </si>
  <si>
    <t>Servicio 6</t>
  </si>
  <si>
    <t>Servicio 7</t>
  </si>
  <si>
    <t>Servicio 8</t>
  </si>
  <si>
    <t>Tabla de Valores</t>
  </si>
  <si>
    <t>%</t>
  </si>
  <si>
    <t>a</t>
  </si>
  <si>
    <t>b</t>
  </si>
  <si>
    <t>c</t>
  </si>
  <si>
    <t>d</t>
  </si>
  <si>
    <t>e</t>
  </si>
  <si>
    <t>f</t>
  </si>
  <si>
    <t>Opt</t>
  </si>
  <si>
    <t>Descrip.</t>
  </si>
  <si>
    <t>Peso</t>
  </si>
  <si>
    <r>
      <rPr>
        <b/>
        <sz val="12"/>
        <color theme="1"/>
        <rFont val="Calibri"/>
        <family val="2"/>
        <scheme val="minor"/>
      </rPr>
      <t>1er Escenario</t>
    </r>
    <r>
      <rPr>
        <sz val="12"/>
        <color theme="1"/>
        <rFont val="Calibri"/>
        <family val="2"/>
        <scheme val="minor"/>
      </rPr>
      <t xml:space="preserve">: Contemplando división de la </t>
    </r>
    <r>
      <rPr>
        <b/>
        <sz val="12"/>
        <color theme="1"/>
        <rFont val="Calibri"/>
        <family val="2"/>
        <scheme val="minor"/>
      </rPr>
      <t xml:space="preserve">∑ </t>
    </r>
    <r>
      <rPr>
        <sz val="12"/>
        <color theme="1"/>
        <rFont val="Calibri"/>
        <family val="2"/>
        <scheme val="minor"/>
      </rPr>
      <t>de la Cantidad de respuestas entre (Pésimo a Excelente)</t>
    </r>
  </si>
  <si>
    <t>1er Escenario (Propuesta para II Semestre 2024)</t>
  </si>
  <si>
    <t>Pilares</t>
  </si>
  <si>
    <t>Total</t>
  </si>
  <si>
    <r>
      <t>r</t>
    </r>
    <r>
      <rPr>
        <vertAlign val="subscript"/>
        <sz val="12"/>
        <color theme="1"/>
        <rFont val="Calibri"/>
        <family val="2"/>
        <scheme val="minor"/>
      </rPr>
      <t>i</t>
    </r>
  </si>
  <si>
    <t>F</t>
  </si>
  <si>
    <t>Rango de columas (B:X)</t>
  </si>
  <si>
    <t>&lt;-----</t>
  </si>
  <si>
    <t>Número que indica el número de la columnas que debe recorrer</t>
  </si>
  <si>
    <t>Para el grafico historico  | GraficoDeSatisfacciónHistorica()</t>
  </si>
  <si>
    <t>Para las ultimas columnas con datos que se quieren</t>
  </si>
  <si>
    <t>tomar en cuenta se debe poner</t>
  </si>
  <si>
    <t>la letra : "F"</t>
  </si>
  <si>
    <t>*La macro interpreta esto como el fin de datos en columnas)</t>
  </si>
  <si>
    <t>&lt;---</t>
  </si>
  <si>
    <t>A partir de la columna a -hasta el numero indicado</t>
  </si>
  <si>
    <t>Servicio 9</t>
  </si>
  <si>
    <t>Servicio 10</t>
  </si>
  <si>
    <t>Servicio 11</t>
  </si>
  <si>
    <t>KZavaletaM@agricolachira.com.pe</t>
  </si>
  <si>
    <t>Christoper Junior Neyra Montalban</t>
  </si>
  <si>
    <t>Yordy Fabian Mogollon Gonzales</t>
  </si>
  <si>
    <t>Ericka Ames Masías</t>
  </si>
  <si>
    <t>Adriana Estefany Seminario Vargas</t>
  </si>
  <si>
    <t>Milagros del Pilar Navarro Navarro</t>
  </si>
  <si>
    <t>Yesica Jeovana Hermenegildo Alvarado</t>
  </si>
  <si>
    <t>Deyvis Ivan Yarleque Lachira</t>
  </si>
  <si>
    <t>Adrian Chirinos Chunga</t>
  </si>
  <si>
    <t>Franqui Lopez Valladares</t>
  </si>
  <si>
    <t>Elvira Josefina Cortez Sandoval</t>
  </si>
  <si>
    <t>Geraldine Zully Gonzales Crisanto</t>
  </si>
  <si>
    <t>Milagros Elizabeth Ojeda Chinguel</t>
  </si>
  <si>
    <t>Generación de reportes sentintel, de LAFT y antecedentes</t>
  </si>
  <si>
    <t>agarciapac@agricolachira.com.pe</t>
  </si>
  <si>
    <t>ffloresp@agricolachira.com.pe</t>
  </si>
  <si>
    <t>mnavarron@agricolachira.com.pe</t>
  </si>
  <si>
    <t>mojedac@agricolachira.com.pe</t>
  </si>
  <si>
    <t>ecortezs@agricolachira.com.pe</t>
  </si>
  <si>
    <t>flopezval@agricolachira.com.pe</t>
  </si>
  <si>
    <t>aseminariov@agricolachira.com.pe</t>
  </si>
  <si>
    <t>ggonzalesc@agricolachira.com.pe</t>
  </si>
  <si>
    <t>yhermenegila@agricolachira.com.pe</t>
  </si>
  <si>
    <t>dyarlequel@agricolachira.com.pe</t>
  </si>
  <si>
    <t>achirinosc@agricolachira.com.pe</t>
  </si>
  <si>
    <t>ymogollong@agricolachira.com.pe</t>
  </si>
  <si>
    <t xml:space="preserve">Karol Ruth Zavaleta Mar </t>
  </si>
  <si>
    <t>Correo</t>
  </si>
  <si>
    <t>jhuamanro@agricolachira.com.pe</t>
  </si>
  <si>
    <t>Jhon Alexis Chumacero Columbus</t>
  </si>
  <si>
    <t>jchumaceroc@sucroalcoleradelchira.com.pe</t>
  </si>
  <si>
    <t>pvitec@agricolachira.com.pe</t>
  </si>
  <si>
    <t>Rosalia Joselenny Velazco Garcia</t>
  </si>
  <si>
    <t>rvelazcog@agricolachira.com.pe</t>
  </si>
  <si>
    <t>ecruza@agricolachira.com.pe</t>
  </si>
  <si>
    <t>Evelin Lisseth Garcia Romero</t>
  </si>
  <si>
    <t>egarciar@agricolachira.com.pe</t>
  </si>
  <si>
    <t xml:space="preserve">Almacén </t>
  </si>
  <si>
    <t>Roberto Daniel Marcelo Yovera</t>
  </si>
  <si>
    <t>rmarceloy@agricolachira.com.pe</t>
  </si>
  <si>
    <t>projasr@agricolachira.com.pe</t>
  </si>
  <si>
    <t>jcheropa@agricolachira.com.pe</t>
  </si>
  <si>
    <t>Ismael Jacobo Flores Flores</t>
  </si>
  <si>
    <t>ifloresf@bioenergiadelchira.pe</t>
  </si>
  <si>
    <t>Gestión Humana</t>
  </si>
  <si>
    <t>Pedro Trigoso Feijoo</t>
  </si>
  <si>
    <t>Ana Lucía García Pachas</t>
  </si>
  <si>
    <t>Dalia Zurita Fernandéz</t>
  </si>
  <si>
    <t>dzuritaf@agricolachira.com.pe</t>
  </si>
  <si>
    <t>Jorge Maza Vilchez</t>
  </si>
  <si>
    <t>jmazav@agricolachira.com.pe</t>
  </si>
  <si>
    <t>Albert Vasquez More</t>
  </si>
  <si>
    <t xml:space="preserve"> OMontenegroC@agricolachira.com.pe</t>
  </si>
  <si>
    <t>JLachiraY@agricolachira.com.pe</t>
  </si>
  <si>
    <t>cneyram@agricolachira.com.pe</t>
  </si>
  <si>
    <t>Control Presupuestal</t>
  </si>
  <si>
    <t>Rodrigo Mauricio Crespo Vasquez</t>
  </si>
  <si>
    <t>RCrespoV@sucroalcoleradelchira.com.pe</t>
  </si>
  <si>
    <t>Valeria Antuaneth Taboada Vivanco</t>
  </si>
  <si>
    <t>VTaboadaV@sucroalcoleradelchira.com.pe</t>
  </si>
  <si>
    <t>Fresia Antonella Rodriguez Villena</t>
  </si>
  <si>
    <t>frodriguezv@agricolachira.com.pe</t>
  </si>
  <si>
    <t xml:space="preserve">          </t>
  </si>
  <si>
    <t xml:space="preserve">      </t>
  </si>
  <si>
    <t>ID</t>
  </si>
  <si>
    <t>Hora de inicio</t>
  </si>
  <si>
    <t>Hora de finalización</t>
  </si>
  <si>
    <t>Correo electrónico</t>
  </si>
  <si>
    <t>1</t>
  </si>
  <si>
    <t>2</t>
  </si>
  <si>
    <t>3</t>
  </si>
  <si>
    <t>4</t>
  </si>
  <si>
    <t>Agradecemos su participación en esta encuesta, si tuviera alguna sugerencia para mejorar el servicio, por favor escríbalo en el siguiente espacio.</t>
  </si>
  <si>
    <t>JArevaloga@agricolachira.com.pe</t>
  </si>
  <si>
    <t>No aplica</t>
  </si>
  <si>
    <t xml:space="preserve">Agradecida por el apoyo que brinda cada uno del equipo, sigan así! Buscando la excelencia siempre.
</t>
  </si>
  <si>
    <t>BGonzalesM@agricolachira.com.pe</t>
  </si>
  <si>
    <t>Ricardo Mera Chu</t>
  </si>
  <si>
    <t>Mucha demora en el mantenimiento de unidades como: cuatrimotos y en el caso de moto lineales repuestos de baja calidad (sistema de arrastre, llantas).</t>
  </si>
  <si>
    <t>VHilaresZ@agricolachira.com.pe</t>
  </si>
  <si>
    <t>Victor Hilares Zamudio</t>
  </si>
  <si>
    <t>Jene Fransheska Gómez Aparicio</t>
  </si>
  <si>
    <t>Excelente trabajo en el servicio que se brinda, habitaciones camionetas y comidas, su personal siempre amable y con ganas de ayudar.</t>
  </si>
  <si>
    <t>mas ración de arroz</t>
  </si>
  <si>
    <t>ASeminarioV@agricolachira.com.pe</t>
  </si>
  <si>
    <t>JChumaceroC@sucroalcoleradelchira.com.pe</t>
  </si>
  <si>
    <t>TODO CONFORME</t>
  </si>
  <si>
    <t>Muy buen soporte en la administración de habitaciones.</t>
  </si>
  <si>
    <t xml:space="preserve">El equipo de administración se encuentra fortaleciendo los procesos, seguir con la comunicación asertiva. </t>
  </si>
  <si>
    <t>Raul Javier Torres Silva</t>
  </si>
  <si>
    <t>mejorar disponibilidad de unidades para atender emergencias</t>
  </si>
  <si>
    <t>Mejorar la alimentación que sea nutritiva, muchas harinas y exceso de pollo congelado. Debe ser variada con menos aceite en las comidas.</t>
  </si>
  <si>
    <t>Con respecto a la pregunta 1, la atención en el comedor es excelente, sin embargo, se debe mejorar la distribución de los almuerzos ya que son repetitivos.</t>
  </si>
  <si>
    <t>VCruzC@agricolachira.com.pe</t>
  </si>
  <si>
    <t>excelente</t>
  </si>
  <si>
    <t>WCarrascoA@agricolachira.com.pe</t>
  </si>
  <si>
    <t>Giancarlo Cubas Acha</t>
  </si>
  <si>
    <t>Tener en cuenta las fechas de vencimiento de los soat.</t>
  </si>
  <si>
    <t>JGarcesV@agricolachira.com.pe</t>
  </si>
  <si>
    <t>Don Luchito trabaja bien, pero la comida no es buena.</t>
  </si>
  <si>
    <t>en cuanto comedor, mejorar atencion de acuerdo llegada personal, falta de cubiertos, vasos</t>
  </si>
  <si>
    <t>JIngaF@agricolachira.com.pe</t>
  </si>
  <si>
    <t>LI Di Liberto Sauri</t>
  </si>
  <si>
    <t xml:space="preserve">Un excelente equipo, solo se recomienda tener un poco de empatía con la cena para las personas que hacen turnos de noche ya que en ocasiones (una vez por semana) dan de cena solo un plato de sopa, se puede entender y aceptar si comes y luego te vas a dormir como comúnmente es, pero creo que debería ser diferente para las personas que se quedan despiertos toda la noche cubriendo un turno de 12 horas. </t>
  </si>
  <si>
    <t>El apoyo del área administrativa sigue siendo muy bueno y verdaderamente se nota su vocación de servicio.</t>
  </si>
  <si>
    <t>MDiazTa@agricolachira.com.pe</t>
  </si>
  <si>
    <t>JHidalgoS@agricolachira.com.pe</t>
  </si>
  <si>
    <t>Excelente, equipo nuevo y que se esfuerza cada día por alcanzar los objetivos de la empresa, Felicitar a Jorge Quevedo por el liderazgo de su equipo, a seguir constante aprendizaje . muy buen servicio.</t>
  </si>
  <si>
    <t>La atenció en comedor por Don Luchito es la mejor!</t>
  </si>
  <si>
    <t>En el caso del comedor, intentar con entrada causa de pollo y de postre mazamorra / arroz con leche y en el verano helado o galletitas de choco chips</t>
  </si>
  <si>
    <t>Seguir conservando la buena atención</t>
  </si>
  <si>
    <t>Muy buen servicio</t>
  </si>
  <si>
    <t>se debe planificar el cambio de mobiliario (sillas, escritorios).</t>
  </si>
  <si>
    <t xml:space="preserve">Sigue siendo malo el servicio del comedor. La comida tiene mala sazón, la limpieza de los utensilios de comida no se hace bien. La cucharas, vasos y platos siempre están manchados, personal de atención no se cubre el cabello, llegan a la comida pelos y los platos con marca de dedos sucios. </t>
  </si>
  <si>
    <t>Héctor Daniel Borja Torres</t>
  </si>
  <si>
    <t>Excelente servicio sigan así.</t>
  </si>
  <si>
    <t xml:space="preserve">Jorge Q / Victor A, cumplen un buen trabajo, no tengo mayores observaciones
</t>
  </si>
  <si>
    <t>Jose Alexander Jimenez Caceres</t>
  </si>
  <si>
    <t>RVelazcoG@agricolachira.com.pe</t>
  </si>
  <si>
    <t>Rosalia  Joselenny Velazco Garcia</t>
  </si>
  <si>
    <t>EAmesM@agricolachira.com.pe</t>
  </si>
  <si>
    <t>Mejorar la limpieza en las oficinas de los usuarios y tópicos,  cumplimiendo las recomendaciones en caso tópico como es desinfección con lejía, Por el resto buen servicio.</t>
  </si>
  <si>
    <t>FRodriguezV@agricolachira.com.pe</t>
  </si>
  <si>
    <t>JHuamanRo@agricolachira.com.pe</t>
  </si>
  <si>
    <t>YHermenegilA@agricolachira.com.pe</t>
  </si>
  <si>
    <t>Mejorar los menús, que sean más nutritivos.
Mejorar la limpieza (cambiar toallas diariamente, las colchones y almohadas deben ser renovados ya están muy deteriorados).
Resaltar el buen servicio y atención del señor Luchito.</t>
  </si>
  <si>
    <t>YMogollonG@agricolachira.com.pe</t>
  </si>
  <si>
    <t>RMarceloY@agricolachira.com.pe</t>
  </si>
  <si>
    <t>ALachiraP@agricolachira.com.pe</t>
  </si>
  <si>
    <t>Muy buena la atención de Luchito en el comedor. 
Como sugerencia que se coloque palta en las ensaladas y choclo.</t>
  </si>
  <si>
    <t>Lenin Vasquez Pinday</t>
  </si>
  <si>
    <t>Pedro Alejandro Trigoso Feijoo</t>
  </si>
  <si>
    <t>Se debe mejorar mantenimiento de oficinas y baños</t>
  </si>
  <si>
    <t>Adelchira Seguridad Huaca</t>
  </si>
  <si>
    <t>Continuar en la mejora del servicio.</t>
  </si>
  <si>
    <t>Paso 2: Extraer los comentarios de la hoja Respuestas Microsoft Office</t>
  </si>
  <si>
    <t>X</t>
  </si>
  <si>
    <t>Paso 1: Convertir los resultados del forms a tabla para poder manejar mejor las columnas.</t>
  </si>
  <si>
    <t>Nro</t>
  </si>
  <si>
    <t>Promedio</t>
  </si>
  <si>
    <t>Gerencias</t>
  </si>
  <si>
    <t>Promedios</t>
  </si>
  <si>
    <t>Total Universo</t>
  </si>
  <si>
    <t>Completaron 97 personas (92.38%)</t>
  </si>
  <si>
    <t>No completaron 8 personas (7.62%)</t>
  </si>
  <si>
    <t>Manual</t>
  </si>
  <si>
    <t>Columna1</t>
  </si>
  <si>
    <t>Etiquetas de fila</t>
  </si>
  <si>
    <t>Total general</t>
  </si>
  <si>
    <t>Cuenta de Nro</t>
  </si>
  <si>
    <t>(Varios elementos)</t>
  </si>
  <si>
    <t>Promedio de Nro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</si>
</sst>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000_-;\-* #,##0.000_-;_-* &quot;-&quot;??_-;_-@_-"/>
    <numFmt numFmtId="165" formatCode="0.000"/>
    <numFmt numFmtId="166" formatCode="_-* #,##0_-;\-* #,##0_-;_-* &quot;-&quot;??_-;_-@_-"/>
    <numFmt numFmtId="167" formatCode="_-* #,##0_-;\-* #,##0_-;_-* &quot;-&quot;???_-;_-@_-"/>
    <numFmt numFmtId="168" formatCode="m/d/yy\ h:mm:ss"/>
  </numFmts>
  <fonts count="13" x14ac:knownFonts="1">
    <font>
      <sz val="11"/>
      <color theme="1"/>
      <name val="Calibri"/>
      <family val="2"/>
      <scheme val="minor"/>
    </font>
    <font>
      <sz val="11"/>
      <color theme="1"/>
      <name val="Calibri"/>
      <family val="2"/>
      <scheme val="minor"/>
    </font>
    <font>
      <sz val="11"/>
      <name val="Calibri"/>
      <family val="2"/>
      <scheme val="minor"/>
    </font>
    <font>
      <u/>
      <sz val="11"/>
      <color theme="10"/>
      <name val="Calibri"/>
      <family val="2"/>
      <scheme val="minor"/>
    </font>
    <font>
      <b/>
      <sz val="11"/>
      <color theme="1"/>
      <name val="Calibri"/>
      <family val="2"/>
      <scheme val="minor"/>
    </font>
    <font>
      <sz val="11"/>
      <color rgb="FF000000"/>
      <name val="Calibri"/>
      <family val="2"/>
      <scheme val="minor"/>
    </font>
    <font>
      <b/>
      <sz val="11"/>
      <color theme="0"/>
      <name val="Calibri"/>
      <family val="2"/>
      <scheme val="minor"/>
    </font>
    <font>
      <b/>
      <sz val="14"/>
      <color theme="1"/>
      <name val="Calibri"/>
      <family val="2"/>
      <scheme val="minor"/>
    </font>
    <font>
      <sz val="12"/>
      <color theme="1"/>
      <name val="Calibri"/>
      <family val="2"/>
      <scheme val="minor"/>
    </font>
    <font>
      <b/>
      <sz val="12"/>
      <color theme="1"/>
      <name val="Calibri"/>
      <family val="2"/>
      <scheme val="minor"/>
    </font>
    <font>
      <sz val="11"/>
      <color theme="1"/>
      <name val="Aptos Narrow"/>
      <family val="2"/>
    </font>
    <font>
      <vertAlign val="subscript"/>
      <sz val="12"/>
      <color theme="1"/>
      <name val="Calibri"/>
      <family val="2"/>
      <scheme val="minor"/>
    </font>
    <font>
      <sz val="11"/>
      <color rgb="FF000000"/>
      <name val="Calibri"/>
      <family val="2"/>
    </font>
  </fonts>
  <fills count="10">
    <fill>
      <patternFill patternType="none"/>
    </fill>
    <fill>
      <patternFill patternType="gray125"/>
    </fill>
    <fill>
      <patternFill patternType="solid">
        <fgColor theme="9" tint="0.59999389629810485"/>
        <bgColor indexed="64"/>
      </patternFill>
    </fill>
    <fill>
      <patternFill patternType="solid">
        <fgColor theme="9"/>
        <bgColor indexed="64"/>
      </patternFill>
    </fill>
    <fill>
      <patternFill patternType="solid">
        <fgColor theme="1"/>
        <bgColor indexed="64"/>
      </patternFill>
    </fill>
    <fill>
      <patternFill patternType="solid">
        <fgColor rgb="FFFFFFEB"/>
        <bgColor indexed="64"/>
      </patternFill>
    </fill>
    <fill>
      <patternFill patternType="solid">
        <fgColor rgb="FFFFFF00"/>
        <bgColor indexed="64"/>
      </patternFill>
    </fill>
    <fill>
      <patternFill patternType="solid">
        <fgColor theme="9" tint="0.39997558519241921"/>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73">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medium">
        <color indexed="64"/>
      </top>
      <bottom/>
      <diagonal/>
    </border>
    <border>
      <left/>
      <right style="thin">
        <color indexed="64"/>
      </right>
      <top/>
      <bottom style="thin">
        <color indexed="64"/>
      </bottom>
      <diagonal/>
    </border>
    <border>
      <left/>
      <right style="thin">
        <color indexed="64"/>
      </right>
      <top/>
      <bottom style="medium">
        <color indexed="64"/>
      </bottom>
      <diagonal/>
    </border>
    <border>
      <left/>
      <right style="thin">
        <color indexed="64"/>
      </right>
      <top/>
      <bottom/>
      <diagonal/>
    </border>
    <border>
      <left/>
      <right style="thin">
        <color indexed="64"/>
      </right>
      <top style="medium">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3743705557422"/>
      </right>
      <top style="thin">
        <color theme="0" tint="-0.14996795556505021"/>
      </top>
      <bottom style="thin">
        <color theme="0" tint="-0.14993743705557422"/>
      </bottom>
      <diagonal/>
    </border>
    <border>
      <left style="thin">
        <color theme="0" tint="-0.14993743705557422"/>
      </left>
      <right style="thin">
        <color theme="0" tint="-0.14993743705557422"/>
      </right>
      <top style="thin">
        <color theme="0" tint="-0.14996795556505021"/>
      </top>
      <bottom style="thin">
        <color theme="0" tint="-0.14993743705557422"/>
      </bottom>
      <diagonal/>
    </border>
    <border>
      <left style="thin">
        <color theme="0" tint="-0.14993743705557422"/>
      </left>
      <right style="thin">
        <color theme="0" tint="-0.14996795556505021"/>
      </right>
      <top style="thin">
        <color theme="0" tint="-0.14996795556505021"/>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6795556505021"/>
      </right>
      <top style="thin">
        <color theme="0" tint="-0.14993743705557422"/>
      </top>
      <bottom style="thin">
        <color theme="0" tint="-0.14993743705557422"/>
      </bottom>
      <diagonal/>
    </border>
    <border>
      <left style="thin">
        <color theme="0" tint="-0.14993743705557422"/>
      </left>
      <right/>
      <top style="thin">
        <color theme="0" tint="-0.14993743705557422"/>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14993743705557422"/>
      </top>
      <bottom/>
      <diagonal/>
    </border>
    <border>
      <left style="thin">
        <color theme="0" tint="-0.24994659260841701"/>
      </left>
      <right style="dashDotDot">
        <color theme="0" tint="-0.24994659260841701"/>
      </right>
      <top style="thin">
        <color theme="0" tint="-0.24994659260841701"/>
      </top>
      <bottom/>
      <diagonal/>
    </border>
    <border>
      <left style="dashDotDot">
        <color theme="0" tint="-0.24994659260841701"/>
      </left>
      <right style="thin">
        <color theme="0" tint="-0.24994659260841701"/>
      </right>
      <top style="thin">
        <color theme="0" tint="-0.24994659260841701"/>
      </top>
      <bottom/>
      <diagonal/>
    </border>
    <border>
      <left style="thin">
        <color theme="0" tint="-0.24994659260841701"/>
      </left>
      <right style="thin">
        <color theme="0" tint="-0.14996795556505021"/>
      </right>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top/>
      <bottom/>
      <diagonal/>
    </border>
    <border>
      <left style="thin">
        <color theme="0" tint="-0.24994659260841701"/>
      </left>
      <right style="thin">
        <color theme="0" tint="-0.24994659260841701"/>
      </right>
      <top/>
      <bottom/>
      <diagonal/>
    </border>
    <border>
      <left style="thin">
        <color theme="0" tint="-0.24994659260841701"/>
      </left>
      <right style="dashDotDot">
        <color theme="0" tint="-0.24994659260841701"/>
      </right>
      <top/>
      <bottom/>
      <diagonal/>
    </border>
    <border>
      <left style="dashDotDot">
        <color theme="0" tint="-0.24994659260841701"/>
      </left>
      <right style="thin">
        <color theme="0" tint="-0.24994659260841701"/>
      </right>
      <top/>
      <bottom/>
      <diagonal/>
    </border>
    <border>
      <left style="thin">
        <color theme="0" tint="-0.14993743705557422"/>
      </left>
      <right/>
      <top/>
      <bottom style="thin">
        <color theme="0" tint="-0.14993743705557422"/>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dashDotDot">
        <color theme="0" tint="-0.24994659260841701"/>
      </right>
      <top/>
      <bottom style="thin">
        <color theme="0" tint="-0.24994659260841701"/>
      </bottom>
      <diagonal/>
    </border>
    <border>
      <left style="dashDotDot">
        <color theme="0" tint="-0.24994659260841701"/>
      </left>
      <right style="thin">
        <color theme="0" tint="-0.24994659260841701"/>
      </right>
      <top/>
      <bottom style="thin">
        <color theme="0" tint="-0.24994659260841701"/>
      </bottom>
      <diagonal/>
    </border>
    <border>
      <left style="thin">
        <color theme="0" tint="-0.24994659260841701"/>
      </left>
      <right style="thin">
        <color theme="0" tint="-0.14996795556505021"/>
      </right>
      <top/>
      <bottom style="thin">
        <color theme="0" tint="-0.2499465926084170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
      <left style="thin">
        <color theme="0" tint="-0.14996795556505021"/>
      </left>
      <right style="thin">
        <color theme="0" tint="-0.14993743705557422"/>
      </right>
      <top style="thin">
        <color theme="0" tint="-0.14993743705557422"/>
      </top>
      <bottom/>
      <diagonal/>
    </border>
    <border>
      <left style="thin">
        <color theme="0" tint="-0.14993743705557422"/>
      </left>
      <right style="thin">
        <color theme="0" tint="-0.14993743705557422"/>
      </right>
      <top style="thin">
        <color theme="0" tint="-0.14993743705557422"/>
      </top>
      <bottom/>
      <diagonal/>
    </border>
    <border>
      <left style="thin">
        <color theme="0" tint="-0.14996795556505021"/>
      </left>
      <right/>
      <top/>
      <bottom style="thin">
        <color theme="0" tint="-0.14993743705557422"/>
      </bottom>
      <diagonal/>
    </border>
    <border>
      <left/>
      <right/>
      <top/>
      <bottom style="thin">
        <color theme="0" tint="-0.14993743705557422"/>
      </bottom>
      <diagonal/>
    </border>
    <border>
      <left/>
      <right style="thin">
        <color theme="0" tint="-0.14990691854609822"/>
      </right>
      <top/>
      <bottom style="thin">
        <color theme="0" tint="-0.14993743705557422"/>
      </bottom>
      <diagonal/>
    </border>
    <border>
      <left style="thin">
        <color theme="0"/>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right style="thin">
        <color theme="0" tint="-0.24994659260841701"/>
      </right>
      <top/>
      <bottom style="thin">
        <color theme="0" tint="-0.24994659260841701"/>
      </bottom>
      <diagonal/>
    </border>
    <border>
      <left style="thin">
        <color theme="0"/>
      </left>
      <right style="thin">
        <color theme="0"/>
      </right>
      <top/>
      <bottom style="thin">
        <color theme="0"/>
      </bottom>
      <diagonal/>
    </border>
    <border>
      <left style="thin">
        <color theme="0"/>
      </left>
      <right/>
      <top/>
      <bottom/>
      <diagonal/>
    </border>
    <border>
      <left/>
      <right style="thin">
        <color theme="0"/>
      </right>
      <top/>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style="thin">
        <color theme="0" tint="-0.24994659260841701"/>
      </left>
      <right style="thin">
        <color theme="0" tint="-0.24994659260841701"/>
      </right>
      <top style="thin">
        <color theme="0" tint="-0.14993743705557422"/>
      </top>
      <bottom style="medium">
        <color indexed="64"/>
      </bottom>
      <diagonal/>
    </border>
    <border>
      <left style="thin">
        <color theme="0" tint="-0.24994659260841701"/>
      </left>
      <right style="dashDotDot">
        <color theme="0" tint="-0.24994659260841701"/>
      </right>
      <top style="thin">
        <color theme="0" tint="-0.24994659260841701"/>
      </top>
      <bottom style="medium">
        <color indexed="64"/>
      </bottom>
      <diagonal/>
    </border>
    <border>
      <left/>
      <right/>
      <top style="thin">
        <color theme="4" tint="0.39997558519241921"/>
      </top>
      <bottom style="thin">
        <color theme="4" tint="0.39997558519241921"/>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s>
  <cellStyleXfs count="6">
    <xf numFmtId="0" fontId="0" fillId="0" borderId="0"/>
    <xf numFmtId="43"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cellStyleXfs>
  <cellXfs count="199">
    <xf numFmtId="0" fontId="0" fillId="0" borderId="0" xfId="0"/>
    <xf numFmtId="15" fontId="0" fillId="0" borderId="0" xfId="0" applyNumberFormat="1"/>
    <xf numFmtId="0" fontId="2" fillId="0" borderId="0" xfId="0" applyFont="1" applyAlignment="1">
      <alignment horizontal="left"/>
    </xf>
    <xf numFmtId="0" fontId="2" fillId="0" borderId="0" xfId="2" applyFont="1" applyFill="1" applyBorder="1"/>
    <xf numFmtId="0" fontId="2" fillId="0" borderId="0" xfId="0" applyFont="1"/>
    <xf numFmtId="0" fontId="2" fillId="0" borderId="0" xfId="2" applyNumberFormat="1" applyFont="1" applyFill="1"/>
    <xf numFmtId="0" fontId="0" fillId="0" borderId="1" xfId="0" applyBorder="1"/>
    <xf numFmtId="0" fontId="2" fillId="0" borderId="1" xfId="0" applyFont="1" applyBorder="1" applyAlignment="1">
      <alignment horizontal="left"/>
    </xf>
    <xf numFmtId="0" fontId="2" fillId="0" borderId="1" xfId="0" applyFont="1" applyBorder="1"/>
    <xf numFmtId="164" fontId="0" fillId="0" borderId="1" xfId="0" applyNumberFormat="1" applyBorder="1"/>
    <xf numFmtId="0" fontId="4" fillId="0" borderId="1" xfId="0" applyFont="1" applyBorder="1"/>
    <xf numFmtId="0" fontId="4" fillId="0" borderId="1" xfId="0" applyFont="1" applyBorder="1" applyAlignment="1">
      <alignment horizontal="right"/>
    </xf>
    <xf numFmtId="0" fontId="0" fillId="2" borderId="0" xfId="0" applyFill="1"/>
    <xf numFmtId="164" fontId="2" fillId="0" borderId="1" xfId="0" applyNumberFormat="1" applyFont="1" applyBorder="1"/>
    <xf numFmtId="164" fontId="0" fillId="0" borderId="1" xfId="3" applyNumberFormat="1" applyFont="1" applyFill="1" applyBorder="1" applyAlignment="1"/>
    <xf numFmtId="164" fontId="2" fillId="2" borderId="1" xfId="0" applyNumberFormat="1" applyFont="1" applyFill="1" applyBorder="1"/>
    <xf numFmtId="164" fontId="0" fillId="2" borderId="1" xfId="3" applyNumberFormat="1" applyFont="1" applyFill="1" applyBorder="1" applyAlignment="1">
      <alignment horizontal="right"/>
    </xf>
    <xf numFmtId="164" fontId="0" fillId="2" borderId="1" xfId="0" applyNumberFormat="1" applyFill="1" applyBorder="1"/>
    <xf numFmtId="0" fontId="0" fillId="0" borderId="2" xfId="0" applyBorder="1"/>
    <xf numFmtId="0" fontId="0" fillId="0" borderId="3" xfId="0" applyBorder="1"/>
    <xf numFmtId="0" fontId="4" fillId="0" borderId="2" xfId="0" applyFont="1" applyBorder="1"/>
    <xf numFmtId="0" fontId="4" fillId="0" borderId="2" xfId="0" quotePrefix="1" applyFont="1" applyBorder="1" applyAlignment="1">
      <alignment horizontal="right"/>
    </xf>
    <xf numFmtId="0" fontId="4" fillId="0" borderId="2" xfId="0" applyFont="1" applyBorder="1" applyAlignment="1">
      <alignment horizontal="right"/>
    </xf>
    <xf numFmtId="164" fontId="0" fillId="2" borderId="3" xfId="0" applyNumberFormat="1" applyFill="1" applyBorder="1"/>
    <xf numFmtId="165" fontId="0" fillId="2" borderId="3" xfId="0" applyNumberFormat="1" applyFill="1" applyBorder="1"/>
    <xf numFmtId="0" fontId="0" fillId="2" borderId="3" xfId="0" applyFill="1" applyBorder="1"/>
    <xf numFmtId="164" fontId="0" fillId="2" borderId="0" xfId="0" applyNumberFormat="1" applyFill="1"/>
    <xf numFmtId="165" fontId="0" fillId="2" borderId="0" xfId="0" applyNumberFormat="1" applyFill="1"/>
    <xf numFmtId="0" fontId="0" fillId="2" borderId="0" xfId="0" quotePrefix="1" applyFill="1"/>
    <xf numFmtId="165" fontId="0" fillId="2" borderId="2" xfId="0" applyNumberFormat="1" applyFill="1" applyBorder="1"/>
    <xf numFmtId="164" fontId="0" fillId="2" borderId="3" xfId="3" applyNumberFormat="1" applyFont="1" applyFill="1" applyBorder="1" applyAlignment="1">
      <alignment horizontal="center"/>
    </xf>
    <xf numFmtId="164" fontId="0" fillId="2" borderId="0" xfId="3" applyNumberFormat="1" applyFont="1" applyFill="1" applyBorder="1" applyAlignment="1">
      <alignment horizontal="center"/>
    </xf>
    <xf numFmtId="0" fontId="0" fillId="2" borderId="2" xfId="0" applyFill="1" applyBorder="1"/>
    <xf numFmtId="164" fontId="2" fillId="2" borderId="1" xfId="0" applyNumberFormat="1" applyFont="1" applyFill="1" applyBorder="1" applyAlignment="1">
      <alignment vertical="center"/>
    </xf>
    <xf numFmtId="164" fontId="0" fillId="2" borderId="2" xfId="3" applyNumberFormat="1" applyFont="1" applyFill="1" applyBorder="1" applyAlignment="1">
      <alignment horizontal="center"/>
    </xf>
    <xf numFmtId="164" fontId="2" fillId="2" borderId="1" xfId="0" applyNumberFormat="1" applyFont="1" applyFill="1" applyBorder="1" applyAlignment="1">
      <alignment horizontal="left"/>
    </xf>
    <xf numFmtId="164" fontId="0" fillId="2" borderId="1" xfId="0" applyNumberFormat="1" applyFill="1" applyBorder="1" applyAlignment="1">
      <alignment horizontal="right"/>
    </xf>
    <xf numFmtId="164" fontId="0" fillId="2" borderId="1" xfId="4" applyNumberFormat="1" applyFont="1" applyFill="1" applyBorder="1" applyAlignment="1">
      <alignment horizontal="right"/>
    </xf>
    <xf numFmtId="165" fontId="0" fillId="2" borderId="3" xfId="0" applyNumberFormat="1" applyFill="1" applyBorder="1" applyAlignment="1">
      <alignment horizontal="right"/>
    </xf>
    <xf numFmtId="165" fontId="0" fillId="2" borderId="0" xfId="0" applyNumberFormat="1" applyFill="1" applyAlignment="1">
      <alignment horizontal="right"/>
    </xf>
    <xf numFmtId="0" fontId="0" fillId="0" borderId="5" xfId="0" applyBorder="1"/>
    <xf numFmtId="0" fontId="0" fillId="0" borderId="5" xfId="0" applyBorder="1" applyAlignment="1">
      <alignment horizontal="center"/>
    </xf>
    <xf numFmtId="15" fontId="0" fillId="0" borderId="1" xfId="0" applyNumberFormat="1" applyBorder="1"/>
    <xf numFmtId="0" fontId="4" fillId="0" borderId="0" xfId="0" applyFont="1"/>
    <xf numFmtId="0" fontId="7" fillId="0" borderId="0" xfId="0" applyFont="1"/>
    <xf numFmtId="0" fontId="6" fillId="3" borderId="8" xfId="0" applyFont="1" applyFill="1" applyBorder="1" applyAlignment="1">
      <alignment horizontal="center"/>
    </xf>
    <xf numFmtId="0" fontId="6" fillId="3" borderId="12" xfId="0" applyFont="1" applyFill="1" applyBorder="1" applyAlignment="1">
      <alignment horizontal="center"/>
    </xf>
    <xf numFmtId="0" fontId="6" fillId="4" borderId="13" xfId="0" applyFont="1" applyFill="1" applyBorder="1" applyAlignment="1">
      <alignment horizontal="center"/>
    </xf>
    <xf numFmtId="0" fontId="6" fillId="4" borderId="14" xfId="0" applyFont="1" applyFill="1" applyBorder="1" applyAlignment="1">
      <alignment horizontal="center"/>
    </xf>
    <xf numFmtId="0" fontId="6" fillId="4" borderId="15" xfId="0" applyFont="1" applyFill="1" applyBorder="1" applyAlignment="1">
      <alignment horizontal="center"/>
    </xf>
    <xf numFmtId="0" fontId="6" fillId="4" borderId="8" xfId="0" applyFont="1" applyFill="1" applyBorder="1" applyAlignment="1">
      <alignment horizontal="center"/>
    </xf>
    <xf numFmtId="0" fontId="0" fillId="0" borderId="16" xfId="0" applyBorder="1"/>
    <xf numFmtId="0" fontId="0" fillId="0" borderId="17" xfId="0" applyBorder="1"/>
    <xf numFmtId="166" fontId="4" fillId="0" borderId="19" xfId="3" applyNumberFormat="1" applyFont="1" applyBorder="1"/>
    <xf numFmtId="9" fontId="0" fillId="0" borderId="20" xfId="5" applyFont="1" applyBorder="1"/>
    <xf numFmtId="0" fontId="0" fillId="0" borderId="21" xfId="0" applyBorder="1"/>
    <xf numFmtId="0" fontId="0" fillId="0" borderId="22" xfId="0" applyBorder="1"/>
    <xf numFmtId="0" fontId="0" fillId="0" borderId="23" xfId="0" applyBorder="1"/>
    <xf numFmtId="0" fontId="0" fillId="0" borderId="8" xfId="0" applyBorder="1"/>
    <xf numFmtId="0" fontId="0" fillId="0" borderId="8" xfId="3" applyNumberFormat="1" applyFont="1" applyBorder="1"/>
    <xf numFmtId="0" fontId="0" fillId="0" borderId="24" xfId="0" applyBorder="1"/>
    <xf numFmtId="0" fontId="0" fillId="0" borderId="25" xfId="0" applyBorder="1"/>
    <xf numFmtId="166" fontId="0" fillId="0" borderId="25" xfId="3" applyNumberFormat="1" applyFont="1" applyBorder="1"/>
    <xf numFmtId="166" fontId="4" fillId="0" borderId="26" xfId="3" applyNumberFormat="1" applyFont="1" applyBorder="1"/>
    <xf numFmtId="9" fontId="0" fillId="0" borderId="27" xfId="5" applyFont="1" applyBorder="1"/>
    <xf numFmtId="0" fontId="0" fillId="0" borderId="28" xfId="0" applyBorder="1"/>
    <xf numFmtId="166" fontId="4" fillId="0" borderId="30" xfId="3" applyNumberFormat="1" applyFont="1" applyBorder="1"/>
    <xf numFmtId="9" fontId="0" fillId="0" borderId="31" xfId="5" applyFont="1" applyBorder="1"/>
    <xf numFmtId="0" fontId="0" fillId="0" borderId="33" xfId="0" applyBorder="1"/>
    <xf numFmtId="0" fontId="0" fillId="0" borderId="34" xfId="0" applyBorder="1"/>
    <xf numFmtId="0" fontId="0" fillId="0" borderId="35" xfId="0" applyBorder="1"/>
    <xf numFmtId="166" fontId="0" fillId="0" borderId="0" xfId="3" applyNumberFormat="1" applyFont="1"/>
    <xf numFmtId="9" fontId="0" fillId="0" borderId="0" xfId="5" applyFont="1"/>
    <xf numFmtId="0" fontId="8" fillId="0" borderId="0" xfId="0" applyFont="1"/>
    <xf numFmtId="0" fontId="10" fillId="0" borderId="0" xfId="0" applyFont="1"/>
    <xf numFmtId="0" fontId="6" fillId="4" borderId="36" xfId="0" applyFont="1" applyFill="1" applyBorder="1" applyAlignment="1">
      <alignment horizontal="center"/>
    </xf>
    <xf numFmtId="0" fontId="6" fillId="4" borderId="37" xfId="0" applyFont="1" applyFill="1" applyBorder="1" applyAlignment="1">
      <alignment horizontal="center"/>
    </xf>
    <xf numFmtId="164" fontId="0" fillId="0" borderId="22" xfId="3" applyNumberFormat="1" applyFont="1" applyBorder="1"/>
    <xf numFmtId="164" fontId="0" fillId="0" borderId="0" xfId="3" applyNumberFormat="1" applyFont="1"/>
    <xf numFmtId="164" fontId="0" fillId="0" borderId="38" xfId="3" applyNumberFormat="1" applyFont="1" applyBorder="1"/>
    <xf numFmtId="164" fontId="0" fillId="0" borderId="39" xfId="3" applyNumberFormat="1" applyFont="1" applyBorder="1"/>
    <xf numFmtId="164" fontId="0" fillId="0" borderId="40" xfId="3" applyNumberFormat="1" applyFont="1" applyBorder="1"/>
    <xf numFmtId="164" fontId="0" fillId="0" borderId="0" xfId="3" applyNumberFormat="1" applyFont="1" applyFill="1" applyBorder="1"/>
    <xf numFmtId="0" fontId="9" fillId="0" borderId="0" xfId="0" applyFont="1"/>
    <xf numFmtId="0" fontId="0" fillId="0" borderId="0" xfId="0" applyAlignment="1">
      <alignment horizontal="center"/>
    </xf>
    <xf numFmtId="0" fontId="6" fillId="4" borderId="49" xfId="0" applyFont="1" applyFill="1" applyBorder="1" applyAlignment="1">
      <alignment horizontal="center"/>
    </xf>
    <xf numFmtId="0" fontId="6" fillId="4" borderId="50" xfId="0" applyFont="1" applyFill="1" applyBorder="1" applyAlignment="1">
      <alignment horizontal="center"/>
    </xf>
    <xf numFmtId="0" fontId="6" fillId="3" borderId="50" xfId="0" applyFont="1" applyFill="1" applyBorder="1" applyAlignment="1">
      <alignment horizontal="center"/>
    </xf>
    <xf numFmtId="0" fontId="0" fillId="0" borderId="51" xfId="0" applyBorder="1"/>
    <xf numFmtId="0" fontId="0" fillId="0" borderId="52" xfId="0" applyBorder="1"/>
    <xf numFmtId="0" fontId="0" fillId="0" borderId="53" xfId="0" applyBorder="1"/>
    <xf numFmtId="164" fontId="0" fillId="0" borderId="17" xfId="3" applyNumberFormat="1" applyFont="1" applyBorder="1"/>
    <xf numFmtId="164" fontId="4" fillId="5" borderId="17" xfId="3" applyNumberFormat="1" applyFont="1" applyFill="1" applyBorder="1"/>
    <xf numFmtId="43" fontId="0" fillId="0" borderId="0" xfId="0" applyNumberFormat="1"/>
    <xf numFmtId="0" fontId="0" fillId="0" borderId="54" xfId="0" applyBorder="1"/>
    <xf numFmtId="0" fontId="0" fillId="0" borderId="55" xfId="0" applyBorder="1"/>
    <xf numFmtId="164" fontId="0" fillId="0" borderId="25" xfId="3" applyNumberFormat="1" applyFont="1" applyBorder="1"/>
    <xf numFmtId="164" fontId="0" fillId="5" borderId="25" xfId="3" applyNumberFormat="1" applyFont="1" applyFill="1" applyBorder="1"/>
    <xf numFmtId="164" fontId="1" fillId="5" borderId="25" xfId="3" applyNumberFormat="1" applyFont="1" applyFill="1" applyBorder="1"/>
    <xf numFmtId="164" fontId="4" fillId="5" borderId="25" xfId="3" applyNumberFormat="1" applyFont="1" applyFill="1" applyBorder="1"/>
    <xf numFmtId="164" fontId="0" fillId="0" borderId="25" xfId="3" applyNumberFormat="1" applyFont="1" applyFill="1" applyBorder="1"/>
    <xf numFmtId="0" fontId="0" fillId="0" borderId="56" xfId="0" applyBorder="1"/>
    <xf numFmtId="0" fontId="0" fillId="0" borderId="57" xfId="0" applyBorder="1"/>
    <xf numFmtId="0" fontId="0" fillId="0" borderId="45" xfId="0" applyBorder="1"/>
    <xf numFmtId="164" fontId="0" fillId="0" borderId="29" xfId="3" applyNumberFormat="1" applyFont="1" applyBorder="1"/>
    <xf numFmtId="164" fontId="0" fillId="5" borderId="29" xfId="3" applyNumberFormat="1" applyFont="1" applyFill="1" applyBorder="1"/>
    <xf numFmtId="164" fontId="1" fillId="5" borderId="29" xfId="3" applyNumberFormat="1" applyFont="1" applyFill="1" applyBorder="1"/>
    <xf numFmtId="0" fontId="0" fillId="0" borderId="1" xfId="0" quotePrefix="1" applyBorder="1"/>
    <xf numFmtId="0" fontId="0" fillId="0" borderId="0" xfId="0" quotePrefix="1"/>
    <xf numFmtId="0" fontId="0" fillId="6" borderId="0" xfId="0" applyFill="1" applyAlignment="1">
      <alignment horizontal="center" vertical="center"/>
    </xf>
    <xf numFmtId="167" fontId="0" fillId="6" borderId="0" xfId="0" applyNumberFormat="1" applyFill="1" applyAlignment="1">
      <alignment horizontal="center" vertical="center"/>
    </xf>
    <xf numFmtId="0" fontId="0" fillId="0" borderId="2" xfId="0" quotePrefix="1" applyBorder="1"/>
    <xf numFmtId="0" fontId="0" fillId="7" borderId="1" xfId="0" applyFill="1" applyBorder="1"/>
    <xf numFmtId="0" fontId="2" fillId="7" borderId="1" xfId="2" applyFont="1" applyFill="1" applyBorder="1"/>
    <xf numFmtId="15" fontId="0" fillId="7" borderId="1" xfId="0" applyNumberFormat="1" applyFill="1" applyBorder="1"/>
    <xf numFmtId="0" fontId="2" fillId="7" borderId="1" xfId="0" applyFont="1" applyFill="1" applyBorder="1"/>
    <xf numFmtId="166" fontId="0" fillId="7" borderId="29" xfId="3" applyNumberFormat="1" applyFont="1" applyFill="1" applyBorder="1"/>
    <xf numFmtId="166" fontId="4" fillId="7" borderId="30" xfId="3" applyNumberFormat="1" applyFont="1" applyFill="1" applyBorder="1"/>
    <xf numFmtId="166" fontId="0" fillId="7" borderId="58" xfId="3" applyNumberFormat="1" applyFont="1" applyFill="1" applyBorder="1"/>
    <xf numFmtId="166" fontId="4" fillId="7" borderId="59" xfId="3" applyNumberFormat="1" applyFont="1" applyFill="1" applyBorder="1"/>
    <xf numFmtId="15" fontId="4" fillId="2" borderId="7" xfId="0" applyNumberFormat="1" applyFont="1" applyFill="1" applyBorder="1" applyAlignment="1">
      <alignment horizontal="center"/>
    </xf>
    <xf numFmtId="0" fontId="0" fillId="2" borderId="7" xfId="0" applyFill="1" applyBorder="1"/>
    <xf numFmtId="15" fontId="4" fillId="2" borderId="6" xfId="0" applyNumberFormat="1" applyFont="1" applyFill="1" applyBorder="1" applyAlignment="1">
      <alignment horizontal="center"/>
    </xf>
    <xf numFmtId="0" fontId="0" fillId="2" borderId="6" xfId="0" applyFill="1" applyBorder="1"/>
    <xf numFmtId="15" fontId="0" fillId="2" borderId="0" xfId="0" applyNumberFormat="1" applyFill="1"/>
    <xf numFmtId="15" fontId="0" fillId="2" borderId="2" xfId="0" applyNumberFormat="1" applyFill="1" applyBorder="1"/>
    <xf numFmtId="0" fontId="4" fillId="2" borderId="7" xfId="0" applyFont="1" applyFill="1" applyBorder="1" applyAlignment="1">
      <alignment horizontal="center"/>
    </xf>
    <xf numFmtId="0" fontId="4" fillId="2" borderId="6" xfId="0" applyFont="1" applyFill="1" applyBorder="1" applyAlignment="1">
      <alignment horizontal="center"/>
    </xf>
    <xf numFmtId="0" fontId="4" fillId="2" borderId="4" xfId="0" applyFont="1" applyFill="1" applyBorder="1" applyAlignment="1">
      <alignment horizontal="center"/>
    </xf>
    <xf numFmtId="0" fontId="0" fillId="2" borderId="5" xfId="0" applyFill="1" applyBorder="1"/>
    <xf numFmtId="166" fontId="0" fillId="2" borderId="18" xfId="3" applyNumberFormat="1" applyFont="1" applyFill="1" applyBorder="1"/>
    <xf numFmtId="166" fontId="4" fillId="2" borderId="19" xfId="3" applyNumberFormat="1" applyFont="1" applyFill="1" applyBorder="1"/>
    <xf numFmtId="0" fontId="2" fillId="0" borderId="60" xfId="0" applyFont="1" applyBorder="1"/>
    <xf numFmtId="0" fontId="2" fillId="0" borderId="60" xfId="2" applyFont="1" applyFill="1" applyBorder="1"/>
    <xf numFmtId="0" fontId="2" fillId="0" borderId="0" xfId="2" applyNumberFormat="1" applyFont="1" applyFill="1" applyBorder="1"/>
    <xf numFmtId="166" fontId="0" fillId="7" borderId="25" xfId="3" applyNumberFormat="1" applyFont="1" applyFill="1" applyBorder="1"/>
    <xf numFmtId="166" fontId="4" fillId="7" borderId="26" xfId="3" applyNumberFormat="1" applyFont="1" applyFill="1" applyBorder="1"/>
    <xf numFmtId="0" fontId="0" fillId="7" borderId="21" xfId="0" applyFill="1" applyBorder="1"/>
    <xf numFmtId="0" fontId="0" fillId="7" borderId="32" xfId="0" applyFill="1" applyBorder="1"/>
    <xf numFmtId="15" fontId="0" fillId="2" borderId="3" xfId="0" applyNumberFormat="1" applyFill="1" applyBorder="1"/>
    <xf numFmtId="0" fontId="6" fillId="4" borderId="25" xfId="0" applyFont="1" applyFill="1" applyBorder="1" applyAlignment="1">
      <alignment horizontal="center"/>
    </xf>
    <xf numFmtId="164" fontId="0" fillId="0" borderId="0" xfId="0" applyNumberFormat="1"/>
    <xf numFmtId="0" fontId="2" fillId="7" borderId="1" xfId="0" applyFont="1" applyFill="1" applyBorder="1" applyAlignment="1">
      <alignment horizontal="left"/>
    </xf>
    <xf numFmtId="0" fontId="4" fillId="2" borderId="5" xfId="0" applyFont="1" applyFill="1" applyBorder="1" applyAlignment="1">
      <alignment horizontal="center"/>
    </xf>
    <xf numFmtId="15" fontId="4" fillId="2" borderId="5" xfId="0" applyNumberFormat="1" applyFont="1" applyFill="1" applyBorder="1" applyAlignment="1">
      <alignment horizontal="center"/>
    </xf>
    <xf numFmtId="0" fontId="3" fillId="0" borderId="0" xfId="2"/>
    <xf numFmtId="0" fontId="0" fillId="0" borderId="0" xfId="0" applyAlignment="1">
      <alignment horizontal="left"/>
    </xf>
    <xf numFmtId="15" fontId="5" fillId="7" borderId="1" xfId="0" applyNumberFormat="1" applyFont="1" applyFill="1" applyBorder="1"/>
    <xf numFmtId="15" fontId="0" fillId="2" borderId="7" xfId="0" applyNumberFormat="1" applyFill="1" applyBorder="1"/>
    <xf numFmtId="15" fontId="0" fillId="2" borderId="6" xfId="0" applyNumberFormat="1" applyFill="1" applyBorder="1"/>
    <xf numFmtId="15" fontId="4" fillId="2" borderId="0" xfId="0" applyNumberFormat="1" applyFont="1" applyFill="1" applyAlignment="1">
      <alignment horizontal="center"/>
    </xf>
    <xf numFmtId="15" fontId="0" fillId="2" borderId="61" xfId="0" applyNumberFormat="1" applyFill="1" applyBorder="1"/>
    <xf numFmtId="15" fontId="0" fillId="2" borderId="62" xfId="0" applyNumberFormat="1" applyFill="1" applyBorder="1"/>
    <xf numFmtId="15" fontId="0" fillId="2" borderId="5" xfId="0" applyNumberFormat="1" applyFill="1" applyBorder="1"/>
    <xf numFmtId="0" fontId="4" fillId="0" borderId="0" xfId="0" applyFont="1" applyAlignment="1">
      <alignment horizontal="center"/>
    </xf>
    <xf numFmtId="168" fontId="0" fillId="0" borderId="0" xfId="0" applyNumberFormat="1"/>
    <xf numFmtId="0" fontId="0" fillId="8" borderId="63" xfId="0" applyFill="1" applyBorder="1"/>
    <xf numFmtId="0" fontId="0" fillId="9" borderId="63" xfId="0" applyFill="1" applyBorder="1"/>
    <xf numFmtId="0" fontId="0" fillId="8" borderId="44" xfId="0" applyFill="1" applyBorder="1"/>
    <xf numFmtId="0" fontId="0" fillId="8" borderId="64" xfId="0" applyFill="1" applyBorder="1"/>
    <xf numFmtId="0" fontId="0" fillId="9" borderId="64" xfId="0" applyFill="1" applyBorder="1"/>
    <xf numFmtId="0" fontId="0" fillId="8" borderId="41" xfId="0" applyFill="1" applyBorder="1"/>
    <xf numFmtId="0" fontId="0" fillId="8" borderId="65" xfId="0" applyFill="1" applyBorder="1"/>
    <xf numFmtId="0" fontId="0" fillId="9" borderId="65" xfId="0" applyFill="1" applyBorder="1"/>
    <xf numFmtId="0" fontId="0" fillId="8" borderId="42" xfId="0" applyFill="1" applyBorder="1"/>
    <xf numFmtId="0" fontId="0" fillId="0" borderId="66" xfId="0" applyBorder="1"/>
    <xf numFmtId="0" fontId="0" fillId="0" borderId="67" xfId="0" applyBorder="1"/>
    <xf numFmtId="0" fontId="0" fillId="0" borderId="68" xfId="0" applyBorder="1"/>
    <xf numFmtId="0" fontId="0" fillId="0" borderId="69" xfId="0" applyBorder="1"/>
    <xf numFmtId="0" fontId="0" fillId="0" borderId="6" xfId="0" applyBorder="1"/>
    <xf numFmtId="0" fontId="0" fillId="0" borderId="70" xfId="0" applyBorder="1"/>
    <xf numFmtId="0" fontId="0" fillId="0" borderId="71" xfId="0" applyBorder="1"/>
    <xf numFmtId="0" fontId="0" fillId="0" borderId="72" xfId="0" applyBorder="1"/>
    <xf numFmtId="0" fontId="0" fillId="0" borderId="4" xfId="0" applyBorder="1"/>
    <xf numFmtId="0" fontId="0" fillId="0" borderId="0" xfId="0" pivotButton="1"/>
    <xf numFmtId="0" fontId="0" fillId="0" borderId="0" xfId="0" applyAlignment="1">
      <alignment horizontal="left" indent="1"/>
    </xf>
    <xf numFmtId="0" fontId="0" fillId="2" borderId="0" xfId="0" applyFill="1" applyAlignment="1">
      <alignment horizontal="center" wrapText="1"/>
    </xf>
    <xf numFmtId="0" fontId="4" fillId="0" borderId="0" xfId="0" applyFont="1" applyAlignment="1">
      <alignment horizontal="center"/>
    </xf>
    <xf numFmtId="0" fontId="4" fillId="0" borderId="1" xfId="0" applyFont="1" applyBorder="1" applyAlignment="1">
      <alignment horizontal="center" vertical="center"/>
    </xf>
    <xf numFmtId="0" fontId="9" fillId="0" borderId="0" xfId="0" applyFont="1" applyAlignment="1">
      <alignment horizontal="center"/>
    </xf>
    <xf numFmtId="0" fontId="6" fillId="4" borderId="10" xfId="0" applyFont="1" applyFill="1" applyBorder="1" applyAlignment="1">
      <alignment horizontal="center"/>
    </xf>
    <xf numFmtId="0" fontId="6" fillId="4" borderId="11" xfId="0" applyFont="1" applyFill="1" applyBorder="1" applyAlignment="1">
      <alignment horizontal="center"/>
    </xf>
    <xf numFmtId="0" fontId="6" fillId="4" borderId="22" xfId="0" applyFont="1" applyFill="1" applyBorder="1" applyAlignment="1">
      <alignment horizontal="center"/>
    </xf>
    <xf numFmtId="0" fontId="6" fillId="4" borderId="0" xfId="0" applyFont="1" applyFill="1" applyAlignment="1">
      <alignment horizontal="center"/>
    </xf>
    <xf numFmtId="0" fontId="6" fillId="3" borderId="8" xfId="0" applyFont="1" applyFill="1" applyBorder="1" applyAlignment="1">
      <alignment horizontal="center"/>
    </xf>
    <xf numFmtId="0" fontId="6" fillId="4" borderId="47" xfId="0" applyFont="1" applyFill="1" applyBorder="1" applyAlignment="1">
      <alignment horizontal="center"/>
    </xf>
    <xf numFmtId="0" fontId="6" fillId="4" borderId="9" xfId="0" applyFont="1" applyFill="1" applyBorder="1" applyAlignment="1">
      <alignment horizontal="center"/>
    </xf>
    <xf numFmtId="0" fontId="6" fillId="4" borderId="41" xfId="0" applyFont="1" applyFill="1" applyBorder="1" applyAlignment="1">
      <alignment horizontal="left" vertical="center"/>
    </xf>
    <xf numFmtId="0" fontId="6" fillId="4" borderId="46" xfId="0" applyFont="1" applyFill="1" applyBorder="1" applyAlignment="1">
      <alignment horizontal="left" vertical="center"/>
    </xf>
    <xf numFmtId="0" fontId="6" fillId="4" borderId="42" xfId="0" applyFont="1" applyFill="1" applyBorder="1" applyAlignment="1">
      <alignment horizontal="left" vertical="center"/>
    </xf>
    <xf numFmtId="0" fontId="6" fillId="4" borderId="43" xfId="0" applyFont="1" applyFill="1" applyBorder="1" applyAlignment="1">
      <alignment horizontal="left" vertical="center"/>
    </xf>
    <xf numFmtId="0" fontId="6" fillId="4" borderId="44" xfId="0" applyFont="1" applyFill="1" applyBorder="1" applyAlignment="1">
      <alignment horizontal="left" vertical="center"/>
    </xf>
    <xf numFmtId="0" fontId="6" fillId="4" borderId="47" xfId="0" applyFont="1" applyFill="1" applyBorder="1" applyAlignment="1">
      <alignment horizontal="left" vertical="center"/>
    </xf>
    <xf numFmtId="0" fontId="6" fillId="4" borderId="0" xfId="0" applyFont="1" applyFill="1" applyAlignment="1">
      <alignment horizontal="left" vertical="center"/>
    </xf>
    <xf numFmtId="0" fontId="6" fillId="4" borderId="48" xfId="0" applyFont="1" applyFill="1" applyBorder="1" applyAlignment="1">
      <alignment horizontal="left" vertical="center"/>
    </xf>
    <xf numFmtId="0" fontId="6" fillId="3" borderId="8"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0" xfId="0" applyFont="1" applyFill="1" applyAlignment="1">
      <alignment horizontal="center" vertical="center"/>
    </xf>
    <xf numFmtId="165" fontId="0" fillId="0" borderId="0" xfId="0" applyNumberFormat="1"/>
  </cellXfs>
  <cellStyles count="6">
    <cellStyle name="Hipervínculo" xfId="2" builtinId="8"/>
    <cellStyle name="Millares" xfId="3" builtinId="3"/>
    <cellStyle name="Millares 2" xfId="1" xr:uid="{264DC1B0-CA68-4938-9374-ABA6A09D048A}"/>
    <cellStyle name="Millares 3" xfId="4" xr:uid="{EE0B4159-68AA-4FFD-98B4-22AE62BB0192}"/>
    <cellStyle name="Normal" xfId="0" builtinId="0"/>
    <cellStyle name="Porcentaje" xfId="5" builtinId="5"/>
  </cellStyles>
  <dxfs count="21">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border diagonalUp="0" diagonalDown="0">
        <left/>
        <right style="thin">
          <color theme="0"/>
        </right>
        <top style="thin">
          <color theme="0"/>
        </top>
        <bottom style="thin">
          <color theme="0"/>
        </bottom>
        <vertical/>
        <horizontal/>
      </border>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numFmt numFmtId="168" formatCode="m/d/yy\ h:mm:ss"/>
    </dxf>
    <dxf>
      <numFmt numFmtId="168" formatCode="m/d/yy\ h:mm:ss"/>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PE"/>
              <a:t>Satisfacción Por Servicios sin autoevaluación</a:t>
            </a:r>
          </a:p>
        </c:rich>
      </c:tx>
      <c:overlay val="0"/>
    </c:title>
    <c:autoTitleDeleted val="0"/>
    <c:plotArea>
      <c:layout/>
      <c:barChart>
        <c:barDir val="col"/>
        <c:grouping val="clustered"/>
        <c:varyColors val="0"/>
        <c:ser>
          <c:idx val="0"/>
          <c:order val="0"/>
          <c:tx>
            <c:strRef>
              <c:f>DataResumen!$B$15</c:f>
              <c:strCache>
                <c:ptCount val="1"/>
                <c:pt idx="0">
                  <c:v>Promedio</c:v>
                </c:pt>
              </c:strCache>
            </c:strRef>
          </c:tx>
          <c:spPr>
            <a:solidFill>
              <a:srgbClr val="0B84A5"/>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DataResumen!$A$16:$A$19</c:f>
              <c:strCache>
                <c:ptCount val="4"/>
                <c:pt idx="0">
                  <c:v>Soporte Administrativo</c:v>
                </c:pt>
                <c:pt idx="1">
                  <c:v>Limpieza y Lavandería</c:v>
                </c:pt>
                <c:pt idx="2">
                  <c:v>Administración de Unidades Móviles</c:v>
                </c:pt>
                <c:pt idx="3">
                  <c:v>Comedor</c:v>
                </c:pt>
              </c:strCache>
            </c:strRef>
          </c:cat>
          <c:val>
            <c:numRef>
              <c:f>DataResumen!$B$16:$B$19</c:f>
              <c:numCache>
                <c:formatCode>General</c:formatCode>
                <c:ptCount val="4"/>
                <c:pt idx="0">
                  <c:v>4.3330000000000002</c:v>
                </c:pt>
                <c:pt idx="1">
                  <c:v>4.3280000000000003</c:v>
                </c:pt>
                <c:pt idx="2">
                  <c:v>4.2759999999999998</c:v>
                </c:pt>
                <c:pt idx="3">
                  <c:v>4.1159999999999997</c:v>
                </c:pt>
              </c:numCache>
            </c:numRef>
          </c:val>
          <c:extLst>
            <c:ext xmlns:c16="http://schemas.microsoft.com/office/drawing/2014/chart" uri="{C3380CC4-5D6E-409C-BE32-E72D297353CC}">
              <c16:uniqueId val="{00000000-2D7A-47B5-A58C-8A37993755DF}"/>
            </c:ext>
          </c:extLst>
        </c:ser>
        <c:dLbls>
          <c:showLegendKey val="0"/>
          <c:showVal val="0"/>
          <c:showCatName val="0"/>
          <c:showSerName val="0"/>
          <c:showPercent val="0"/>
          <c:showBubbleSize val="0"/>
        </c:dLbls>
        <c:gapWidth val="150"/>
        <c:axId val="249558448"/>
        <c:axId val="249553648"/>
      </c:barChart>
      <c:catAx>
        <c:axId val="249558448"/>
        <c:scaling>
          <c:orientation val="minMax"/>
        </c:scaling>
        <c:delete val="0"/>
        <c:axPos val="b"/>
        <c:numFmt formatCode="General" sourceLinked="1"/>
        <c:majorTickMark val="out"/>
        <c:minorTickMark val="none"/>
        <c:tickLblPos val="nextTo"/>
        <c:crossAx val="249553648"/>
        <c:crosses val="autoZero"/>
        <c:auto val="1"/>
        <c:lblAlgn val="ctr"/>
        <c:lblOffset val="100"/>
        <c:noMultiLvlLbl val="0"/>
      </c:catAx>
      <c:valAx>
        <c:axId val="249553648"/>
        <c:scaling>
          <c:orientation val="minMax"/>
        </c:scaling>
        <c:delete val="0"/>
        <c:axPos val="l"/>
        <c:numFmt formatCode="General" sourceLinked="1"/>
        <c:majorTickMark val="out"/>
        <c:minorTickMark val="none"/>
        <c:tickLblPos val="nextTo"/>
        <c:crossAx val="249558448"/>
        <c:crosses val="autoZero"/>
        <c:crossBetween val="between"/>
      </c:valAx>
      <c:spPr>
        <a:pattFill prst="pct5">
          <a:fgClr>
            <a:srgbClr val="000000"/>
          </a:fgClr>
          <a:bgClr>
            <a:srgbClr val="FFFFFF"/>
          </a:bgClr>
        </a:patt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PE"/>
              <a:t>Satisfacción Por Gerencia sin autoevaluación</a:t>
            </a:r>
          </a:p>
        </c:rich>
      </c:tx>
      <c:overlay val="0"/>
    </c:title>
    <c:autoTitleDeleted val="0"/>
    <c:plotArea>
      <c:layout/>
      <c:barChart>
        <c:barDir val="col"/>
        <c:grouping val="clustered"/>
        <c:varyColors val="0"/>
        <c:ser>
          <c:idx val="0"/>
          <c:order val="0"/>
          <c:tx>
            <c:strRef>
              <c:f>DataResumen!$M$15</c:f>
              <c:strCache>
                <c:ptCount val="1"/>
                <c:pt idx="0">
                  <c:v>Promedios</c:v>
                </c:pt>
              </c:strCache>
            </c:strRef>
          </c:tx>
          <c:spPr>
            <a:solidFill>
              <a:srgbClr val="0B84A5"/>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DataResumen!$L$16:$L$20</c:f>
              <c:strCache>
                <c:ptCount val="5"/>
                <c:pt idx="0">
                  <c:v>Administración y Finanzas</c:v>
                </c:pt>
                <c:pt idx="1">
                  <c:v>Agrícola</c:v>
                </c:pt>
                <c:pt idx="2">
                  <c:v>Gestión Humana y Sostenibilidad</c:v>
                </c:pt>
                <c:pt idx="3">
                  <c:v>Operaciones</c:v>
                </c:pt>
                <c:pt idx="4">
                  <c:v>Industrial y de Mantenimiento</c:v>
                </c:pt>
              </c:strCache>
            </c:strRef>
          </c:cat>
          <c:val>
            <c:numRef>
              <c:f>DataResumen!$M$16:$M$20</c:f>
              <c:numCache>
                <c:formatCode>General</c:formatCode>
                <c:ptCount val="5"/>
                <c:pt idx="0">
                  <c:v>4.5279999999999996</c:v>
                </c:pt>
                <c:pt idx="1">
                  <c:v>4.3970000000000002</c:v>
                </c:pt>
                <c:pt idx="2">
                  <c:v>4.3319999999999999</c:v>
                </c:pt>
                <c:pt idx="3">
                  <c:v>4.125</c:v>
                </c:pt>
                <c:pt idx="4">
                  <c:v>3.7189999999999999</c:v>
                </c:pt>
              </c:numCache>
            </c:numRef>
          </c:val>
          <c:extLst>
            <c:ext xmlns:c16="http://schemas.microsoft.com/office/drawing/2014/chart" uri="{C3380CC4-5D6E-409C-BE32-E72D297353CC}">
              <c16:uniqueId val="{00000000-2DDF-47BA-8159-CCC567BC4FF3}"/>
            </c:ext>
          </c:extLst>
        </c:ser>
        <c:dLbls>
          <c:showLegendKey val="0"/>
          <c:showVal val="0"/>
          <c:showCatName val="0"/>
          <c:showSerName val="0"/>
          <c:showPercent val="0"/>
          <c:showBubbleSize val="0"/>
        </c:dLbls>
        <c:gapWidth val="150"/>
        <c:axId val="249562768"/>
        <c:axId val="249568528"/>
      </c:barChart>
      <c:catAx>
        <c:axId val="249562768"/>
        <c:scaling>
          <c:orientation val="minMax"/>
        </c:scaling>
        <c:delete val="0"/>
        <c:axPos val="b"/>
        <c:numFmt formatCode="General" sourceLinked="1"/>
        <c:majorTickMark val="out"/>
        <c:minorTickMark val="none"/>
        <c:tickLblPos val="nextTo"/>
        <c:crossAx val="249568528"/>
        <c:crosses val="autoZero"/>
        <c:auto val="1"/>
        <c:lblAlgn val="ctr"/>
        <c:lblOffset val="100"/>
        <c:noMultiLvlLbl val="0"/>
      </c:catAx>
      <c:valAx>
        <c:axId val="249568528"/>
        <c:scaling>
          <c:orientation val="minMax"/>
        </c:scaling>
        <c:delete val="0"/>
        <c:axPos val="l"/>
        <c:numFmt formatCode="General" sourceLinked="1"/>
        <c:majorTickMark val="out"/>
        <c:minorTickMark val="none"/>
        <c:tickLblPos val="nextTo"/>
        <c:crossAx val="249562768"/>
        <c:crosses val="autoZero"/>
        <c:crossBetween val="between"/>
      </c:valAx>
      <c:spPr>
        <a:pattFill prst="pct5">
          <a:fgClr>
            <a:srgbClr val="000000"/>
          </a:fgClr>
          <a:bgClr>
            <a:srgbClr val="FFFFFF"/>
          </a:bgClr>
        </a:patt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PE"/>
              <a:t>Satisfacción Histórica</a:t>
            </a:r>
          </a:p>
        </c:rich>
      </c:tx>
      <c:overlay val="0"/>
    </c:title>
    <c:autoTitleDeleted val="0"/>
    <c:plotArea>
      <c:layout/>
      <c:barChart>
        <c:barDir val="col"/>
        <c:grouping val="clustered"/>
        <c:varyColors val="0"/>
        <c:ser>
          <c:idx val="0"/>
          <c:order val="0"/>
          <c:tx>
            <c:v>Total</c:v>
          </c:tx>
          <c:spPr>
            <a:solidFill>
              <a:srgbClr val="9DD8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HistoricoAreas!$B$1:$F$1</c:f>
              <c:strCache>
                <c:ptCount val="5"/>
                <c:pt idx="0">
                  <c:v>2021</c:v>
                </c:pt>
                <c:pt idx="1">
                  <c:v>2022</c:v>
                </c:pt>
                <c:pt idx="2">
                  <c:v>2023</c:v>
                </c:pt>
                <c:pt idx="3">
                  <c:v>2024-01</c:v>
                </c:pt>
                <c:pt idx="4">
                  <c:v>2024-02</c:v>
                </c:pt>
              </c:strCache>
            </c:strRef>
          </c:cat>
          <c:val>
            <c:numRef>
              <c:f>HistoricoAreas!$B$3:$F$3</c:f>
              <c:numCache>
                <c:formatCode>_-* #,##0.000_-;\-* #,##0.000_-;_-* "-"??_-;_-@_-</c:formatCode>
                <c:ptCount val="5"/>
                <c:pt idx="0">
                  <c:v>4.04</c:v>
                </c:pt>
                <c:pt idx="1">
                  <c:v>4.0017261950955501</c:v>
                </c:pt>
                <c:pt idx="2">
                  <c:v>4.0752781320728761</c:v>
                </c:pt>
                <c:pt idx="3">
                  <c:v>4.2711554050489013</c:v>
                </c:pt>
                <c:pt idx="4" formatCode="General">
                  <c:v>4.2629999999999999</c:v>
                </c:pt>
              </c:numCache>
            </c:numRef>
          </c:val>
          <c:extLst>
            <c:ext xmlns:c16="http://schemas.microsoft.com/office/drawing/2014/chart" uri="{C3380CC4-5D6E-409C-BE32-E72D297353CC}">
              <c16:uniqueId val="{00000000-D506-42D1-9CB1-EEF1D7A7E4DF}"/>
            </c:ext>
          </c:extLst>
        </c:ser>
        <c:dLbls>
          <c:showLegendKey val="0"/>
          <c:showVal val="0"/>
          <c:showCatName val="0"/>
          <c:showSerName val="0"/>
          <c:showPercent val="0"/>
          <c:showBubbleSize val="0"/>
        </c:dLbls>
        <c:gapWidth val="150"/>
        <c:axId val="249554128"/>
        <c:axId val="249559408"/>
      </c:barChart>
      <c:catAx>
        <c:axId val="249554128"/>
        <c:scaling>
          <c:orientation val="minMax"/>
        </c:scaling>
        <c:delete val="0"/>
        <c:axPos val="b"/>
        <c:numFmt formatCode="General" sourceLinked="1"/>
        <c:majorTickMark val="out"/>
        <c:minorTickMark val="none"/>
        <c:tickLblPos val="nextTo"/>
        <c:crossAx val="249559408"/>
        <c:crosses val="autoZero"/>
        <c:auto val="1"/>
        <c:lblAlgn val="ctr"/>
        <c:lblOffset val="100"/>
        <c:noMultiLvlLbl val="0"/>
      </c:catAx>
      <c:valAx>
        <c:axId val="249559408"/>
        <c:scaling>
          <c:orientation val="minMax"/>
        </c:scaling>
        <c:delete val="0"/>
        <c:axPos val="l"/>
        <c:numFmt formatCode="_-* #,##0.000_-;\-* #,##0.000_-;_-* &quot;-&quot;??_-;_-@_-" sourceLinked="1"/>
        <c:majorTickMark val="out"/>
        <c:minorTickMark val="none"/>
        <c:tickLblPos val="nextTo"/>
        <c:crossAx val="249554128"/>
        <c:crosses val="autoZero"/>
        <c:crossBetween val="between"/>
      </c:valAx>
      <c:spPr>
        <a:pattFill prst="pct5">
          <a:fgClr>
            <a:srgbClr val="000000"/>
          </a:fgClr>
          <a:bgClr>
            <a:srgbClr val="FFFFFF"/>
          </a:bgClr>
        </a:patt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PE"/>
              <a:t>Universo de 105 colaboradores</a:t>
            </a:r>
          </a:p>
        </c:rich>
      </c:tx>
      <c:layout>
        <c:manualLayout>
          <c:xMode val="edge"/>
          <c:yMode val="edge"/>
          <c:x val="0.19478779198837373"/>
          <c:y val="2.2677550938779184E-2"/>
        </c:manualLayout>
      </c:layout>
      <c:overlay val="0"/>
    </c:title>
    <c:autoTitleDeleted val="0"/>
    <c:plotArea>
      <c:layout/>
      <c:pieChart>
        <c:varyColors val="1"/>
        <c:ser>
          <c:idx val="0"/>
          <c:order val="0"/>
          <c:dLbls>
            <c:dLbl>
              <c:idx val="0"/>
              <c:layout>
                <c:manualLayout>
                  <c:x val="-7.7684278688922234E-2"/>
                  <c:y val="-1.3606530563267593E-2"/>
                </c:manualLayout>
              </c:layout>
              <c:tx>
                <c:rich>
                  <a:bodyPr wrap="square" lIns="38100" tIns="19050" rIns="38100" bIns="19050" anchor="ctr" anchorCtr="0">
                    <a:spAutoFit/>
                  </a:bodyPr>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solidFill>
                        <a:latin typeface="+mn-lt"/>
                        <a:ea typeface="+mn-ea"/>
                        <a:cs typeface="+mn-cs"/>
                      </a:defRPr>
                    </a:pPr>
                    <a:fld id="{BEF2755A-137D-470B-BD88-1A5E58D0EE71}" type="CATEGORYNAME">
                      <a:rPr lang="en-US" sz="1000" b="0" i="0" u="none" strike="noStrike" kern="1200" baseline="0">
                        <a:solidFill>
                          <a:sysClr val="windowText" lastClr="000000"/>
                        </a:solidFill>
                      </a:rPr>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solidFill>
                          <a:latin typeface="+mn-lt"/>
                          <a:ea typeface="+mn-ea"/>
                          <a:cs typeface="+mn-cs"/>
                        </a:defRPr>
                      </a:pPr>
                      <a:t>[NOMBRE DE CATEGORÍA]</a:t>
                    </a:fld>
                    <a:endParaRPr lang="es-PE"/>
                  </a:p>
                </c:rich>
              </c:tx>
              <c:spPr>
                <a:solidFill>
                  <a:sysClr val="window" lastClr="FFFFFF"/>
                </a:solidFill>
                <a:ln>
                  <a:noFill/>
                </a:ln>
                <a:effectLst/>
              </c:sp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dlblFieldTable/>
                  <c15:showDataLabelsRange val="0"/>
                </c:ext>
                <c:ext xmlns:c16="http://schemas.microsoft.com/office/drawing/2014/chart" uri="{C3380CC4-5D6E-409C-BE32-E72D297353CC}">
                  <c16:uniqueId val="{00000000-0C3E-46B7-9833-3939A3F542C8}"/>
                </c:ext>
              </c:extLst>
            </c:dLbl>
            <c:dLbl>
              <c:idx val="1"/>
              <c:layout>
                <c:manualLayout>
                  <c:x val="7.5005510458269753E-2"/>
                  <c:y val="-2.2677550938779267E-2"/>
                </c:manualLayout>
              </c:layout>
              <c:tx>
                <c:rich>
                  <a:bodyPr wrap="square" lIns="38100" tIns="19050" rIns="38100" bIns="19050" anchor="ctr">
                    <a:spAutoFit/>
                  </a:bodyPr>
                  <a:lstStyle/>
                  <a:p>
                    <a:pPr>
                      <a:defRPr/>
                    </a:pPr>
                    <a:fld id="{8DD4D88C-8C33-4168-822F-BDCF7403572F}" type="CATEGORYNAME">
                      <a:rPr lang="en-US" sz="1000" b="0" i="0" u="none" strike="noStrike" kern="1200" baseline="0">
                        <a:solidFill>
                          <a:sysClr val="windowText" lastClr="000000"/>
                        </a:solidFill>
                      </a:rPr>
                      <a:pPr>
                        <a:defRPr/>
                      </a:pPr>
                      <a:t>[NOMBRE DE CATEGORÍA]</a:t>
                    </a:fld>
                    <a:endParaRPr lang="es-PE"/>
                  </a:p>
                </c:rich>
              </c:tx>
              <c:spPr>
                <a:solidFill>
                  <a:sysClr val="window" lastClr="FFFFFF"/>
                </a:solidFill>
                <a:ln>
                  <a:noFill/>
                </a:ln>
                <a:effectLst>
                  <a:softEdge rad="0"/>
                </a:effectLst>
              </c:sp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c15:spPr>
                  <c15:dlblFieldTable/>
                  <c15:showDataLabelsRange val="0"/>
                </c:ext>
                <c:ext xmlns:c16="http://schemas.microsoft.com/office/drawing/2014/chart" uri="{C3380CC4-5D6E-409C-BE32-E72D297353CC}">
                  <c16:uniqueId val="{00000001-0C3E-46B7-9833-3939A3F542C8}"/>
                </c:ext>
              </c:extLst>
            </c:dLbl>
            <c:spPr>
              <a:solidFill>
                <a:sysClr val="window" lastClr="FFFFFF"/>
              </a:solidFill>
              <a:ln>
                <a:solidFill>
                  <a:sysClr val="windowText" lastClr="000000">
                    <a:lumMod val="65000"/>
                    <a:lumOff val="35000"/>
                  </a:sysClr>
                </a:solidFill>
              </a:ln>
              <a:effectLst/>
            </c:spPr>
            <c:dLblPos val="outEnd"/>
            <c:showLegendKey val="0"/>
            <c:showVal val="0"/>
            <c:showCatName val="1"/>
            <c:showSerName val="0"/>
            <c:showPercent val="1"/>
            <c:showBubbleSize val="0"/>
            <c:showLeaderLines val="1"/>
            <c:extLst>
              <c:ext xmlns:c15="http://schemas.microsoft.com/office/drawing/2012/chart" uri="{CE6537A1-D6FC-4f65-9D91-7224C49458BB}">
                <c15:spPr xmlns:c15="http://schemas.microsoft.com/office/drawing/2012/chart">
                  <a:prstGeom prst="wedgeRectCallout">
                    <a:avLst/>
                  </a:prstGeom>
                </c15:spPr>
              </c:ext>
            </c:extLst>
          </c:dLbls>
          <c:cat>
            <c:strRef>
              <c:f>DataResumen!$A$3:$A$4</c:f>
              <c:strCache>
                <c:ptCount val="2"/>
                <c:pt idx="0">
                  <c:v>Completaron 97 personas (92.38%)</c:v>
                </c:pt>
                <c:pt idx="1">
                  <c:v>No completaron 8 personas (7.62%)</c:v>
                </c:pt>
              </c:strCache>
            </c:strRef>
          </c:cat>
          <c:val>
            <c:numRef>
              <c:f>DataResumen!$B$3:$B$4</c:f>
              <c:numCache>
                <c:formatCode>General</c:formatCode>
                <c:ptCount val="2"/>
                <c:pt idx="0">
                  <c:v>97</c:v>
                </c:pt>
                <c:pt idx="1">
                  <c:v>8</c:v>
                </c:pt>
              </c:numCache>
            </c:numRef>
          </c:val>
          <c:extLst>
            <c:ext xmlns:c16="http://schemas.microsoft.com/office/drawing/2014/chart" uri="{C3380CC4-5D6E-409C-BE32-E72D297353CC}">
              <c16:uniqueId val="{00000002-0C3E-46B7-9833-3939A3F542C8}"/>
            </c:ext>
          </c:extLst>
        </c:ser>
        <c:dLbls>
          <c:showLegendKey val="0"/>
          <c:showVal val="0"/>
          <c:showCatName val="0"/>
          <c:showSerName val="0"/>
          <c:showPercent val="0"/>
          <c:showBubbleSize val="0"/>
          <c:showLeaderLines val="1"/>
        </c:dLbls>
        <c:firstSliceAng val="97"/>
      </c:pie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PE" sz="1400" b="1" i="0" u="none" strike="noStrike" kern="1200" cap="none" spc="0" normalizeH="0" baseline="0">
                <a:solidFill>
                  <a:schemeClr val="tx1"/>
                </a:solidFill>
              </a:rPr>
              <a:t>Satisfacción Histórica Administración (Acumulado)</a:t>
            </a:r>
          </a:p>
        </c:rich>
      </c:tx>
      <c:layout>
        <c:manualLayout>
          <c:xMode val="edge"/>
          <c:yMode val="edge"/>
          <c:x val="0.19609684607607766"/>
          <c:y val="1.816239469028826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PE"/>
        </a:p>
      </c:txPr>
    </c:title>
    <c:autoTitleDeleted val="0"/>
    <c:plotArea>
      <c:layout/>
      <c:lineChart>
        <c:grouping val="stacked"/>
        <c:varyColors val="0"/>
        <c:ser>
          <c:idx val="0"/>
          <c:order val="0"/>
          <c:tx>
            <c:strRef>
              <c:f>Graficos!$D$72:$G$72</c:f>
              <c:strCache>
                <c:ptCount val="4"/>
                <c:pt idx="0">
                  <c:v>2021</c:v>
                </c:pt>
                <c:pt idx="1">
                  <c:v>2022</c:v>
                </c:pt>
                <c:pt idx="2">
                  <c:v>2023</c:v>
                </c:pt>
                <c:pt idx="3">
                  <c:v>2024</c:v>
                </c:pt>
              </c:strCache>
            </c:strRef>
          </c:tx>
          <c:spPr>
            <a:ln w="28575" cap="rnd">
              <a:solidFill>
                <a:schemeClr val="accent1"/>
              </a:solidFill>
              <a:round/>
            </a:ln>
            <a:effectLst/>
          </c:spPr>
          <c:marker>
            <c:symbol val="none"/>
          </c:marker>
          <c:dLbls>
            <c:dLbl>
              <c:idx val="0"/>
              <c:layout>
                <c:manualLayout>
                  <c:x val="-7.1883933788409571E-2"/>
                  <c:y val="7.719017743372505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353-4198-8088-C08AB30501E6}"/>
                </c:ext>
              </c:extLst>
            </c:dLbl>
            <c:dLbl>
              <c:idx val="1"/>
              <c:layout>
                <c:manualLayout>
                  <c:x val="-4.9765800315052781E-2"/>
                  <c:y val="8.17307761062971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353-4198-8088-C08AB30501E6}"/>
                </c:ext>
              </c:extLst>
            </c:dLbl>
            <c:dLbl>
              <c:idx val="2"/>
              <c:layout>
                <c:manualLayout>
                  <c:x val="-4.9765800315052781E-2"/>
                  <c:y val="9.989317079658546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353-4198-8088-C08AB30501E6}"/>
                </c:ext>
              </c:extLst>
            </c:dLbl>
            <c:dLbl>
              <c:idx val="3"/>
              <c:layout>
                <c:manualLayout>
                  <c:x val="-3.5941966894204889E-2"/>
                  <c:y val="0.1180555654868737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353-4198-8088-C08AB30501E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Graficos!$D$72:$G$72</c:f>
              <c:numCache>
                <c:formatCode>General</c:formatCode>
                <c:ptCount val="4"/>
                <c:pt idx="0">
                  <c:v>2021</c:v>
                </c:pt>
                <c:pt idx="1">
                  <c:v>2022</c:v>
                </c:pt>
                <c:pt idx="2">
                  <c:v>2023</c:v>
                </c:pt>
                <c:pt idx="3">
                  <c:v>2024</c:v>
                </c:pt>
              </c:numCache>
            </c:numRef>
          </c:cat>
          <c:val>
            <c:numRef>
              <c:f>Graficos!$D$73:$G$73</c:f>
              <c:numCache>
                <c:formatCode>_-* #,##0.000_-;\-* #,##0.000_-;_-* "-"??_-;_-@_-</c:formatCode>
                <c:ptCount val="4"/>
                <c:pt idx="0">
                  <c:v>4.04</c:v>
                </c:pt>
                <c:pt idx="1">
                  <c:v>4.0017261950955501</c:v>
                </c:pt>
                <c:pt idx="2">
                  <c:v>4.0752781320728761</c:v>
                </c:pt>
                <c:pt idx="3">
                  <c:v>4.2670777025244506</c:v>
                </c:pt>
              </c:numCache>
            </c:numRef>
          </c:val>
          <c:smooth val="0"/>
          <c:extLst>
            <c:ext xmlns:c16="http://schemas.microsoft.com/office/drawing/2014/chart" uri="{C3380CC4-5D6E-409C-BE32-E72D297353CC}">
              <c16:uniqueId val="{00000004-A353-4198-8088-C08AB30501E6}"/>
            </c:ext>
          </c:extLst>
        </c:ser>
        <c:dLbls>
          <c:showLegendKey val="0"/>
          <c:showVal val="0"/>
          <c:showCatName val="0"/>
          <c:showSerName val="0"/>
          <c:showPercent val="0"/>
          <c:showBubbleSize val="0"/>
        </c:dLbls>
        <c:smooth val="0"/>
        <c:axId val="196874864"/>
        <c:axId val="1461838543"/>
      </c:lineChart>
      <c:catAx>
        <c:axId val="196874864"/>
        <c:scaling>
          <c:orientation val="minMax"/>
        </c:scaling>
        <c:delete val="0"/>
        <c:axPos val="b"/>
        <c:numFmt formatCode="General" sourceLinked="1"/>
        <c:majorTickMark val="none"/>
        <c:minorTickMark val="none"/>
        <c:tickLblPos val="nextTo"/>
        <c:spPr>
          <a:noFill/>
          <a:ln w="9525" cap="flat" cmpd="sng" algn="ctr">
            <a:solidFill>
              <a:schemeClr val="tx1">
                <a:lumMod val="85000"/>
                <a:lumOff val="1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461838543"/>
        <c:crosses val="autoZero"/>
        <c:auto val="1"/>
        <c:lblAlgn val="ctr"/>
        <c:lblOffset val="100"/>
        <c:noMultiLvlLbl val="0"/>
      </c:catAx>
      <c:valAx>
        <c:axId val="1461838543"/>
        <c:scaling>
          <c:orientation val="minMax"/>
        </c:scaling>
        <c:delete val="0"/>
        <c:axPos val="l"/>
        <c:numFmt formatCode="_-* #,##0.000_-;\-* #,##0.000_-;_-* &quot;-&quot;??_-;_-@_-" sourceLinked="1"/>
        <c:majorTickMark val="none"/>
        <c:minorTickMark val="none"/>
        <c:tickLblPos val="nextTo"/>
        <c:spPr>
          <a:noFill/>
          <a:ln>
            <a:solidFill>
              <a:schemeClr val="bg2">
                <a:lumMod val="2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PE"/>
          </a:p>
        </c:txPr>
        <c:crossAx val="196874864"/>
        <c:crosses val="autoZero"/>
        <c:crossBetween val="between"/>
      </c:valAx>
      <c:spPr>
        <a:pattFill prst="pct5">
          <a:fgClr>
            <a:schemeClr val="tx1">
              <a:lumMod val="65000"/>
              <a:lumOff val="35000"/>
            </a:schemeClr>
          </a:fgClr>
          <a:bgClr>
            <a:schemeClr val="bg1"/>
          </a:bgClr>
        </a:patt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P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PE"/>
              <a:t>Satisfacción por Servicios sin Autoevaluación</a:t>
            </a:r>
          </a:p>
        </c:rich>
      </c:tx>
      <c:overlay val="0"/>
    </c:title>
    <c:autoTitleDeleted val="0"/>
    <c:plotArea>
      <c:layout/>
      <c:barChart>
        <c:barDir val="col"/>
        <c:grouping val="clustered"/>
        <c:varyColors val="0"/>
        <c:ser>
          <c:idx val="0"/>
          <c:order val="0"/>
          <c:tx>
            <c:strRef>
              <c:f>DataResumen!$B$36</c:f>
              <c:strCache>
                <c:ptCount val="1"/>
                <c:pt idx="0">
                  <c:v>2022</c:v>
                </c:pt>
              </c:strCache>
            </c:strRef>
          </c:tx>
          <c:invertIfNegative val="0"/>
          <c:dLbls>
            <c:spPr>
              <a:noFill/>
              <a:ln>
                <a:noFill/>
              </a:ln>
              <a:effectLst/>
            </c:spPr>
            <c:txPr>
              <a:bodyPr rot="-5400000" vert="horz" wrap="square" lIns="38100" tIns="19050" rIns="38100" bIns="19050" anchor="ctr">
                <a:spAutoFit/>
              </a:bodyPr>
              <a:lstStyle/>
              <a:p>
                <a:pPr>
                  <a:defRPr b="1">
                    <a:solidFill>
                      <a:schemeClr val="bg1"/>
                    </a:solidFill>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DataResumen!$A$37:$A$40</c:f>
              <c:strCache>
                <c:ptCount val="4"/>
                <c:pt idx="0">
                  <c:v>Soporte Administrativo</c:v>
                </c:pt>
                <c:pt idx="1">
                  <c:v>Limpieza y Lavandería</c:v>
                </c:pt>
                <c:pt idx="2">
                  <c:v>Administración de Unidades Móviles</c:v>
                </c:pt>
                <c:pt idx="3">
                  <c:v>Comedor</c:v>
                </c:pt>
              </c:strCache>
            </c:strRef>
          </c:cat>
          <c:val>
            <c:numRef>
              <c:f>DataResumen!$B$37:$B$40</c:f>
              <c:numCache>
                <c:formatCode>_-* #,##0.000_-;\-* #,##0.000_-;_-* "-"??_-;_-@_-</c:formatCode>
                <c:ptCount val="4"/>
                <c:pt idx="0">
                  <c:v>4.1660628019323669</c:v>
                </c:pt>
                <c:pt idx="1">
                  <c:v>4.0453003875968996</c:v>
                </c:pt>
                <c:pt idx="2">
                  <c:v>3.9073836961160904</c:v>
                </c:pt>
                <c:pt idx="3">
                  <c:v>3.888157894736842</c:v>
                </c:pt>
              </c:numCache>
            </c:numRef>
          </c:val>
          <c:extLst>
            <c:ext xmlns:c16="http://schemas.microsoft.com/office/drawing/2014/chart" uri="{C3380CC4-5D6E-409C-BE32-E72D297353CC}">
              <c16:uniqueId val="{00000000-E700-4386-A025-447C7BD75539}"/>
            </c:ext>
          </c:extLst>
        </c:ser>
        <c:ser>
          <c:idx val="1"/>
          <c:order val="1"/>
          <c:tx>
            <c:strRef>
              <c:f>DataResumen!$C$36</c:f>
              <c:strCache>
                <c:ptCount val="1"/>
                <c:pt idx="0">
                  <c:v>2023</c:v>
                </c:pt>
              </c:strCache>
            </c:strRef>
          </c:tx>
          <c:invertIfNegative val="0"/>
          <c:dLbls>
            <c:spPr>
              <a:noFill/>
              <a:ln>
                <a:noFill/>
              </a:ln>
              <a:effectLst/>
            </c:spPr>
            <c:txPr>
              <a:bodyPr rot="-5400000" vert="horz" wrap="square" lIns="38100" tIns="19050" rIns="38100" bIns="19050" anchor="ctr">
                <a:spAutoFit/>
              </a:bodyPr>
              <a:lstStyle/>
              <a:p>
                <a:pPr>
                  <a:defRPr b="1">
                    <a:solidFill>
                      <a:schemeClr val="bg1"/>
                    </a:solidFill>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DataResumen!$A$37:$A$40</c:f>
              <c:strCache>
                <c:ptCount val="4"/>
                <c:pt idx="0">
                  <c:v>Soporte Administrativo</c:v>
                </c:pt>
                <c:pt idx="1">
                  <c:v>Limpieza y Lavandería</c:v>
                </c:pt>
                <c:pt idx="2">
                  <c:v>Administración de Unidades Móviles</c:v>
                </c:pt>
                <c:pt idx="3">
                  <c:v>Comedor</c:v>
                </c:pt>
              </c:strCache>
            </c:strRef>
          </c:cat>
          <c:val>
            <c:numRef>
              <c:f>DataResumen!$C$37:$C$40</c:f>
              <c:numCache>
                <c:formatCode>0.000</c:formatCode>
                <c:ptCount val="4"/>
                <c:pt idx="0">
                  <c:v>4.0894298996819183</c:v>
                </c:pt>
                <c:pt idx="1">
                  <c:v>4.1752631578947366</c:v>
                </c:pt>
                <c:pt idx="2">
                  <c:v>3.9592039800995025</c:v>
                </c:pt>
                <c:pt idx="3">
                  <c:v>4.0772154906153482</c:v>
                </c:pt>
              </c:numCache>
            </c:numRef>
          </c:val>
          <c:extLst>
            <c:ext xmlns:c16="http://schemas.microsoft.com/office/drawing/2014/chart" uri="{C3380CC4-5D6E-409C-BE32-E72D297353CC}">
              <c16:uniqueId val="{00000001-E700-4386-A025-447C7BD75539}"/>
            </c:ext>
          </c:extLst>
        </c:ser>
        <c:ser>
          <c:idx val="2"/>
          <c:order val="2"/>
          <c:tx>
            <c:strRef>
              <c:f>DataResumen!$D$36</c:f>
              <c:strCache>
                <c:ptCount val="1"/>
                <c:pt idx="0">
                  <c:v>2024-01</c:v>
                </c:pt>
              </c:strCache>
            </c:strRef>
          </c:tx>
          <c:spPr>
            <a:solidFill>
              <a:schemeClr val="accent6">
                <a:lumMod val="75000"/>
                <a:alpha val="93000"/>
              </a:schemeClr>
            </a:solidFill>
          </c:spPr>
          <c:invertIfNegative val="0"/>
          <c:dLbls>
            <c:spPr>
              <a:noFill/>
              <a:ln>
                <a:noFill/>
              </a:ln>
              <a:effectLst/>
            </c:spPr>
            <c:txPr>
              <a:bodyPr rot="-5400000" vert="horz" wrap="square" lIns="38100" tIns="19050" rIns="38100" bIns="19050" anchor="ctr">
                <a:spAutoFit/>
              </a:bodyPr>
              <a:lstStyle/>
              <a:p>
                <a:pPr>
                  <a:defRPr b="1">
                    <a:solidFill>
                      <a:schemeClr val="bg1"/>
                    </a:solidFill>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DataResumen!$A$37:$A$40</c:f>
              <c:strCache>
                <c:ptCount val="4"/>
                <c:pt idx="0">
                  <c:v>Soporte Administrativo</c:v>
                </c:pt>
                <c:pt idx="1">
                  <c:v>Limpieza y Lavandería</c:v>
                </c:pt>
                <c:pt idx="2">
                  <c:v>Administración de Unidades Móviles</c:v>
                </c:pt>
                <c:pt idx="3">
                  <c:v>Comedor</c:v>
                </c:pt>
              </c:strCache>
            </c:strRef>
          </c:cat>
          <c:val>
            <c:numRef>
              <c:f>DataResumen!$D$37:$D$40</c:f>
              <c:numCache>
                <c:formatCode>General</c:formatCode>
                <c:ptCount val="4"/>
                <c:pt idx="0">
                  <c:v>4.0380000000000003</c:v>
                </c:pt>
                <c:pt idx="1">
                  <c:v>4.0380000000000003</c:v>
                </c:pt>
                <c:pt idx="2">
                  <c:v>4.1959999999999997</c:v>
                </c:pt>
                <c:pt idx="3">
                  <c:v>4.2249999999999996</c:v>
                </c:pt>
              </c:numCache>
            </c:numRef>
          </c:val>
          <c:extLst>
            <c:ext xmlns:c16="http://schemas.microsoft.com/office/drawing/2014/chart" uri="{C3380CC4-5D6E-409C-BE32-E72D297353CC}">
              <c16:uniqueId val="{00000002-E700-4386-A025-447C7BD75539}"/>
            </c:ext>
          </c:extLst>
        </c:ser>
        <c:ser>
          <c:idx val="3"/>
          <c:order val="3"/>
          <c:tx>
            <c:strRef>
              <c:f>DataResumen!$E$36</c:f>
              <c:strCache>
                <c:ptCount val="1"/>
                <c:pt idx="0">
                  <c:v>2024-02</c:v>
                </c:pt>
              </c:strCache>
            </c:strRef>
          </c:tx>
          <c:spPr>
            <a:solidFill>
              <a:schemeClr val="accent4">
                <a:lumMod val="75000"/>
              </a:schemeClr>
            </a:solidFill>
          </c:spPr>
          <c:invertIfNegative val="0"/>
          <c:dLbls>
            <c:spPr>
              <a:noFill/>
              <a:ln>
                <a:noFill/>
              </a:ln>
              <a:effectLst/>
            </c:spPr>
            <c:txPr>
              <a:bodyPr rot="-5400000" vert="horz" wrap="square" lIns="38100" tIns="19050" rIns="38100" bIns="19050" anchor="ctr">
                <a:spAutoFit/>
              </a:bodyPr>
              <a:lstStyle/>
              <a:p>
                <a:pPr>
                  <a:defRPr b="1">
                    <a:solidFill>
                      <a:schemeClr val="bg1"/>
                    </a:solidFill>
                  </a:defRPr>
                </a:pPr>
                <a:endParaRPr lang="es-PE"/>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DataResumen!$A$37:$A$40</c:f>
              <c:strCache>
                <c:ptCount val="4"/>
                <c:pt idx="0">
                  <c:v>Soporte Administrativo</c:v>
                </c:pt>
                <c:pt idx="1">
                  <c:v>Limpieza y Lavandería</c:v>
                </c:pt>
                <c:pt idx="2">
                  <c:v>Administración de Unidades Móviles</c:v>
                </c:pt>
                <c:pt idx="3">
                  <c:v>Comedor</c:v>
                </c:pt>
              </c:strCache>
            </c:strRef>
          </c:cat>
          <c:val>
            <c:numRef>
              <c:f>DataResumen!$E$37:$E$40</c:f>
              <c:numCache>
                <c:formatCode>General</c:formatCode>
                <c:ptCount val="4"/>
                <c:pt idx="0">
                  <c:v>4.3330000000000002</c:v>
                </c:pt>
                <c:pt idx="1">
                  <c:v>4.3280000000000003</c:v>
                </c:pt>
                <c:pt idx="2">
                  <c:v>4.2759999999999998</c:v>
                </c:pt>
                <c:pt idx="3">
                  <c:v>4.1159999999999997</c:v>
                </c:pt>
              </c:numCache>
            </c:numRef>
          </c:val>
          <c:extLst>
            <c:ext xmlns:c16="http://schemas.microsoft.com/office/drawing/2014/chart" uri="{C3380CC4-5D6E-409C-BE32-E72D297353CC}">
              <c16:uniqueId val="{00000003-E700-4386-A025-447C7BD75539}"/>
            </c:ext>
          </c:extLst>
        </c:ser>
        <c:dLbls>
          <c:showLegendKey val="0"/>
          <c:showVal val="0"/>
          <c:showCatName val="0"/>
          <c:showSerName val="0"/>
          <c:showPercent val="0"/>
          <c:showBubbleSize val="0"/>
        </c:dLbls>
        <c:gapWidth val="127"/>
        <c:overlap val="-47"/>
        <c:axId val="278431680"/>
        <c:axId val="278427840"/>
      </c:barChart>
      <c:catAx>
        <c:axId val="278431680"/>
        <c:scaling>
          <c:orientation val="minMax"/>
        </c:scaling>
        <c:delete val="0"/>
        <c:axPos val="b"/>
        <c:numFmt formatCode="General" sourceLinked="1"/>
        <c:majorTickMark val="out"/>
        <c:minorTickMark val="none"/>
        <c:tickLblPos val="nextTo"/>
        <c:txPr>
          <a:bodyPr rot="0" vert="horz"/>
          <a:lstStyle/>
          <a:p>
            <a:pPr>
              <a:defRPr/>
            </a:pPr>
            <a:endParaRPr lang="es-PE"/>
          </a:p>
        </c:txPr>
        <c:crossAx val="278427840"/>
        <c:crosses val="autoZero"/>
        <c:auto val="1"/>
        <c:lblAlgn val="ctr"/>
        <c:lblOffset val="100"/>
        <c:noMultiLvlLbl val="0"/>
      </c:catAx>
      <c:valAx>
        <c:axId val="278427840"/>
        <c:scaling>
          <c:orientation val="minMax"/>
        </c:scaling>
        <c:delete val="0"/>
        <c:axPos val="l"/>
        <c:numFmt formatCode="_-* #,##0.000_-;\-* #,##0.000_-;_-* &quot;-&quot;??_-;_-@_-" sourceLinked="1"/>
        <c:majorTickMark val="out"/>
        <c:minorTickMark val="none"/>
        <c:tickLblPos val="nextTo"/>
        <c:crossAx val="278431680"/>
        <c:crosses val="autoZero"/>
        <c:crossBetween val="between"/>
      </c:valAx>
      <c:spPr>
        <a:pattFill prst="pct5">
          <a:fgClr>
            <a:srgbClr val="000000"/>
          </a:fgClr>
          <a:bgClr>
            <a:srgbClr val="FFFFFF"/>
          </a:bgClr>
        </a:pattFill>
      </c:spPr>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[EncuestaAdministración.xlsm]DataResumen!PivotTablaAutoevaluacion</c:name>
    <c:fmtId val="0"/>
  </c:pivotSource>
  <c:chart>
    <c:title>
      <c:tx>
        <c:rich>
          <a:bodyPr/>
          <a:lstStyle/>
          <a:p>
            <a:pPr>
              <a:defRPr/>
            </a:pPr>
            <a:r>
              <a:rPr lang="es-PE"/>
              <a:t>Autoevaluación por servicios ( 1 usuario)</a:t>
            </a:r>
          </a:p>
        </c:rich>
      </c:tx>
      <c:overlay val="0"/>
    </c:title>
    <c:autoTitleDeleted val="0"/>
    <c:pivotFmts>
      <c:pivotFmt>
        <c:idx val="0"/>
        <c:spPr>
          <a:solidFill>
            <a:srgbClr val="0B84A5"/>
          </a:solidFill>
        </c:spPr>
        <c:marker>
          <c:symbol val="none"/>
        </c:marker>
        <c:dLbl>
          <c:idx val="0"/>
          <c:spPr>
            <a:noFill/>
            <a:ln>
              <a:noFill/>
            </a:ln>
            <a:effectLst/>
          </c:spPr>
          <c:txPr>
            <a:bodyPr wrap="square" lIns="38100" tIns="19050" rIns="38100" bIns="19050" anchor="ctr">
              <a:spAutoFit/>
            </a:bodyPr>
            <a:lstStyle/>
            <a:p>
              <a:pPr>
                <a:defRPr/>
              </a:pPr>
              <a:endParaRPr lang="es-PE"/>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DataResumen!$M$36</c:f>
              <c:strCache>
                <c:ptCount val="1"/>
                <c:pt idx="0">
                  <c:v>Total</c:v>
                </c:pt>
              </c:strCache>
            </c:strRef>
          </c:tx>
          <c:spPr>
            <a:solidFill>
              <a:srgbClr val="0B84A5"/>
            </a:solidFill>
          </c:spPr>
          <c:invertIfNegative val="0"/>
          <c:dLbls>
            <c:spPr>
              <a:noFill/>
              <a:ln>
                <a:noFill/>
              </a:ln>
              <a:effectLst/>
            </c:spPr>
            <c:txPr>
              <a:bodyPr wrap="square" lIns="38100" tIns="19050" rIns="38100" bIns="19050" anchor="ctr">
                <a:spAutoFit/>
              </a:bodyPr>
              <a:lstStyle/>
              <a:p>
                <a:pPr>
                  <a:defRPr/>
                </a:pPr>
                <a:endParaRPr lang="es-PE"/>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DataResumen!$L$37:$L$41</c:f>
              <c:strCache>
                <c:ptCount val="4"/>
                <c:pt idx="0">
                  <c:v>Administración de Unidades Móviles</c:v>
                </c:pt>
                <c:pt idx="1">
                  <c:v>Comedor</c:v>
                </c:pt>
                <c:pt idx="2">
                  <c:v>Limpieza y Lavandería</c:v>
                </c:pt>
                <c:pt idx="3">
                  <c:v>Soporte Administrativo</c:v>
                </c:pt>
              </c:strCache>
            </c:strRef>
          </c:cat>
          <c:val>
            <c:numRef>
              <c:f>DataResumen!$M$37:$M$41</c:f>
              <c:numCache>
                <c:formatCode>0.000</c:formatCode>
                <c:ptCount val="4"/>
                <c:pt idx="0">
                  <c:v>4</c:v>
                </c:pt>
                <c:pt idx="1">
                  <c:v>4</c:v>
                </c:pt>
                <c:pt idx="2">
                  <c:v>#N/A</c:v>
                </c:pt>
                <c:pt idx="3">
                  <c:v>4</c:v>
                </c:pt>
              </c:numCache>
            </c:numRef>
          </c:val>
          <c:extLst>
            <c:ext xmlns:c16="http://schemas.microsoft.com/office/drawing/2014/chart" uri="{C3380CC4-5D6E-409C-BE32-E72D297353CC}">
              <c16:uniqueId val="{00000000-E38D-424E-9380-020B4ECF56C8}"/>
            </c:ext>
          </c:extLst>
        </c:ser>
        <c:dLbls>
          <c:showLegendKey val="0"/>
          <c:showVal val="0"/>
          <c:showCatName val="0"/>
          <c:showSerName val="0"/>
          <c:showPercent val="0"/>
          <c:showBubbleSize val="0"/>
        </c:dLbls>
        <c:gapWidth val="150"/>
        <c:axId val="186994720"/>
        <c:axId val="187004800"/>
      </c:barChart>
      <c:catAx>
        <c:axId val="186994720"/>
        <c:scaling>
          <c:orientation val="minMax"/>
        </c:scaling>
        <c:delete val="0"/>
        <c:axPos val="b"/>
        <c:numFmt formatCode="General" sourceLinked="1"/>
        <c:majorTickMark val="out"/>
        <c:minorTickMark val="none"/>
        <c:tickLblPos val="nextTo"/>
        <c:crossAx val="187004800"/>
        <c:crosses val="autoZero"/>
        <c:auto val="1"/>
        <c:lblAlgn val="ctr"/>
        <c:lblOffset val="100"/>
        <c:noMultiLvlLbl val="0"/>
      </c:catAx>
      <c:valAx>
        <c:axId val="187004800"/>
        <c:scaling>
          <c:orientation val="minMax"/>
        </c:scaling>
        <c:delete val="0"/>
        <c:axPos val="l"/>
        <c:numFmt formatCode="0.000" sourceLinked="1"/>
        <c:majorTickMark val="out"/>
        <c:minorTickMark val="none"/>
        <c:tickLblPos val="nextTo"/>
        <c:crossAx val="186994720"/>
        <c:crosses val="autoZero"/>
        <c:crossBetween val="between"/>
      </c:valAx>
      <c:spPr>
        <a:pattFill prst="pct5">
          <a:fgClr>
            <a:srgbClr val="000000"/>
          </a:fgClr>
          <a:bgClr>
            <a:srgbClr val="FFFFFF"/>
          </a:bgClr>
        </a:patt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190500</xdr:colOff>
          <xdr:row>9</xdr:row>
          <xdr:rowOff>83820</xdr:rowOff>
        </xdr:from>
        <xdr:to>
          <xdr:col>17</xdr:col>
          <xdr:colOff>327660</xdr:colOff>
          <xdr:row>12</xdr:row>
          <xdr:rowOff>53340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PE" sz="1100" b="0" i="0" u="none" strike="noStrike" baseline="0">
                  <a:solidFill>
                    <a:srgbClr val="000000"/>
                  </a:solidFill>
                  <a:latin typeface="Calibri"/>
                  <a:ea typeface="Calibri"/>
                  <a:cs typeface="Calibri"/>
                </a:rPr>
                <a:t>Tabulear información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9</xdr:col>
      <xdr:colOff>263006</xdr:colOff>
      <xdr:row>39</xdr:row>
      <xdr:rowOff>106361</xdr:rowOff>
    </xdr:from>
    <xdr:ext cx="4044953" cy="431465"/>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id="{0FEF1482-EA1A-4518-BA20-A275D6BBF4A9}"/>
                </a:ext>
              </a:extLst>
            </xdr:cNvPr>
            <xdr:cNvSpPr txBox="1"/>
          </xdr:nvSpPr>
          <xdr:spPr>
            <a:xfrm>
              <a:off x="5170286" y="7314881"/>
              <a:ext cx="4044953"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200" b="1" i="1">
                        <a:solidFill>
                          <a:srgbClr val="0000FF"/>
                        </a:solidFill>
                        <a:latin typeface="Cambria Math" panose="02040503050406030204" pitchFamily="18" charset="0"/>
                      </a:rPr>
                      <m:t>𝑷𝒊𝒍𝒂𝒓</m:t>
                    </m:r>
                    <m:r>
                      <a:rPr lang="es-PE" sz="1200" i="1">
                        <a:latin typeface="Cambria Math" panose="02040503050406030204" pitchFamily="18" charset="0"/>
                      </a:rPr>
                      <m:t>=</m:t>
                    </m:r>
                    <m:nary>
                      <m:naryPr>
                        <m:chr m:val="∑"/>
                        <m:subHide m:val="on"/>
                        <m:supHide m:val="on"/>
                        <m:ctrlPr>
                          <a:rPr lang="es-PE" sz="1100" i="1">
                            <a:solidFill>
                              <a:schemeClr val="tx1"/>
                            </a:solidFill>
                            <a:effectLst/>
                            <a:latin typeface="Cambria Math" panose="02040503050406030204" pitchFamily="18" charset="0"/>
                            <a:ea typeface="+mn-ea"/>
                            <a:cs typeface="+mn-cs"/>
                          </a:rPr>
                        </m:ctrlPr>
                      </m:naryPr>
                      <m:sub/>
                      <m:sup/>
                      <m:e/>
                    </m:nary>
                    <m:f>
                      <m:fPr>
                        <m:ctrlPr>
                          <a:rPr lang="es-PE" sz="1200" i="1">
                            <a:latin typeface="Cambria Math" panose="02040503050406030204" pitchFamily="18" charset="0"/>
                          </a:rPr>
                        </m:ctrlPr>
                      </m:fPr>
                      <m:num>
                        <m:nary>
                          <m:naryPr>
                            <m:chr m:val="∑"/>
                            <m:subHide m:val="on"/>
                            <m:supHide m:val="on"/>
                            <m:ctrlPr>
                              <a:rPr lang="es-PE" sz="1100" b="0" i="1">
                                <a:solidFill>
                                  <a:schemeClr val="tx1"/>
                                </a:solidFill>
                                <a:effectLst/>
                                <a:latin typeface="Cambria Math" panose="02040503050406030204" pitchFamily="18" charset="0"/>
                                <a:ea typeface="+mn-ea"/>
                                <a:cs typeface="+mn-cs"/>
                              </a:rPr>
                            </m:ctrlPr>
                          </m:naryPr>
                          <m:sub/>
                          <m:sup/>
                          <m:e>
                            <m:r>
                              <a:rPr lang="es-MX" sz="1100" b="0" i="1">
                                <a:solidFill>
                                  <a:schemeClr val="tx1"/>
                                </a:solidFill>
                                <a:effectLst/>
                                <a:latin typeface="Cambria Math" panose="02040503050406030204" pitchFamily="18" charset="0"/>
                                <a:ea typeface="+mn-ea"/>
                                <a:cs typeface="+mn-cs"/>
                              </a:rPr>
                              <m:t>(#</m:t>
                            </m:r>
                          </m:e>
                        </m:nary>
                        <m:r>
                          <a:rPr lang="es-MX" sz="1200" b="0" i="1">
                            <a:latin typeface="Cambria Math" panose="02040503050406030204" pitchFamily="18" charset="0"/>
                          </a:rPr>
                          <m:t> </m:t>
                        </m:r>
                        <m:r>
                          <a:rPr lang="es-MX" sz="1200" b="0" i="1">
                            <a:latin typeface="Cambria Math" panose="02040503050406030204" pitchFamily="18" charset="0"/>
                          </a:rPr>
                          <m:t>𝑟𝑒𝑠𝑝𝑢𝑒𝑠𝑡𝑎𝑠</m:t>
                        </m:r>
                        <m:r>
                          <a:rPr lang="es-MX" sz="1200" b="0" i="1">
                            <a:latin typeface="Cambria Math" panose="02040503050406030204" pitchFamily="18" charset="0"/>
                          </a:rPr>
                          <m:t>  </m:t>
                        </m:r>
                        <m:r>
                          <a:rPr lang="es-MX" sz="1200" b="0" i="1">
                            <a:latin typeface="Cambria Math" panose="02040503050406030204" pitchFamily="18" charset="0"/>
                          </a:rPr>
                          <m:t>𝑥</m:t>
                        </m:r>
                        <m:r>
                          <a:rPr lang="es-MX" sz="1200" b="0" i="1">
                            <a:latin typeface="Cambria Math" panose="02040503050406030204" pitchFamily="18" charset="0"/>
                          </a:rPr>
                          <m:t> </m:t>
                        </m:r>
                        <m:r>
                          <a:rPr lang="es-MX" sz="1200" b="0" i="1">
                            <a:latin typeface="Cambria Math" panose="02040503050406030204" pitchFamily="18" charset="0"/>
                          </a:rPr>
                          <m:t>𝑃𝑒𝑠𝑜</m:t>
                        </m:r>
                        <m:r>
                          <a:rPr lang="es-MX" sz="1200" b="0" i="1">
                            <a:latin typeface="Cambria Math" panose="02040503050406030204" pitchFamily="18" charset="0"/>
                          </a:rPr>
                          <m:t> </m:t>
                        </m:r>
                        <m:r>
                          <a:rPr lang="es-MX" sz="1200" b="0" i="1">
                            <a:latin typeface="Cambria Math" panose="02040503050406030204" pitchFamily="18" charset="0"/>
                          </a:rPr>
                          <m:t>𝑑𝑒</m:t>
                        </m:r>
                        <m:r>
                          <a:rPr lang="es-MX" sz="1200" b="0" i="1">
                            <a:latin typeface="Cambria Math" panose="02040503050406030204" pitchFamily="18" charset="0"/>
                          </a:rPr>
                          <m:t> </m:t>
                        </m:r>
                        <m:r>
                          <a:rPr lang="es-MX" sz="1200" b="0" i="1">
                            <a:latin typeface="Cambria Math" panose="02040503050406030204" pitchFamily="18" charset="0"/>
                          </a:rPr>
                          <m:t>𝑐𝑎𝑑𝑎</m:t>
                        </m:r>
                        <m:r>
                          <a:rPr lang="es-MX" sz="1200" b="0" i="1">
                            <a:latin typeface="Cambria Math" panose="02040503050406030204" pitchFamily="18" charset="0"/>
                          </a:rPr>
                          <m:t> </m:t>
                        </m:r>
                        <m:r>
                          <a:rPr lang="es-MX" sz="1200" b="0" i="1">
                            <a:latin typeface="Cambria Math" panose="02040503050406030204" pitchFamily="18" charset="0"/>
                          </a:rPr>
                          <m:t>𝑎𝑙𝑡𝑒𝑟𝑛𝑎𝑡𝑖𝑣𝑎</m:t>
                        </m:r>
                        <m:r>
                          <a:rPr lang="es-MX" sz="1200" b="0" i="1">
                            <a:latin typeface="Cambria Math" panose="02040503050406030204" pitchFamily="18" charset="0"/>
                          </a:rPr>
                          <m:t>)</m:t>
                        </m:r>
                      </m:num>
                      <m:den>
                        <m:r>
                          <a:rPr lang="es-MX" sz="1200" b="0" i="1">
                            <a:latin typeface="Cambria Math" panose="02040503050406030204" pitchFamily="18" charset="0"/>
                          </a:rPr>
                          <m:t> # </m:t>
                        </m:r>
                        <m:r>
                          <a:rPr lang="es-MX" sz="1200" b="0" i="1">
                            <a:latin typeface="Cambria Math" panose="02040503050406030204" pitchFamily="18" charset="0"/>
                          </a:rPr>
                          <m:t>𝑟𝑒𝑠𝑝𝑢𝑒𝑠𝑡𝑎𝑠</m:t>
                        </m:r>
                        <m:r>
                          <a:rPr lang="es-MX" sz="1200" b="0" i="1">
                            <a:latin typeface="Cambria Math" panose="02040503050406030204" pitchFamily="18" charset="0"/>
                          </a:rPr>
                          <m:t> (</m:t>
                        </m:r>
                        <m:r>
                          <a:rPr lang="es-MX" sz="1200" b="0" i="1">
                            <a:latin typeface="Cambria Math" panose="02040503050406030204" pitchFamily="18" charset="0"/>
                          </a:rPr>
                          <m:t>𝑃</m:t>
                        </m:r>
                        <m:r>
                          <a:rPr lang="es-MX" sz="1200" b="0" i="1">
                            <a:latin typeface="Cambria Math" panose="02040503050406030204" pitchFamily="18" charset="0"/>
                          </a:rPr>
                          <m:t>é</m:t>
                        </m:r>
                        <m:r>
                          <a:rPr lang="es-MX" sz="1200" b="0" i="1">
                            <a:latin typeface="Cambria Math" panose="02040503050406030204" pitchFamily="18" charset="0"/>
                          </a:rPr>
                          <m:t>𝑠𝑖𝑚𝑜</m:t>
                        </m:r>
                        <m:r>
                          <a:rPr lang="es-MX" sz="1200" b="0" i="1">
                            <a:latin typeface="Cambria Math" panose="02040503050406030204" pitchFamily="18" charset="0"/>
                          </a:rPr>
                          <m:t> </m:t>
                        </m:r>
                        <m:r>
                          <a:rPr lang="es-MX" sz="1200" b="0" i="1">
                            <a:latin typeface="Cambria Math" panose="02040503050406030204" pitchFamily="18" charset="0"/>
                          </a:rPr>
                          <m:t>𝑎</m:t>
                        </m:r>
                        <m:r>
                          <a:rPr lang="es-MX" sz="1200" b="0" i="1">
                            <a:latin typeface="Cambria Math" panose="02040503050406030204" pitchFamily="18" charset="0"/>
                          </a:rPr>
                          <m:t> </m:t>
                        </m:r>
                        <m:r>
                          <a:rPr lang="es-MX" sz="1200" b="0" i="1">
                            <a:latin typeface="Cambria Math" panose="02040503050406030204" pitchFamily="18" charset="0"/>
                          </a:rPr>
                          <m:t>𝐸𝑥𝑐𝑒𝑙𝑒𝑛𝑡𝑒</m:t>
                        </m:r>
                        <m:r>
                          <a:rPr lang="es-MX" sz="1200" b="0" i="1">
                            <a:latin typeface="Cambria Math" panose="02040503050406030204" pitchFamily="18" charset="0"/>
                          </a:rPr>
                          <m:t>)</m:t>
                        </m:r>
                      </m:den>
                    </m:f>
                  </m:oMath>
                </m:oMathPara>
              </a14:m>
              <a:endParaRPr lang="es-PE" sz="1100"/>
            </a:p>
          </xdr:txBody>
        </xdr:sp>
      </mc:Choice>
      <mc:Fallback xmlns="">
        <xdr:sp macro="" textlink="">
          <xdr:nvSpPr>
            <xdr:cNvPr id="2" name="CuadroTexto 1">
              <a:extLst>
                <a:ext uri="{FF2B5EF4-FFF2-40B4-BE49-F238E27FC236}">
                  <a16:creationId xmlns:a16="http://schemas.microsoft.com/office/drawing/2014/main" id="{0FEF1482-EA1A-4518-BA20-A275D6BBF4A9}"/>
                </a:ext>
              </a:extLst>
            </xdr:cNvPr>
            <xdr:cNvSpPr txBox="1"/>
          </xdr:nvSpPr>
          <xdr:spPr>
            <a:xfrm>
              <a:off x="5170286" y="7314881"/>
              <a:ext cx="4044953"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200" b="1" i="0">
                  <a:solidFill>
                    <a:srgbClr val="0000FF"/>
                  </a:solidFill>
                  <a:latin typeface="Cambria Math" panose="02040503050406030204" pitchFamily="18" charset="0"/>
                </a:rPr>
                <a:t>𝑷𝒊𝒍𝒂𝒓</a:t>
              </a:r>
              <a:r>
                <a:rPr lang="es-PE" sz="1200" i="0">
                  <a:latin typeface="Cambria Math" panose="02040503050406030204" pitchFamily="18" charset="0"/>
                </a:rPr>
                <a:t>=</a:t>
              </a:r>
              <a:r>
                <a:rPr lang="es-PE" sz="1100" i="0">
                  <a:solidFill>
                    <a:schemeClr val="tx1"/>
                  </a:solidFill>
                  <a:effectLst/>
                  <a:latin typeface="Cambria Math" panose="02040503050406030204" pitchFamily="18" charset="0"/>
                  <a:ea typeface="+mn-ea"/>
                  <a:cs typeface="+mn-cs"/>
                </a:rPr>
                <a:t>∑</a:t>
              </a:r>
              <a:r>
                <a:rPr lang="es-PE" sz="1200" i="0">
                  <a:solidFill>
                    <a:schemeClr val="tx1"/>
                  </a:solidFill>
                  <a:effectLst/>
                  <a:latin typeface="Cambria Math" panose="02040503050406030204" pitchFamily="18" charset="0"/>
                  <a:ea typeface="+mn-ea"/>
                  <a:cs typeface="+mn-cs"/>
                </a:rPr>
                <a:t> </a:t>
              </a:r>
              <a:r>
                <a:rPr lang="es-PE" sz="1100" b="0" i="0">
                  <a:solidFill>
                    <a:schemeClr val="tx1"/>
                  </a:solidFill>
                  <a:effectLst/>
                  <a:latin typeface="Cambria Math" panose="02040503050406030204" pitchFamily="18" charset="0"/>
                  <a:ea typeface="+mn-ea"/>
                  <a:cs typeface="+mn-cs"/>
                </a:rPr>
                <a:t> </a:t>
              </a:r>
              <a:r>
                <a:rPr lang="es-PE" sz="1200" b="0" i="0">
                  <a:solidFill>
                    <a:schemeClr val="tx1"/>
                  </a:solidFill>
                  <a:effectLst/>
                  <a:latin typeface="Cambria Math" panose="02040503050406030204" pitchFamily="18" charset="0"/>
                  <a:ea typeface="+mn-ea"/>
                  <a:cs typeface="+mn-cs"/>
                </a:rPr>
                <a:t>(</a:t>
              </a:r>
              <a:r>
                <a:rPr lang="es-PE"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a:t>
              </a:r>
              <a:r>
                <a:rPr lang="es-PE"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a:t>
              </a:r>
              <a:r>
                <a:rPr lang="es-PE" sz="1100" b="0" i="0">
                  <a:solidFill>
                    <a:schemeClr val="tx1"/>
                  </a:solidFill>
                  <a:effectLst/>
                  <a:latin typeface="Cambria Math" panose="02040503050406030204" pitchFamily="18" charset="0"/>
                  <a:ea typeface="+mn-ea"/>
                  <a:cs typeface="+mn-cs"/>
                </a:rPr>
                <a:t>〗</a:t>
              </a:r>
              <a:r>
                <a:rPr lang="es-MX" sz="1200" b="0" i="0">
                  <a:solidFill>
                    <a:schemeClr val="tx1"/>
                  </a:solidFill>
                  <a:effectLst/>
                  <a:latin typeface="Cambria Math" panose="02040503050406030204" pitchFamily="18" charset="0"/>
                  <a:ea typeface="+mn-ea"/>
                  <a:cs typeface="+mn-cs"/>
                </a:rPr>
                <a:t> </a:t>
              </a:r>
              <a:r>
                <a:rPr lang="es-MX" sz="1200" b="0" i="0">
                  <a:latin typeface="Cambria Math" panose="02040503050406030204" pitchFamily="18" charset="0"/>
                </a:rPr>
                <a:t> 𝑟𝑒𝑠𝑝𝑢𝑒𝑠𝑡𝑎𝑠  𝑥 𝑃𝑒𝑠𝑜 𝑑𝑒 𝑐𝑎𝑑𝑎 𝑎𝑙𝑡𝑒𝑟𝑛𝑎𝑡𝑖𝑣𝑎)</a:t>
              </a:r>
              <a:r>
                <a:rPr lang="es-PE" sz="1200" b="0" i="0">
                  <a:latin typeface="Cambria Math" panose="02040503050406030204" pitchFamily="18" charset="0"/>
                </a:rPr>
                <a:t>)/(</a:t>
              </a:r>
              <a:r>
                <a:rPr lang="es-MX" sz="1200" b="0" i="0">
                  <a:latin typeface="Cambria Math" panose="02040503050406030204" pitchFamily="18" charset="0"/>
                </a:rPr>
                <a:t> # 𝑟𝑒𝑠𝑝𝑢𝑒𝑠𝑡𝑎𝑠 (𝑃é𝑠𝑖𝑚𝑜 𝑎 𝐸𝑥𝑐𝑒𝑙𝑒𝑛𝑡𝑒)</a:t>
              </a:r>
              <a:r>
                <a:rPr lang="es-PE" sz="1200" b="0" i="0">
                  <a:latin typeface="Cambria Math" panose="02040503050406030204" pitchFamily="18" charset="0"/>
                </a:rPr>
                <a:t>)</a:t>
              </a:r>
              <a:endParaRPr lang="es-PE" sz="1100"/>
            </a:p>
          </xdr:txBody>
        </xdr:sp>
      </mc:Fallback>
    </mc:AlternateContent>
    <xdr:clientData/>
  </xdr:oneCellAnchor>
  <xdr:oneCellAnchor>
    <xdr:from>
      <xdr:col>12</xdr:col>
      <xdr:colOff>363008</xdr:colOff>
      <xdr:row>57</xdr:row>
      <xdr:rowOff>82550</xdr:rowOff>
    </xdr:from>
    <xdr:ext cx="2852576" cy="1020536"/>
    <mc:AlternateContent xmlns:mc="http://schemas.openxmlformats.org/markup-compatibility/2006" xmlns:a14="http://schemas.microsoft.com/office/drawing/2010/main">
      <mc:Choice Requires="a14">
        <xdr:sp macro="" textlink="">
          <xdr:nvSpPr>
            <xdr:cNvPr id="3" name="CuadroTexto 2">
              <a:extLst>
                <a:ext uri="{FF2B5EF4-FFF2-40B4-BE49-F238E27FC236}">
                  <a16:creationId xmlns:a16="http://schemas.microsoft.com/office/drawing/2014/main" id="{284FFE60-AC56-4952-AF60-500F7E73F0FD}"/>
                </a:ext>
              </a:extLst>
            </xdr:cNvPr>
            <xdr:cNvSpPr txBox="1"/>
          </xdr:nvSpPr>
          <xdr:spPr>
            <a:xfrm>
              <a:off x="6779048" y="10598150"/>
              <a:ext cx="2852576" cy="10205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PE" sz="1400" b="1" i="1">
                        <a:solidFill>
                          <a:srgbClr val="0000FF"/>
                        </a:solidFill>
                        <a:latin typeface="Cambria Math" panose="02040503050406030204" pitchFamily="18" charset="0"/>
                        <a:ea typeface="Cambria Math" panose="02040503050406030204" pitchFamily="18" charset="0"/>
                      </a:rPr>
                      <m:t>𝑷</m:t>
                    </m:r>
                    <m:r>
                      <a:rPr lang="es-MX" sz="1400" b="1" i="1">
                        <a:solidFill>
                          <a:srgbClr val="0000FF"/>
                        </a:solidFill>
                        <a:latin typeface="Cambria Math" panose="02040503050406030204" pitchFamily="18" charset="0"/>
                        <a:ea typeface="Cambria Math" panose="02040503050406030204" pitchFamily="18" charset="0"/>
                      </a:rPr>
                      <m:t>𝒊𝒍𝒂𝒓</m:t>
                    </m:r>
                    <m:r>
                      <a:rPr lang="es-PE" sz="1400" i="1">
                        <a:latin typeface="Cambria Math" panose="02040503050406030204" pitchFamily="18" charset="0"/>
                        <a:ea typeface="Cambria Math" panose="02040503050406030204" pitchFamily="18" charset="0"/>
                      </a:rPr>
                      <m:t>=</m:t>
                    </m:r>
                    <m:f>
                      <m:fPr>
                        <m:ctrlPr>
                          <a:rPr lang="es-PE" sz="1400" i="1">
                            <a:solidFill>
                              <a:srgbClr val="836967"/>
                            </a:solidFill>
                            <a:latin typeface="Cambria Math" panose="02040503050406030204" pitchFamily="18" charset="0"/>
                            <a:ea typeface="Cambria Math" panose="02040503050406030204" pitchFamily="18" charset="0"/>
                          </a:rPr>
                        </m:ctrlPr>
                      </m:fPr>
                      <m:num>
                        <m:r>
                          <a:rPr lang="es-PE" sz="1400" i="1">
                            <a:latin typeface="Cambria Math" panose="02040503050406030204" pitchFamily="18" charset="0"/>
                            <a:ea typeface="Cambria Math" panose="02040503050406030204" pitchFamily="18" charset="0"/>
                          </a:rPr>
                          <m:t>1</m:t>
                        </m:r>
                      </m:num>
                      <m:den>
                        <m:r>
                          <a:rPr lang="es-PE" sz="1400" i="1">
                            <a:latin typeface="Cambria Math" panose="02040503050406030204" pitchFamily="18" charset="0"/>
                            <a:ea typeface="Cambria Math" panose="02040503050406030204" pitchFamily="18" charset="0"/>
                          </a:rPr>
                          <m:t>𝑚</m:t>
                        </m:r>
                      </m:den>
                    </m:f>
                    <m:nary>
                      <m:naryPr>
                        <m:chr m:val="∑"/>
                        <m:limLoc m:val="undOvr"/>
                        <m:grow m:val="on"/>
                        <m:ctrlPr>
                          <a:rPr lang="es-PE" sz="1400" i="1">
                            <a:latin typeface="Cambria Math" panose="02040503050406030204" pitchFamily="18" charset="0"/>
                            <a:ea typeface="Cambria Math" panose="02040503050406030204" pitchFamily="18" charset="0"/>
                          </a:rPr>
                        </m:ctrlPr>
                      </m:naryPr>
                      <m:sub>
                        <m:r>
                          <a:rPr lang="es-PE" sz="1400" i="1">
                            <a:latin typeface="Cambria Math" panose="02040503050406030204" pitchFamily="18" charset="0"/>
                            <a:ea typeface="Cambria Math" panose="02040503050406030204" pitchFamily="18" charset="0"/>
                          </a:rPr>
                          <m:t>𝐽</m:t>
                        </m:r>
                        <m:r>
                          <a:rPr lang="es-PE" sz="1400" i="1">
                            <a:latin typeface="Cambria Math" panose="02040503050406030204" pitchFamily="18" charset="0"/>
                            <a:ea typeface="Cambria Math" panose="02040503050406030204" pitchFamily="18" charset="0"/>
                          </a:rPr>
                          <m:t>=1</m:t>
                        </m:r>
                      </m:sub>
                      <m:sup>
                        <m:r>
                          <a:rPr lang="es-PE" sz="1400" i="1">
                            <a:latin typeface="Cambria Math" panose="02040503050406030204" pitchFamily="18" charset="0"/>
                            <a:ea typeface="Cambria Math" panose="02040503050406030204" pitchFamily="18" charset="0"/>
                          </a:rPr>
                          <m:t>𝑚</m:t>
                        </m:r>
                      </m:sup>
                      <m:e>
                        <m:d>
                          <m:dPr>
                            <m:ctrlPr>
                              <a:rPr lang="es-PE" sz="1400" i="1">
                                <a:solidFill>
                                  <a:srgbClr val="836967"/>
                                </a:solidFill>
                                <a:latin typeface="Cambria Math" panose="02040503050406030204" pitchFamily="18" charset="0"/>
                                <a:ea typeface="Cambria Math" panose="02040503050406030204" pitchFamily="18" charset="0"/>
                              </a:rPr>
                            </m:ctrlPr>
                          </m:dPr>
                          <m:e>
                            <m:f>
                              <m:fPr>
                                <m:ctrlPr>
                                  <a:rPr lang="es-PE" sz="1400" i="1">
                                    <a:solidFill>
                                      <a:srgbClr val="836967"/>
                                    </a:solidFill>
                                    <a:latin typeface="Cambria Math" panose="02040503050406030204" pitchFamily="18" charset="0"/>
                                    <a:ea typeface="Cambria Math" panose="02040503050406030204" pitchFamily="18" charset="0"/>
                                  </a:rPr>
                                </m:ctrlPr>
                              </m:fPr>
                              <m:num>
                                <m:nary>
                                  <m:naryPr>
                                    <m:chr m:val="∑"/>
                                    <m:limLoc m:val="undOvr"/>
                                    <m:grow m:val="on"/>
                                    <m:ctrlPr>
                                      <a:rPr lang="es-PE" sz="1400" i="1">
                                        <a:latin typeface="Cambria Math" panose="02040503050406030204" pitchFamily="18" charset="0"/>
                                        <a:ea typeface="Cambria Math" panose="02040503050406030204" pitchFamily="18" charset="0"/>
                                      </a:rPr>
                                    </m:ctrlPr>
                                  </m:naryPr>
                                  <m:sub>
                                    <m:r>
                                      <a:rPr lang="es-PE" sz="1400" i="1">
                                        <a:latin typeface="Cambria Math" panose="02040503050406030204" pitchFamily="18" charset="0"/>
                                        <a:ea typeface="Cambria Math" panose="02040503050406030204" pitchFamily="18" charset="0"/>
                                      </a:rPr>
                                      <m:t>𝑖</m:t>
                                    </m:r>
                                    <m:r>
                                      <a:rPr lang="es-PE" sz="1400" i="1">
                                        <a:latin typeface="Cambria Math" panose="02040503050406030204" pitchFamily="18" charset="0"/>
                                        <a:ea typeface="Cambria Math" panose="02040503050406030204" pitchFamily="18" charset="0"/>
                                      </a:rPr>
                                      <m:t>=0</m:t>
                                    </m:r>
                                  </m:sub>
                                  <m:sup>
                                    <m:r>
                                      <a:rPr lang="es-MX" sz="1400" b="0" i="1">
                                        <a:latin typeface="Cambria Math" panose="02040503050406030204" pitchFamily="18" charset="0"/>
                                        <a:ea typeface="Cambria Math" panose="02040503050406030204" pitchFamily="18" charset="0"/>
                                      </a:rPr>
                                      <m:t>5</m:t>
                                    </m:r>
                                  </m:sup>
                                  <m:e>
                                    <m:d>
                                      <m:dPr>
                                        <m:ctrlPr>
                                          <a:rPr lang="es-PE" sz="1400" i="1">
                                            <a:solidFill>
                                              <a:srgbClr val="836967"/>
                                            </a:solidFill>
                                            <a:latin typeface="Cambria Math" panose="02040503050406030204" pitchFamily="18" charset="0"/>
                                            <a:ea typeface="Cambria Math" panose="02040503050406030204" pitchFamily="18" charset="0"/>
                                          </a:rPr>
                                        </m:ctrlPr>
                                      </m:dPr>
                                      <m:e>
                                        <m:sSub>
                                          <m:sSubPr>
                                            <m:ctrlPr>
                                              <a:rPr lang="es-PE" sz="1400" i="1">
                                                <a:solidFill>
                                                  <a:srgbClr val="836967"/>
                                                </a:solidFill>
                                                <a:latin typeface="Cambria Math" panose="02040503050406030204" pitchFamily="18" charset="0"/>
                                                <a:ea typeface="Cambria Math" panose="02040503050406030204" pitchFamily="18" charset="0"/>
                                              </a:rPr>
                                            </m:ctrlPr>
                                          </m:sSubPr>
                                          <m:e>
                                            <m:r>
                                              <a:rPr lang="es-PE" sz="1400" i="1">
                                                <a:latin typeface="Cambria Math" panose="02040503050406030204" pitchFamily="18" charset="0"/>
                                                <a:ea typeface="Cambria Math" panose="02040503050406030204" pitchFamily="18" charset="0"/>
                                              </a:rPr>
                                              <m:t>𝑟</m:t>
                                            </m:r>
                                          </m:e>
                                          <m:sub>
                                            <m:r>
                                              <a:rPr lang="es-PE" sz="1400" i="1">
                                                <a:latin typeface="Cambria Math" panose="02040503050406030204" pitchFamily="18" charset="0"/>
                                                <a:ea typeface="Cambria Math" panose="02040503050406030204" pitchFamily="18" charset="0"/>
                                              </a:rPr>
                                              <m:t>𝑖</m:t>
                                            </m:r>
                                            <m:r>
                                              <a:rPr lang="es-MX" sz="1400" b="0" i="1">
                                                <a:latin typeface="Cambria Math" panose="02040503050406030204" pitchFamily="18" charset="0"/>
                                                <a:ea typeface="Cambria Math" panose="02040503050406030204" pitchFamily="18" charset="0"/>
                                              </a:rPr>
                                              <m:t>𝑗</m:t>
                                            </m:r>
                                          </m:sub>
                                        </m:sSub>
                                        <m:r>
                                          <a:rPr lang="es-MX" sz="1400" b="0" i="1">
                                            <a:latin typeface="Cambria Math" panose="02040503050406030204" pitchFamily="18" charset="0"/>
                                            <a:ea typeface="Cambria Math" panose="02040503050406030204" pitchFamily="18" charset="0"/>
                                          </a:rPr>
                                          <m:t> </m:t>
                                        </m:r>
                                        <m:r>
                                          <a:rPr lang="es-PE" sz="1400" i="1">
                                            <a:latin typeface="Cambria Math" panose="02040503050406030204" pitchFamily="18" charset="0"/>
                                            <a:ea typeface="Cambria Math" panose="02040503050406030204" pitchFamily="18" charset="0"/>
                                          </a:rPr>
                                          <m:t>𝑥</m:t>
                                        </m:r>
                                        <m:r>
                                          <a:rPr lang="es-MX" sz="1400" b="0" i="1">
                                            <a:latin typeface="Cambria Math" panose="02040503050406030204" pitchFamily="18" charset="0"/>
                                            <a:ea typeface="Cambria Math" panose="02040503050406030204" pitchFamily="18" charset="0"/>
                                          </a:rPr>
                                          <m:t> </m:t>
                                        </m:r>
                                        <m:sSub>
                                          <m:sSubPr>
                                            <m:ctrlPr>
                                              <a:rPr lang="es-PE" sz="1400" i="1">
                                                <a:solidFill>
                                                  <a:srgbClr val="836967"/>
                                                </a:solidFill>
                                                <a:latin typeface="Cambria Math" panose="02040503050406030204" pitchFamily="18" charset="0"/>
                                                <a:ea typeface="Cambria Math" panose="02040503050406030204" pitchFamily="18" charset="0"/>
                                              </a:rPr>
                                            </m:ctrlPr>
                                          </m:sSubPr>
                                          <m:e>
                                            <m:r>
                                              <a:rPr lang="es-PE" sz="1400" i="1">
                                                <a:latin typeface="Cambria Math" panose="02040503050406030204" pitchFamily="18" charset="0"/>
                                                <a:ea typeface="Cambria Math" panose="02040503050406030204" pitchFamily="18" charset="0"/>
                                              </a:rPr>
                                              <m:t>𝑃</m:t>
                                            </m:r>
                                          </m:e>
                                          <m:sub>
                                            <m:r>
                                              <a:rPr lang="es-PE" sz="1400" i="1">
                                                <a:latin typeface="Cambria Math" panose="02040503050406030204" pitchFamily="18" charset="0"/>
                                                <a:ea typeface="Cambria Math" panose="02040503050406030204" pitchFamily="18" charset="0"/>
                                              </a:rPr>
                                              <m:t>𝑖</m:t>
                                            </m:r>
                                          </m:sub>
                                        </m:sSub>
                                      </m:e>
                                    </m:d>
                                  </m:e>
                                </m:nary>
                              </m:num>
                              <m:den>
                                <m:r>
                                  <a:rPr lang="es-PE" sz="1400" i="1">
                                    <a:latin typeface="Cambria Math" panose="02040503050406030204" pitchFamily="18" charset="0"/>
                                    <a:ea typeface="Cambria Math" panose="02040503050406030204" pitchFamily="18" charset="0"/>
                                  </a:rPr>
                                  <m:t>𝑁</m:t>
                                </m:r>
                              </m:den>
                            </m:f>
                          </m:e>
                        </m:d>
                      </m:e>
                    </m:nary>
                  </m:oMath>
                </m:oMathPara>
              </a14:m>
              <a:endParaRPr lang="es-PE" sz="1200">
                <a:latin typeface="Cambria Math" panose="02040503050406030204" pitchFamily="18" charset="0"/>
                <a:ea typeface="Cambria Math" panose="02040503050406030204" pitchFamily="18" charset="0"/>
              </a:endParaRPr>
            </a:p>
          </xdr:txBody>
        </xdr:sp>
      </mc:Choice>
      <mc:Fallback xmlns="">
        <xdr:sp macro="" textlink="">
          <xdr:nvSpPr>
            <xdr:cNvPr id="3" name="CuadroTexto 2">
              <a:extLst>
                <a:ext uri="{FF2B5EF4-FFF2-40B4-BE49-F238E27FC236}">
                  <a16:creationId xmlns:a16="http://schemas.microsoft.com/office/drawing/2014/main" id="{284FFE60-AC56-4952-AF60-500F7E73F0FD}"/>
                </a:ext>
              </a:extLst>
            </xdr:cNvPr>
            <xdr:cNvSpPr txBox="1"/>
          </xdr:nvSpPr>
          <xdr:spPr>
            <a:xfrm>
              <a:off x="6779048" y="10598150"/>
              <a:ext cx="2852576" cy="10205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PE" sz="1400" b="1" i="0">
                  <a:solidFill>
                    <a:srgbClr val="0000FF"/>
                  </a:solidFill>
                  <a:latin typeface="Cambria Math" panose="02040503050406030204" pitchFamily="18" charset="0"/>
                  <a:ea typeface="Cambria Math" panose="02040503050406030204" pitchFamily="18" charset="0"/>
                </a:rPr>
                <a:t>𝑷</a:t>
              </a:r>
              <a:r>
                <a:rPr lang="es-MX" sz="1400" b="1" i="0">
                  <a:solidFill>
                    <a:srgbClr val="0000FF"/>
                  </a:solidFill>
                  <a:latin typeface="Cambria Math" panose="02040503050406030204" pitchFamily="18" charset="0"/>
                  <a:ea typeface="Cambria Math" panose="02040503050406030204" pitchFamily="18" charset="0"/>
                </a:rPr>
                <a:t>𝒊𝒍𝒂𝒓</a:t>
              </a:r>
              <a:r>
                <a:rPr lang="es-PE" sz="1400" i="0">
                  <a:latin typeface="Cambria Math" panose="02040503050406030204" pitchFamily="18" charset="0"/>
                  <a:ea typeface="Cambria Math" panose="02040503050406030204" pitchFamily="18" charset="0"/>
                </a:rPr>
                <a:t>=1</a:t>
              </a:r>
              <a:r>
                <a:rPr lang="es-PE" sz="1400" i="0">
                  <a:solidFill>
                    <a:srgbClr val="836967"/>
                  </a:solidFill>
                  <a:latin typeface="Cambria Math" panose="02040503050406030204" pitchFamily="18" charset="0"/>
                  <a:ea typeface="Cambria Math" panose="02040503050406030204" pitchFamily="18" charset="0"/>
                </a:rPr>
                <a:t>/</a:t>
              </a:r>
              <a:r>
                <a:rPr lang="es-PE" sz="1400" i="0">
                  <a:latin typeface="Cambria Math" panose="02040503050406030204" pitchFamily="18" charset="0"/>
                  <a:ea typeface="Cambria Math" panose="02040503050406030204" pitchFamily="18" charset="0"/>
                </a:rPr>
                <a:t>𝑚 ∑129_(𝐽=1)^𝑚▒</a:t>
              </a:r>
              <a:r>
                <a:rPr lang="es-PE" sz="1400" i="0">
                  <a:solidFill>
                    <a:srgbClr val="836967"/>
                  </a:solidFill>
                  <a:latin typeface="Cambria Math" panose="02040503050406030204" pitchFamily="18" charset="0"/>
                  <a:ea typeface="Cambria Math" panose="02040503050406030204" pitchFamily="18" charset="0"/>
                </a:rPr>
                <a:t>((∑129_(</a:t>
              </a:r>
              <a:r>
                <a:rPr lang="es-PE" sz="1400" i="0">
                  <a:latin typeface="Cambria Math" panose="02040503050406030204" pitchFamily="18" charset="0"/>
                  <a:ea typeface="Cambria Math" panose="02040503050406030204" pitchFamily="18" charset="0"/>
                </a:rPr>
                <a:t>𝑖=0)</a:t>
              </a:r>
              <a:r>
                <a:rPr lang="es-MX" sz="1400" b="0" i="0">
                  <a:latin typeface="Cambria Math" panose="02040503050406030204" pitchFamily="18" charset="0"/>
                  <a:ea typeface="Cambria Math" panose="02040503050406030204" pitchFamily="18" charset="0"/>
                </a:rPr>
                <a:t>^5</a:t>
              </a:r>
              <a:r>
                <a:rPr lang="es-PE" sz="1400" b="0" i="0">
                  <a:latin typeface="Cambria Math" panose="02040503050406030204" pitchFamily="18" charset="0"/>
                  <a:ea typeface="Cambria Math" panose="02040503050406030204" pitchFamily="18" charset="0"/>
                </a:rPr>
                <a:t>▒</a:t>
              </a:r>
              <a:r>
                <a:rPr lang="es-PE" sz="1400" b="0" i="0">
                  <a:solidFill>
                    <a:srgbClr val="836967"/>
                  </a:solidFill>
                  <a:latin typeface="Cambria Math" panose="02040503050406030204" pitchFamily="18" charset="0"/>
                  <a:ea typeface="Cambria Math" panose="02040503050406030204" pitchFamily="18" charset="0"/>
                </a:rPr>
                <a:t>(</a:t>
              </a:r>
              <a:r>
                <a:rPr lang="es-PE" sz="1400" i="0">
                  <a:latin typeface="Cambria Math" panose="02040503050406030204" pitchFamily="18" charset="0"/>
                  <a:ea typeface="Cambria Math" panose="02040503050406030204" pitchFamily="18" charset="0"/>
                </a:rPr>
                <a:t>𝑟</a:t>
              </a:r>
              <a:r>
                <a:rPr lang="es-PE" sz="1400" i="0">
                  <a:solidFill>
                    <a:srgbClr val="836967"/>
                  </a:solidFill>
                  <a:latin typeface="Cambria Math" panose="02040503050406030204" pitchFamily="18" charset="0"/>
                  <a:ea typeface="Cambria Math" panose="02040503050406030204" pitchFamily="18" charset="0"/>
                </a:rPr>
                <a:t>_</a:t>
              </a:r>
              <a:r>
                <a:rPr lang="es-PE" sz="1400" i="0">
                  <a:latin typeface="Cambria Math" panose="02040503050406030204" pitchFamily="18" charset="0"/>
                  <a:ea typeface="Cambria Math" panose="02040503050406030204" pitchFamily="18" charset="0"/>
                </a:rPr>
                <a:t>𝑖</a:t>
              </a:r>
              <a:r>
                <a:rPr lang="es-MX" sz="1400" b="0" i="0">
                  <a:latin typeface="Cambria Math" panose="02040503050406030204" pitchFamily="18" charset="0"/>
                  <a:ea typeface="Cambria Math" panose="02040503050406030204" pitchFamily="18" charset="0"/>
                </a:rPr>
                <a:t>𝑗  </a:t>
              </a:r>
              <a:r>
                <a:rPr lang="es-PE" sz="1400" i="0">
                  <a:latin typeface="Cambria Math" panose="02040503050406030204" pitchFamily="18" charset="0"/>
                  <a:ea typeface="Cambria Math" panose="02040503050406030204" pitchFamily="18" charset="0"/>
                </a:rPr>
                <a:t>𝑥</a:t>
              </a:r>
              <a:r>
                <a:rPr lang="es-MX" sz="1400" b="0" i="0">
                  <a:latin typeface="Cambria Math" panose="02040503050406030204" pitchFamily="18" charset="0"/>
                  <a:ea typeface="Cambria Math" panose="02040503050406030204" pitchFamily="18" charset="0"/>
                </a:rPr>
                <a:t> </a:t>
              </a:r>
              <a:r>
                <a:rPr lang="es-PE" sz="1400" i="0">
                  <a:latin typeface="Cambria Math" panose="02040503050406030204" pitchFamily="18" charset="0"/>
                  <a:ea typeface="Cambria Math" panose="02040503050406030204" pitchFamily="18" charset="0"/>
                </a:rPr>
                <a:t>𝑃</a:t>
              </a:r>
              <a:r>
                <a:rPr lang="es-PE" sz="1400" i="0">
                  <a:solidFill>
                    <a:srgbClr val="836967"/>
                  </a:solidFill>
                  <a:latin typeface="Cambria Math" panose="02040503050406030204" pitchFamily="18" charset="0"/>
                  <a:ea typeface="Cambria Math" panose="02040503050406030204" pitchFamily="18" charset="0"/>
                </a:rPr>
                <a:t>_</a:t>
              </a:r>
              <a:r>
                <a:rPr lang="es-PE" sz="1400" i="0">
                  <a:latin typeface="Cambria Math" panose="02040503050406030204" pitchFamily="18" charset="0"/>
                  <a:ea typeface="Cambria Math" panose="02040503050406030204" pitchFamily="18" charset="0"/>
                </a:rPr>
                <a:t>𝑖 ) </a:t>
              </a:r>
              <a:r>
                <a:rPr lang="es-PE" sz="1400" i="0">
                  <a:solidFill>
                    <a:srgbClr val="836967"/>
                  </a:solidFill>
                  <a:latin typeface="Cambria Math" panose="02040503050406030204" pitchFamily="18" charset="0"/>
                  <a:ea typeface="Cambria Math" panose="02040503050406030204" pitchFamily="18" charset="0"/>
                </a:rPr>
                <a:t>)/</a:t>
              </a:r>
              <a:r>
                <a:rPr lang="es-PE" sz="1400" i="0">
                  <a:latin typeface="Cambria Math" panose="02040503050406030204" pitchFamily="18" charset="0"/>
                  <a:ea typeface="Cambria Math" panose="02040503050406030204" pitchFamily="18" charset="0"/>
                </a:rPr>
                <a:t>𝑁) </a:t>
              </a:r>
              <a:endParaRPr lang="es-PE" sz="1200">
                <a:latin typeface="Cambria Math" panose="02040503050406030204" pitchFamily="18" charset="0"/>
                <a:ea typeface="Cambria Math" panose="02040503050406030204" pitchFamily="18" charset="0"/>
              </a:endParaRPr>
            </a:p>
          </xdr:txBody>
        </xdr:sp>
      </mc:Fallback>
    </mc:AlternateContent>
    <xdr:clientData/>
  </xdr:oneCellAnchor>
  <xdr:twoCellAnchor>
    <xdr:from>
      <xdr:col>18</xdr:col>
      <xdr:colOff>232833</xdr:colOff>
      <xdr:row>56</xdr:row>
      <xdr:rowOff>179916</xdr:rowOff>
    </xdr:from>
    <xdr:to>
      <xdr:col>26</xdr:col>
      <xdr:colOff>317500</xdr:colOff>
      <xdr:row>63</xdr:row>
      <xdr:rowOff>21168</xdr:rowOff>
    </xdr:to>
    <xdr:sp macro="" textlink="">
      <xdr:nvSpPr>
        <xdr:cNvPr id="4" name="Rectángulo: esquinas redondeadas 3">
          <a:extLst>
            <a:ext uri="{FF2B5EF4-FFF2-40B4-BE49-F238E27FC236}">
              <a16:creationId xmlns:a16="http://schemas.microsoft.com/office/drawing/2014/main" id="{691EEC02-4FD0-4414-B3B0-603D54CDF526}"/>
            </a:ext>
          </a:extLst>
        </xdr:cNvPr>
        <xdr:cNvSpPr/>
      </xdr:nvSpPr>
      <xdr:spPr>
        <a:xfrm>
          <a:off x="9719733" y="10497396"/>
          <a:ext cx="4108027" cy="113665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100" i="0">
              <a:solidFill>
                <a:sysClr val="windowText" lastClr="000000"/>
              </a:solidFill>
              <a:latin typeface="Cambria Math" panose="02040503050406030204" pitchFamily="18" charset="0"/>
              <a:ea typeface="Cambria Math" panose="02040503050406030204" pitchFamily="18" charset="0"/>
            </a:rPr>
            <a:t>r</a:t>
          </a:r>
          <a:r>
            <a:rPr lang="es-PE" sz="1100" i="0" baseline="-25000">
              <a:solidFill>
                <a:sysClr val="windowText" lastClr="000000"/>
              </a:solidFill>
              <a:latin typeface="Cambria Math" panose="02040503050406030204" pitchFamily="18" charset="0"/>
              <a:ea typeface="Cambria Math" panose="02040503050406030204" pitchFamily="18" charset="0"/>
            </a:rPr>
            <a:t>i</a:t>
          </a:r>
          <a:r>
            <a:rPr lang="es-PE" sz="1100" i="0">
              <a:solidFill>
                <a:sysClr val="windowText" lastClr="000000"/>
              </a:solidFill>
              <a:latin typeface="Cambria Math" panose="02040503050406030204" pitchFamily="18" charset="0"/>
              <a:ea typeface="Cambria Math" panose="02040503050406030204" pitchFamily="18" charset="0"/>
            </a:rPr>
            <a:t> : # de respuestas para</a:t>
          </a:r>
          <a:r>
            <a:rPr lang="es-PE" sz="1100" i="0" baseline="0">
              <a:solidFill>
                <a:sysClr val="windowText" lastClr="000000"/>
              </a:solidFill>
              <a:latin typeface="Cambria Math" panose="02040503050406030204" pitchFamily="18" charset="0"/>
              <a:ea typeface="Cambria Math" panose="02040503050406030204" pitchFamily="18" charset="0"/>
            </a:rPr>
            <a:t> la opción </a:t>
          </a:r>
          <a:r>
            <a:rPr lang="es-PE" sz="1100" b="0" i="0" baseline="0">
              <a:solidFill>
                <a:sysClr val="windowText" lastClr="000000"/>
              </a:solidFill>
              <a:latin typeface="Cambria Math" panose="02040503050406030204" pitchFamily="18" charset="0"/>
              <a:ea typeface="Cambria Math" panose="02040503050406030204" pitchFamily="18" charset="0"/>
            </a:rPr>
            <a:t>i</a:t>
          </a:r>
          <a:endParaRPr lang="es-PE" sz="1100" i="0">
            <a:solidFill>
              <a:sysClr val="windowText" lastClr="000000"/>
            </a:solidFill>
            <a:latin typeface="Cambria Math" panose="02040503050406030204" pitchFamily="18" charset="0"/>
            <a:ea typeface="Cambria Math" panose="02040503050406030204" pitchFamily="18" charset="0"/>
          </a:endParaRPr>
        </a:p>
        <a:p>
          <a:pPr algn="l"/>
          <a:r>
            <a:rPr lang="es-PE" sz="1100" i="0">
              <a:solidFill>
                <a:sysClr val="windowText" lastClr="000000"/>
              </a:solidFill>
              <a:latin typeface="Cambria Math" panose="02040503050406030204" pitchFamily="18" charset="0"/>
              <a:ea typeface="Cambria Math" panose="02040503050406030204" pitchFamily="18" charset="0"/>
            </a:rPr>
            <a:t>P</a:t>
          </a:r>
          <a:r>
            <a:rPr lang="es-PE" sz="1100" i="0" cap="none" baseline="-25000">
              <a:solidFill>
                <a:sysClr val="windowText" lastClr="000000"/>
              </a:solidFill>
              <a:latin typeface="Cambria Math" panose="02040503050406030204" pitchFamily="18" charset="0"/>
              <a:ea typeface="Cambria Math" panose="02040503050406030204" pitchFamily="18" charset="0"/>
            </a:rPr>
            <a:t>i</a:t>
          </a:r>
          <a:r>
            <a:rPr lang="es-PE" sz="1100" i="0">
              <a:solidFill>
                <a:sysClr val="windowText" lastClr="000000"/>
              </a:solidFill>
              <a:latin typeface="Cambria Math" panose="02040503050406030204" pitchFamily="18" charset="0"/>
              <a:ea typeface="Cambria Math" panose="02040503050406030204" pitchFamily="18" charset="0"/>
            </a:rPr>
            <a:t> :  Peso</a:t>
          </a:r>
          <a:r>
            <a:rPr lang="es-PE" sz="1100" i="0" baseline="0">
              <a:solidFill>
                <a:sysClr val="windowText" lastClr="000000"/>
              </a:solidFill>
              <a:latin typeface="Cambria Math" panose="02040503050406030204" pitchFamily="18" charset="0"/>
              <a:ea typeface="Cambria Math" panose="02040503050406030204" pitchFamily="18" charset="0"/>
            </a:rPr>
            <a:t> de la opción i (que puede variar de 0 a 5)</a:t>
          </a:r>
          <a:endParaRPr lang="es-PE" sz="1100" i="0">
            <a:solidFill>
              <a:sysClr val="windowText" lastClr="000000"/>
            </a:solidFill>
            <a:latin typeface="Cambria Math" panose="02040503050406030204" pitchFamily="18" charset="0"/>
            <a:ea typeface="Cambria Math" panose="02040503050406030204" pitchFamily="18" charset="0"/>
          </a:endParaRPr>
        </a:p>
        <a:p>
          <a:pPr algn="l"/>
          <a:r>
            <a:rPr lang="es-PE" sz="1100" i="0">
              <a:solidFill>
                <a:sysClr val="windowText" lastClr="000000"/>
              </a:solidFill>
              <a:latin typeface="Cambria Math" panose="02040503050406030204" pitchFamily="18" charset="0"/>
              <a:ea typeface="Cambria Math" panose="02040503050406030204" pitchFamily="18" charset="0"/>
            </a:rPr>
            <a:t>N  : Total de respuestas de todas las preguntas</a:t>
          </a:r>
        </a:p>
        <a:p>
          <a:pPr algn="l"/>
          <a:r>
            <a:rPr lang="es-PE" sz="1100" i="0">
              <a:solidFill>
                <a:sysClr val="windowText" lastClr="000000"/>
              </a:solidFill>
              <a:latin typeface="Cambria Math" panose="02040503050406030204" pitchFamily="18" charset="0"/>
              <a:ea typeface="Cambria Math" panose="02040503050406030204" pitchFamily="18" charset="0"/>
            </a:rPr>
            <a:t>m :</a:t>
          </a:r>
          <a:r>
            <a:rPr lang="es-PE" sz="1100" i="0" baseline="0">
              <a:solidFill>
                <a:sysClr val="windowText" lastClr="000000"/>
              </a:solidFill>
              <a:latin typeface="Cambria Math" panose="02040503050406030204" pitchFamily="18" charset="0"/>
              <a:ea typeface="Cambria Math" panose="02040503050406030204" pitchFamily="18" charset="0"/>
            </a:rPr>
            <a:t> Cantidad de preguntas de un Pilar</a:t>
          </a:r>
          <a:endParaRPr lang="es-PE" sz="1100" i="0">
            <a:solidFill>
              <a:sysClr val="windowText" lastClr="000000"/>
            </a:solidFill>
            <a:latin typeface="Cambria Math" panose="02040503050406030204" pitchFamily="18" charset="0"/>
            <a:ea typeface="Cambria Math" panose="02040503050406030204" pitchFamily="18" charset="0"/>
          </a:endParaRPr>
        </a:p>
        <a:p>
          <a:pPr algn="l"/>
          <a:r>
            <a:rPr lang="es-PE" sz="1100" i="0">
              <a:solidFill>
                <a:sysClr val="windowText" lastClr="000000"/>
              </a:solidFill>
              <a:latin typeface="Cambria Math" panose="02040503050406030204" pitchFamily="18" charset="0"/>
              <a:ea typeface="Cambria Math" panose="02040503050406030204" pitchFamily="18" charset="0"/>
            </a:rPr>
            <a:t>j    </a:t>
          </a:r>
          <a:r>
            <a:rPr lang="es-PE" sz="1100" i="0" baseline="0">
              <a:solidFill>
                <a:sysClr val="windowText" lastClr="000000"/>
              </a:solidFill>
              <a:latin typeface="Cambria Math" panose="02040503050406030204" pitchFamily="18" charset="0"/>
              <a:ea typeface="Cambria Math" panose="02040503050406030204" pitchFamily="18" charset="0"/>
            </a:rPr>
            <a:t>: # de pregunta</a:t>
          </a:r>
          <a:endParaRPr lang="es-PE" sz="1100" i="0">
            <a:solidFill>
              <a:sysClr val="windowText" lastClr="000000"/>
            </a:solidFill>
            <a:latin typeface="Cambria Math" panose="02040503050406030204" pitchFamily="18" charset="0"/>
            <a:ea typeface="Cambria Math" panose="02040503050406030204" pitchFamily="18" charset="0"/>
          </a:endParaRPr>
        </a:p>
      </xdr:txBody>
    </xdr:sp>
    <xdr:clientData/>
  </xdr:twoCellAnchor>
  <xdr:twoCellAnchor editAs="oneCell">
    <xdr:from>
      <xdr:col>27</xdr:col>
      <xdr:colOff>159487</xdr:colOff>
      <xdr:row>6</xdr:row>
      <xdr:rowOff>156848</xdr:rowOff>
    </xdr:from>
    <xdr:to>
      <xdr:col>32</xdr:col>
      <xdr:colOff>265813</xdr:colOff>
      <xdr:row>11</xdr:row>
      <xdr:rowOff>35442</xdr:rowOff>
    </xdr:to>
    <xdr:pic>
      <xdr:nvPicPr>
        <xdr:cNvPr id="5" name="Imagen 4">
          <a:extLst>
            <a:ext uri="{FF2B5EF4-FFF2-40B4-BE49-F238E27FC236}">
              <a16:creationId xmlns:a16="http://schemas.microsoft.com/office/drawing/2014/main" id="{EC0257CB-F0CB-0CD1-CE44-2E5FAA8C63D7}"/>
            </a:ext>
          </a:extLst>
        </xdr:cNvPr>
        <xdr:cNvPicPr>
          <a:picLocks noChangeAspect="1"/>
        </xdr:cNvPicPr>
      </xdr:nvPicPr>
      <xdr:blipFill rotWithShape="1">
        <a:blip xmlns:r="http://schemas.openxmlformats.org/officeDocument/2006/relationships" r:embed="rId1"/>
        <a:srcRect b="73299"/>
        <a:stretch/>
      </xdr:blipFill>
      <xdr:spPr>
        <a:xfrm>
          <a:off x="14256487" y="1317569"/>
          <a:ext cx="2631559" cy="817803"/>
        </a:xfrm>
        <a:prstGeom prst="rect">
          <a:avLst/>
        </a:prstGeom>
      </xdr:spPr>
    </xdr:pic>
    <xdr:clientData/>
  </xdr:twoCellAnchor>
  <xdr:twoCellAnchor editAs="oneCell">
    <xdr:from>
      <xdr:col>21</xdr:col>
      <xdr:colOff>152402</xdr:colOff>
      <xdr:row>8</xdr:row>
      <xdr:rowOff>8921</xdr:rowOff>
    </xdr:from>
    <xdr:to>
      <xdr:col>26</xdr:col>
      <xdr:colOff>398722</xdr:colOff>
      <xdr:row>11</xdr:row>
      <xdr:rowOff>147752</xdr:rowOff>
    </xdr:to>
    <xdr:pic>
      <xdr:nvPicPr>
        <xdr:cNvPr id="6" name="Imagen 5">
          <a:extLst>
            <a:ext uri="{FF2B5EF4-FFF2-40B4-BE49-F238E27FC236}">
              <a16:creationId xmlns:a16="http://schemas.microsoft.com/office/drawing/2014/main" id="{43CF5C4D-24A7-A28E-3D55-D9CB5C0BFD4E}"/>
            </a:ext>
          </a:extLst>
        </xdr:cNvPr>
        <xdr:cNvPicPr>
          <a:picLocks noChangeAspect="1"/>
        </xdr:cNvPicPr>
      </xdr:nvPicPr>
      <xdr:blipFill rotWithShape="1">
        <a:blip xmlns:r="http://schemas.openxmlformats.org/officeDocument/2006/relationships" r:embed="rId1"/>
        <a:srcRect t="78391"/>
        <a:stretch/>
      </xdr:blipFill>
      <xdr:spPr>
        <a:xfrm>
          <a:off x="11219123" y="1550642"/>
          <a:ext cx="2771552" cy="697040"/>
        </a:xfrm>
        <a:prstGeom prst="rect">
          <a:avLst/>
        </a:prstGeom>
      </xdr:spPr>
    </xdr:pic>
    <xdr:clientData/>
  </xdr:twoCellAnchor>
  <xdr:twoCellAnchor editAs="oneCell">
    <xdr:from>
      <xdr:col>15</xdr:col>
      <xdr:colOff>260498</xdr:colOff>
      <xdr:row>6</xdr:row>
      <xdr:rowOff>178791</xdr:rowOff>
    </xdr:from>
    <xdr:to>
      <xdr:col>21</xdr:col>
      <xdr:colOff>17721</xdr:colOff>
      <xdr:row>10</xdr:row>
      <xdr:rowOff>141769</xdr:rowOff>
    </xdr:to>
    <xdr:pic>
      <xdr:nvPicPr>
        <xdr:cNvPr id="7" name="Imagen 6">
          <a:extLst>
            <a:ext uri="{FF2B5EF4-FFF2-40B4-BE49-F238E27FC236}">
              <a16:creationId xmlns:a16="http://schemas.microsoft.com/office/drawing/2014/main" id="{80E16D35-B806-5257-B652-296D0DD8C523}"/>
            </a:ext>
          </a:extLst>
        </xdr:cNvPr>
        <xdr:cNvPicPr>
          <a:picLocks noChangeAspect="1"/>
        </xdr:cNvPicPr>
      </xdr:nvPicPr>
      <xdr:blipFill rotWithShape="1">
        <a:blip xmlns:r="http://schemas.openxmlformats.org/officeDocument/2006/relationships" r:embed="rId1"/>
        <a:srcRect t="56190" b="22482"/>
        <a:stretch/>
      </xdr:blipFill>
      <xdr:spPr>
        <a:xfrm>
          <a:off x="8199475" y="1339512"/>
          <a:ext cx="2884967" cy="716117"/>
        </a:xfrm>
        <a:prstGeom prst="rect">
          <a:avLst/>
        </a:prstGeom>
      </xdr:spPr>
    </xdr:pic>
    <xdr:clientData/>
  </xdr:twoCellAnchor>
  <xdr:twoCellAnchor editAs="oneCell">
    <xdr:from>
      <xdr:col>9</xdr:col>
      <xdr:colOff>315433</xdr:colOff>
      <xdr:row>6</xdr:row>
      <xdr:rowOff>51433</xdr:rowOff>
    </xdr:from>
    <xdr:to>
      <xdr:col>14</xdr:col>
      <xdr:colOff>230372</xdr:colOff>
      <xdr:row>11</xdr:row>
      <xdr:rowOff>8862</xdr:rowOff>
    </xdr:to>
    <xdr:pic>
      <xdr:nvPicPr>
        <xdr:cNvPr id="8" name="Imagen 7">
          <a:extLst>
            <a:ext uri="{FF2B5EF4-FFF2-40B4-BE49-F238E27FC236}">
              <a16:creationId xmlns:a16="http://schemas.microsoft.com/office/drawing/2014/main" id="{65C003E7-71DD-170F-D270-B9ECAEAAA393}"/>
            </a:ext>
          </a:extLst>
        </xdr:cNvPr>
        <xdr:cNvPicPr>
          <a:picLocks noChangeAspect="1"/>
        </xdr:cNvPicPr>
      </xdr:nvPicPr>
      <xdr:blipFill rotWithShape="1">
        <a:blip xmlns:r="http://schemas.openxmlformats.org/officeDocument/2006/relationships" r:embed="rId1"/>
        <a:srcRect t="25593" b="42835"/>
        <a:stretch/>
      </xdr:blipFill>
      <xdr:spPr>
        <a:xfrm>
          <a:off x="5224131" y="1212154"/>
          <a:ext cx="2440171" cy="8966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9</xdr:col>
      <xdr:colOff>263006</xdr:colOff>
      <xdr:row>27</xdr:row>
      <xdr:rowOff>106361</xdr:rowOff>
    </xdr:from>
    <xdr:ext cx="4044953" cy="431465"/>
    <mc:AlternateContent xmlns:mc="http://schemas.openxmlformats.org/markup-compatibility/2006" xmlns:a14="http://schemas.microsoft.com/office/drawing/2010/main">
      <mc:Choice Requires="a14">
        <xdr:sp macro="" textlink="">
          <xdr:nvSpPr>
            <xdr:cNvPr id="2" name="CuadroTexto 1">
              <a:extLst>
                <a:ext uri="{FF2B5EF4-FFF2-40B4-BE49-F238E27FC236}">
                  <a16:creationId xmlns:a16="http://schemas.microsoft.com/office/drawing/2014/main" id="{D902D258-919F-49C1-ABF1-20DEEBECEFED}"/>
                </a:ext>
              </a:extLst>
            </xdr:cNvPr>
            <xdr:cNvSpPr txBox="1"/>
          </xdr:nvSpPr>
          <xdr:spPr>
            <a:xfrm>
              <a:off x="5170286" y="7322501"/>
              <a:ext cx="4044953"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MX" sz="1200" b="1" i="1">
                        <a:solidFill>
                          <a:srgbClr val="0000FF"/>
                        </a:solidFill>
                        <a:latin typeface="Cambria Math" panose="02040503050406030204" pitchFamily="18" charset="0"/>
                      </a:rPr>
                      <m:t>𝑷𝒊𝒍𝒂𝒓</m:t>
                    </m:r>
                    <m:r>
                      <a:rPr lang="es-PE" sz="1200" i="1">
                        <a:latin typeface="Cambria Math" panose="02040503050406030204" pitchFamily="18" charset="0"/>
                      </a:rPr>
                      <m:t>=</m:t>
                    </m:r>
                    <m:nary>
                      <m:naryPr>
                        <m:chr m:val="∑"/>
                        <m:subHide m:val="on"/>
                        <m:supHide m:val="on"/>
                        <m:ctrlPr>
                          <a:rPr lang="es-PE" sz="1100" i="1">
                            <a:solidFill>
                              <a:schemeClr val="tx1"/>
                            </a:solidFill>
                            <a:effectLst/>
                            <a:latin typeface="Cambria Math" panose="02040503050406030204" pitchFamily="18" charset="0"/>
                            <a:ea typeface="+mn-ea"/>
                            <a:cs typeface="+mn-cs"/>
                          </a:rPr>
                        </m:ctrlPr>
                      </m:naryPr>
                      <m:sub/>
                      <m:sup/>
                      <m:e/>
                    </m:nary>
                    <m:f>
                      <m:fPr>
                        <m:ctrlPr>
                          <a:rPr lang="es-PE" sz="1200" i="1">
                            <a:latin typeface="Cambria Math" panose="02040503050406030204" pitchFamily="18" charset="0"/>
                          </a:rPr>
                        </m:ctrlPr>
                      </m:fPr>
                      <m:num>
                        <m:nary>
                          <m:naryPr>
                            <m:chr m:val="∑"/>
                            <m:subHide m:val="on"/>
                            <m:supHide m:val="on"/>
                            <m:ctrlPr>
                              <a:rPr lang="es-PE" sz="1100" b="0" i="1">
                                <a:solidFill>
                                  <a:schemeClr val="tx1"/>
                                </a:solidFill>
                                <a:effectLst/>
                                <a:latin typeface="Cambria Math" panose="02040503050406030204" pitchFamily="18" charset="0"/>
                                <a:ea typeface="+mn-ea"/>
                                <a:cs typeface="+mn-cs"/>
                              </a:rPr>
                            </m:ctrlPr>
                          </m:naryPr>
                          <m:sub/>
                          <m:sup/>
                          <m:e>
                            <m:r>
                              <a:rPr lang="es-MX" sz="1100" b="0" i="1">
                                <a:solidFill>
                                  <a:schemeClr val="tx1"/>
                                </a:solidFill>
                                <a:effectLst/>
                                <a:latin typeface="Cambria Math" panose="02040503050406030204" pitchFamily="18" charset="0"/>
                                <a:ea typeface="+mn-ea"/>
                                <a:cs typeface="+mn-cs"/>
                              </a:rPr>
                              <m:t>(#</m:t>
                            </m:r>
                          </m:e>
                        </m:nary>
                        <m:r>
                          <a:rPr lang="es-MX" sz="1200" b="0" i="1">
                            <a:latin typeface="Cambria Math" panose="02040503050406030204" pitchFamily="18" charset="0"/>
                          </a:rPr>
                          <m:t> </m:t>
                        </m:r>
                        <m:r>
                          <a:rPr lang="es-MX" sz="1200" b="0" i="1">
                            <a:latin typeface="Cambria Math" panose="02040503050406030204" pitchFamily="18" charset="0"/>
                          </a:rPr>
                          <m:t>𝑟𝑒𝑠𝑝𝑢𝑒𝑠𝑡𝑎𝑠</m:t>
                        </m:r>
                        <m:r>
                          <a:rPr lang="es-MX" sz="1200" b="0" i="1">
                            <a:latin typeface="Cambria Math" panose="02040503050406030204" pitchFamily="18" charset="0"/>
                          </a:rPr>
                          <m:t>  </m:t>
                        </m:r>
                        <m:r>
                          <a:rPr lang="es-MX" sz="1200" b="0" i="1">
                            <a:latin typeface="Cambria Math" panose="02040503050406030204" pitchFamily="18" charset="0"/>
                          </a:rPr>
                          <m:t>𝑥</m:t>
                        </m:r>
                        <m:r>
                          <a:rPr lang="es-MX" sz="1200" b="0" i="1">
                            <a:latin typeface="Cambria Math" panose="02040503050406030204" pitchFamily="18" charset="0"/>
                          </a:rPr>
                          <m:t> </m:t>
                        </m:r>
                        <m:r>
                          <a:rPr lang="es-MX" sz="1200" b="0" i="1">
                            <a:latin typeface="Cambria Math" panose="02040503050406030204" pitchFamily="18" charset="0"/>
                          </a:rPr>
                          <m:t>𝑃𝑒𝑠𝑜</m:t>
                        </m:r>
                        <m:r>
                          <a:rPr lang="es-MX" sz="1200" b="0" i="1">
                            <a:latin typeface="Cambria Math" panose="02040503050406030204" pitchFamily="18" charset="0"/>
                          </a:rPr>
                          <m:t> </m:t>
                        </m:r>
                        <m:r>
                          <a:rPr lang="es-MX" sz="1200" b="0" i="1">
                            <a:latin typeface="Cambria Math" panose="02040503050406030204" pitchFamily="18" charset="0"/>
                          </a:rPr>
                          <m:t>𝑑𝑒</m:t>
                        </m:r>
                        <m:r>
                          <a:rPr lang="es-MX" sz="1200" b="0" i="1">
                            <a:latin typeface="Cambria Math" panose="02040503050406030204" pitchFamily="18" charset="0"/>
                          </a:rPr>
                          <m:t> </m:t>
                        </m:r>
                        <m:r>
                          <a:rPr lang="es-MX" sz="1200" b="0" i="1">
                            <a:latin typeface="Cambria Math" panose="02040503050406030204" pitchFamily="18" charset="0"/>
                          </a:rPr>
                          <m:t>𝑐𝑎𝑑𝑎</m:t>
                        </m:r>
                        <m:r>
                          <a:rPr lang="es-MX" sz="1200" b="0" i="1">
                            <a:latin typeface="Cambria Math" panose="02040503050406030204" pitchFamily="18" charset="0"/>
                          </a:rPr>
                          <m:t> </m:t>
                        </m:r>
                        <m:r>
                          <a:rPr lang="es-MX" sz="1200" b="0" i="1">
                            <a:latin typeface="Cambria Math" panose="02040503050406030204" pitchFamily="18" charset="0"/>
                          </a:rPr>
                          <m:t>𝑎𝑙𝑡𝑒𝑟𝑛𝑎𝑡𝑖𝑣𝑎</m:t>
                        </m:r>
                        <m:r>
                          <a:rPr lang="es-MX" sz="1200" b="0" i="1">
                            <a:latin typeface="Cambria Math" panose="02040503050406030204" pitchFamily="18" charset="0"/>
                          </a:rPr>
                          <m:t>)</m:t>
                        </m:r>
                      </m:num>
                      <m:den>
                        <m:r>
                          <a:rPr lang="es-MX" sz="1200" b="0" i="1">
                            <a:latin typeface="Cambria Math" panose="02040503050406030204" pitchFamily="18" charset="0"/>
                          </a:rPr>
                          <m:t> # </m:t>
                        </m:r>
                        <m:r>
                          <a:rPr lang="es-MX" sz="1200" b="0" i="1">
                            <a:latin typeface="Cambria Math" panose="02040503050406030204" pitchFamily="18" charset="0"/>
                          </a:rPr>
                          <m:t>𝑟𝑒𝑠𝑝𝑢𝑒𝑠𝑡𝑎𝑠</m:t>
                        </m:r>
                        <m:r>
                          <a:rPr lang="es-MX" sz="1200" b="0" i="1">
                            <a:latin typeface="Cambria Math" panose="02040503050406030204" pitchFamily="18" charset="0"/>
                          </a:rPr>
                          <m:t> (</m:t>
                        </m:r>
                        <m:r>
                          <a:rPr lang="es-MX" sz="1200" b="0" i="1">
                            <a:latin typeface="Cambria Math" panose="02040503050406030204" pitchFamily="18" charset="0"/>
                          </a:rPr>
                          <m:t>𝑃</m:t>
                        </m:r>
                        <m:r>
                          <a:rPr lang="es-MX" sz="1200" b="0" i="1">
                            <a:latin typeface="Cambria Math" panose="02040503050406030204" pitchFamily="18" charset="0"/>
                          </a:rPr>
                          <m:t>é</m:t>
                        </m:r>
                        <m:r>
                          <a:rPr lang="es-MX" sz="1200" b="0" i="1">
                            <a:latin typeface="Cambria Math" panose="02040503050406030204" pitchFamily="18" charset="0"/>
                          </a:rPr>
                          <m:t>𝑠𝑖𝑚𝑜</m:t>
                        </m:r>
                        <m:r>
                          <a:rPr lang="es-MX" sz="1200" b="0" i="1">
                            <a:latin typeface="Cambria Math" panose="02040503050406030204" pitchFamily="18" charset="0"/>
                          </a:rPr>
                          <m:t> </m:t>
                        </m:r>
                        <m:r>
                          <a:rPr lang="es-MX" sz="1200" b="0" i="1">
                            <a:latin typeface="Cambria Math" panose="02040503050406030204" pitchFamily="18" charset="0"/>
                          </a:rPr>
                          <m:t>𝑎</m:t>
                        </m:r>
                        <m:r>
                          <a:rPr lang="es-MX" sz="1200" b="0" i="1">
                            <a:latin typeface="Cambria Math" panose="02040503050406030204" pitchFamily="18" charset="0"/>
                          </a:rPr>
                          <m:t> </m:t>
                        </m:r>
                        <m:r>
                          <a:rPr lang="es-MX" sz="1200" b="0" i="1">
                            <a:latin typeface="Cambria Math" panose="02040503050406030204" pitchFamily="18" charset="0"/>
                          </a:rPr>
                          <m:t>𝐸𝑥𝑐𝑒𝑙𝑒𝑛𝑡𝑒</m:t>
                        </m:r>
                        <m:r>
                          <a:rPr lang="es-MX" sz="1200" b="0" i="1">
                            <a:latin typeface="Cambria Math" panose="02040503050406030204" pitchFamily="18" charset="0"/>
                          </a:rPr>
                          <m:t>)</m:t>
                        </m:r>
                      </m:den>
                    </m:f>
                  </m:oMath>
                </m:oMathPara>
              </a14:m>
              <a:endParaRPr lang="es-PE" sz="1100"/>
            </a:p>
          </xdr:txBody>
        </xdr:sp>
      </mc:Choice>
      <mc:Fallback xmlns="">
        <xdr:sp macro="" textlink="">
          <xdr:nvSpPr>
            <xdr:cNvPr id="2" name="CuadroTexto 1">
              <a:extLst>
                <a:ext uri="{FF2B5EF4-FFF2-40B4-BE49-F238E27FC236}">
                  <a16:creationId xmlns:a16="http://schemas.microsoft.com/office/drawing/2014/main" id="{D902D258-919F-49C1-ABF1-20DEEBECEFED}"/>
                </a:ext>
              </a:extLst>
            </xdr:cNvPr>
            <xdr:cNvSpPr txBox="1"/>
          </xdr:nvSpPr>
          <xdr:spPr>
            <a:xfrm>
              <a:off x="5170286" y="7322501"/>
              <a:ext cx="4044953" cy="4314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MX" sz="1200" b="1" i="0">
                  <a:solidFill>
                    <a:srgbClr val="0000FF"/>
                  </a:solidFill>
                  <a:latin typeface="Cambria Math" panose="02040503050406030204" pitchFamily="18" charset="0"/>
                </a:rPr>
                <a:t>𝑷𝒊𝒍𝒂𝒓</a:t>
              </a:r>
              <a:r>
                <a:rPr lang="es-PE" sz="1200" i="0">
                  <a:latin typeface="Cambria Math" panose="02040503050406030204" pitchFamily="18" charset="0"/>
                </a:rPr>
                <a:t>=</a:t>
              </a:r>
              <a:r>
                <a:rPr lang="es-PE" sz="1100" i="0">
                  <a:solidFill>
                    <a:schemeClr val="tx1"/>
                  </a:solidFill>
                  <a:effectLst/>
                  <a:latin typeface="Cambria Math" panose="02040503050406030204" pitchFamily="18" charset="0"/>
                  <a:ea typeface="+mn-ea"/>
                  <a:cs typeface="+mn-cs"/>
                </a:rPr>
                <a:t>∑</a:t>
              </a:r>
              <a:r>
                <a:rPr lang="es-PE" sz="1200" i="0">
                  <a:solidFill>
                    <a:schemeClr val="tx1"/>
                  </a:solidFill>
                  <a:effectLst/>
                  <a:latin typeface="Cambria Math" panose="02040503050406030204" pitchFamily="18" charset="0"/>
                  <a:ea typeface="+mn-ea"/>
                  <a:cs typeface="+mn-cs"/>
                </a:rPr>
                <a:t> </a:t>
              </a:r>
              <a:r>
                <a:rPr lang="es-PE" sz="1100" b="0" i="0">
                  <a:solidFill>
                    <a:schemeClr val="tx1"/>
                  </a:solidFill>
                  <a:effectLst/>
                  <a:latin typeface="Cambria Math" panose="02040503050406030204" pitchFamily="18" charset="0"/>
                  <a:ea typeface="+mn-ea"/>
                  <a:cs typeface="+mn-cs"/>
                </a:rPr>
                <a:t> </a:t>
              </a:r>
              <a:r>
                <a:rPr lang="es-PE" sz="1200" b="0" i="0">
                  <a:solidFill>
                    <a:schemeClr val="tx1"/>
                  </a:solidFill>
                  <a:effectLst/>
                  <a:latin typeface="Cambria Math" panose="02040503050406030204" pitchFamily="18" charset="0"/>
                  <a:ea typeface="+mn-ea"/>
                  <a:cs typeface="+mn-cs"/>
                </a:rPr>
                <a:t>(</a:t>
              </a:r>
              <a:r>
                <a:rPr lang="es-PE"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a:t>
              </a:r>
              <a:r>
                <a:rPr lang="es-PE" sz="1100" b="0" i="0">
                  <a:solidFill>
                    <a:schemeClr val="tx1"/>
                  </a:solidFill>
                  <a:effectLst/>
                  <a:latin typeface="Cambria Math" panose="02040503050406030204" pitchFamily="18" charset="0"/>
                  <a:ea typeface="+mn-ea"/>
                  <a:cs typeface="+mn-cs"/>
                </a:rPr>
                <a:t>〖</a:t>
              </a:r>
              <a:r>
                <a:rPr lang="es-MX" sz="1100" b="0" i="0">
                  <a:solidFill>
                    <a:schemeClr val="tx1"/>
                  </a:solidFill>
                  <a:effectLst/>
                  <a:latin typeface="Cambria Math" panose="02040503050406030204" pitchFamily="18" charset="0"/>
                  <a:ea typeface="+mn-ea"/>
                  <a:cs typeface="+mn-cs"/>
                </a:rPr>
                <a:t>(#</a:t>
              </a:r>
              <a:r>
                <a:rPr lang="es-PE" sz="1100" b="0" i="0">
                  <a:solidFill>
                    <a:schemeClr val="tx1"/>
                  </a:solidFill>
                  <a:effectLst/>
                  <a:latin typeface="Cambria Math" panose="02040503050406030204" pitchFamily="18" charset="0"/>
                  <a:ea typeface="+mn-ea"/>
                  <a:cs typeface="+mn-cs"/>
                </a:rPr>
                <a:t>〗</a:t>
              </a:r>
              <a:r>
                <a:rPr lang="es-MX" sz="1200" b="0" i="0">
                  <a:solidFill>
                    <a:schemeClr val="tx1"/>
                  </a:solidFill>
                  <a:effectLst/>
                  <a:latin typeface="Cambria Math" panose="02040503050406030204" pitchFamily="18" charset="0"/>
                  <a:ea typeface="+mn-ea"/>
                  <a:cs typeface="+mn-cs"/>
                </a:rPr>
                <a:t> </a:t>
              </a:r>
              <a:r>
                <a:rPr lang="es-MX" sz="1200" b="0" i="0">
                  <a:latin typeface="Cambria Math" panose="02040503050406030204" pitchFamily="18" charset="0"/>
                </a:rPr>
                <a:t> 𝑟𝑒𝑠𝑝𝑢𝑒𝑠𝑡𝑎𝑠  𝑥 𝑃𝑒𝑠𝑜 𝑑𝑒 𝑐𝑎𝑑𝑎 𝑎𝑙𝑡𝑒𝑟𝑛𝑎𝑡𝑖𝑣𝑎)</a:t>
              </a:r>
              <a:r>
                <a:rPr lang="es-PE" sz="1200" b="0" i="0">
                  <a:latin typeface="Cambria Math" panose="02040503050406030204" pitchFamily="18" charset="0"/>
                </a:rPr>
                <a:t>)/(</a:t>
              </a:r>
              <a:r>
                <a:rPr lang="es-MX" sz="1200" b="0" i="0">
                  <a:latin typeface="Cambria Math" panose="02040503050406030204" pitchFamily="18" charset="0"/>
                </a:rPr>
                <a:t> # 𝑟𝑒𝑠𝑝𝑢𝑒𝑠𝑡𝑎𝑠 (𝑃é𝑠𝑖𝑚𝑜 𝑎 𝐸𝑥𝑐𝑒𝑙𝑒𝑛𝑡𝑒)</a:t>
              </a:r>
              <a:r>
                <a:rPr lang="es-PE" sz="1200" b="0" i="0">
                  <a:latin typeface="Cambria Math" panose="02040503050406030204" pitchFamily="18" charset="0"/>
                </a:rPr>
                <a:t>)</a:t>
              </a:r>
              <a:endParaRPr lang="es-PE" sz="1100"/>
            </a:p>
          </xdr:txBody>
        </xdr:sp>
      </mc:Fallback>
    </mc:AlternateContent>
    <xdr:clientData/>
  </xdr:oneCellAnchor>
  <xdr:oneCellAnchor>
    <xdr:from>
      <xdr:col>12</xdr:col>
      <xdr:colOff>363008</xdr:colOff>
      <xdr:row>39</xdr:row>
      <xdr:rowOff>82550</xdr:rowOff>
    </xdr:from>
    <xdr:ext cx="2852576" cy="1020536"/>
    <mc:AlternateContent xmlns:mc="http://schemas.openxmlformats.org/markup-compatibility/2006" xmlns:a14="http://schemas.microsoft.com/office/drawing/2010/main">
      <mc:Choice Requires="a14">
        <xdr:sp macro="" textlink="">
          <xdr:nvSpPr>
            <xdr:cNvPr id="3" name="CuadroTexto 2">
              <a:extLst>
                <a:ext uri="{FF2B5EF4-FFF2-40B4-BE49-F238E27FC236}">
                  <a16:creationId xmlns:a16="http://schemas.microsoft.com/office/drawing/2014/main" id="{6CA4D078-8E4B-4360-BFF2-61F4F2F8E204}"/>
                </a:ext>
              </a:extLst>
            </xdr:cNvPr>
            <xdr:cNvSpPr txBox="1"/>
          </xdr:nvSpPr>
          <xdr:spPr>
            <a:xfrm>
              <a:off x="6779048" y="10605770"/>
              <a:ext cx="2852576" cy="10205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s-PE" sz="1400" b="1" i="1">
                        <a:solidFill>
                          <a:srgbClr val="0000FF"/>
                        </a:solidFill>
                        <a:latin typeface="Cambria Math" panose="02040503050406030204" pitchFamily="18" charset="0"/>
                        <a:ea typeface="Cambria Math" panose="02040503050406030204" pitchFamily="18" charset="0"/>
                      </a:rPr>
                      <m:t>𝑷</m:t>
                    </m:r>
                    <m:r>
                      <a:rPr lang="es-MX" sz="1400" b="1" i="1">
                        <a:solidFill>
                          <a:srgbClr val="0000FF"/>
                        </a:solidFill>
                        <a:latin typeface="Cambria Math" panose="02040503050406030204" pitchFamily="18" charset="0"/>
                        <a:ea typeface="Cambria Math" panose="02040503050406030204" pitchFamily="18" charset="0"/>
                      </a:rPr>
                      <m:t>𝒊𝒍𝒂𝒓</m:t>
                    </m:r>
                    <m:r>
                      <a:rPr lang="es-PE" sz="1400" i="1">
                        <a:latin typeface="Cambria Math" panose="02040503050406030204" pitchFamily="18" charset="0"/>
                        <a:ea typeface="Cambria Math" panose="02040503050406030204" pitchFamily="18" charset="0"/>
                      </a:rPr>
                      <m:t>=</m:t>
                    </m:r>
                    <m:f>
                      <m:fPr>
                        <m:ctrlPr>
                          <a:rPr lang="es-PE" sz="1400" i="1">
                            <a:solidFill>
                              <a:srgbClr val="836967"/>
                            </a:solidFill>
                            <a:latin typeface="Cambria Math" panose="02040503050406030204" pitchFamily="18" charset="0"/>
                            <a:ea typeface="Cambria Math" panose="02040503050406030204" pitchFamily="18" charset="0"/>
                          </a:rPr>
                        </m:ctrlPr>
                      </m:fPr>
                      <m:num>
                        <m:r>
                          <a:rPr lang="es-PE" sz="1400" i="1">
                            <a:latin typeface="Cambria Math" panose="02040503050406030204" pitchFamily="18" charset="0"/>
                            <a:ea typeface="Cambria Math" panose="02040503050406030204" pitchFamily="18" charset="0"/>
                          </a:rPr>
                          <m:t>1</m:t>
                        </m:r>
                      </m:num>
                      <m:den>
                        <m:r>
                          <a:rPr lang="es-PE" sz="1400" i="1">
                            <a:latin typeface="Cambria Math" panose="02040503050406030204" pitchFamily="18" charset="0"/>
                            <a:ea typeface="Cambria Math" panose="02040503050406030204" pitchFamily="18" charset="0"/>
                          </a:rPr>
                          <m:t>𝑚</m:t>
                        </m:r>
                      </m:den>
                    </m:f>
                    <m:nary>
                      <m:naryPr>
                        <m:chr m:val="∑"/>
                        <m:limLoc m:val="undOvr"/>
                        <m:grow m:val="on"/>
                        <m:ctrlPr>
                          <a:rPr lang="es-PE" sz="1400" i="1">
                            <a:latin typeface="Cambria Math" panose="02040503050406030204" pitchFamily="18" charset="0"/>
                            <a:ea typeface="Cambria Math" panose="02040503050406030204" pitchFamily="18" charset="0"/>
                          </a:rPr>
                        </m:ctrlPr>
                      </m:naryPr>
                      <m:sub>
                        <m:r>
                          <a:rPr lang="es-PE" sz="1400" i="1">
                            <a:latin typeface="Cambria Math" panose="02040503050406030204" pitchFamily="18" charset="0"/>
                            <a:ea typeface="Cambria Math" panose="02040503050406030204" pitchFamily="18" charset="0"/>
                          </a:rPr>
                          <m:t>𝐽</m:t>
                        </m:r>
                        <m:r>
                          <a:rPr lang="es-PE" sz="1400" i="1">
                            <a:latin typeface="Cambria Math" panose="02040503050406030204" pitchFamily="18" charset="0"/>
                            <a:ea typeface="Cambria Math" panose="02040503050406030204" pitchFamily="18" charset="0"/>
                          </a:rPr>
                          <m:t>=1</m:t>
                        </m:r>
                      </m:sub>
                      <m:sup>
                        <m:r>
                          <a:rPr lang="es-PE" sz="1400" i="1">
                            <a:latin typeface="Cambria Math" panose="02040503050406030204" pitchFamily="18" charset="0"/>
                            <a:ea typeface="Cambria Math" panose="02040503050406030204" pitchFamily="18" charset="0"/>
                          </a:rPr>
                          <m:t>𝑚</m:t>
                        </m:r>
                      </m:sup>
                      <m:e>
                        <m:d>
                          <m:dPr>
                            <m:ctrlPr>
                              <a:rPr lang="es-PE" sz="1400" i="1">
                                <a:solidFill>
                                  <a:srgbClr val="836967"/>
                                </a:solidFill>
                                <a:latin typeface="Cambria Math" panose="02040503050406030204" pitchFamily="18" charset="0"/>
                                <a:ea typeface="Cambria Math" panose="02040503050406030204" pitchFamily="18" charset="0"/>
                              </a:rPr>
                            </m:ctrlPr>
                          </m:dPr>
                          <m:e>
                            <m:f>
                              <m:fPr>
                                <m:ctrlPr>
                                  <a:rPr lang="es-PE" sz="1400" i="1">
                                    <a:solidFill>
                                      <a:srgbClr val="836967"/>
                                    </a:solidFill>
                                    <a:latin typeface="Cambria Math" panose="02040503050406030204" pitchFamily="18" charset="0"/>
                                    <a:ea typeface="Cambria Math" panose="02040503050406030204" pitchFamily="18" charset="0"/>
                                  </a:rPr>
                                </m:ctrlPr>
                              </m:fPr>
                              <m:num>
                                <m:nary>
                                  <m:naryPr>
                                    <m:chr m:val="∑"/>
                                    <m:limLoc m:val="undOvr"/>
                                    <m:grow m:val="on"/>
                                    <m:ctrlPr>
                                      <a:rPr lang="es-PE" sz="1400" i="1">
                                        <a:latin typeface="Cambria Math" panose="02040503050406030204" pitchFamily="18" charset="0"/>
                                        <a:ea typeface="Cambria Math" panose="02040503050406030204" pitchFamily="18" charset="0"/>
                                      </a:rPr>
                                    </m:ctrlPr>
                                  </m:naryPr>
                                  <m:sub>
                                    <m:r>
                                      <a:rPr lang="es-PE" sz="1400" i="1">
                                        <a:latin typeface="Cambria Math" panose="02040503050406030204" pitchFamily="18" charset="0"/>
                                        <a:ea typeface="Cambria Math" panose="02040503050406030204" pitchFamily="18" charset="0"/>
                                      </a:rPr>
                                      <m:t>𝑖</m:t>
                                    </m:r>
                                    <m:r>
                                      <a:rPr lang="es-PE" sz="1400" i="1">
                                        <a:latin typeface="Cambria Math" panose="02040503050406030204" pitchFamily="18" charset="0"/>
                                        <a:ea typeface="Cambria Math" panose="02040503050406030204" pitchFamily="18" charset="0"/>
                                      </a:rPr>
                                      <m:t>=0</m:t>
                                    </m:r>
                                  </m:sub>
                                  <m:sup>
                                    <m:r>
                                      <a:rPr lang="es-MX" sz="1400" b="0" i="1">
                                        <a:latin typeface="Cambria Math" panose="02040503050406030204" pitchFamily="18" charset="0"/>
                                        <a:ea typeface="Cambria Math" panose="02040503050406030204" pitchFamily="18" charset="0"/>
                                      </a:rPr>
                                      <m:t>5</m:t>
                                    </m:r>
                                  </m:sup>
                                  <m:e>
                                    <m:d>
                                      <m:dPr>
                                        <m:ctrlPr>
                                          <a:rPr lang="es-PE" sz="1400" i="1">
                                            <a:solidFill>
                                              <a:srgbClr val="836967"/>
                                            </a:solidFill>
                                            <a:latin typeface="Cambria Math" panose="02040503050406030204" pitchFamily="18" charset="0"/>
                                            <a:ea typeface="Cambria Math" panose="02040503050406030204" pitchFamily="18" charset="0"/>
                                          </a:rPr>
                                        </m:ctrlPr>
                                      </m:dPr>
                                      <m:e>
                                        <m:sSub>
                                          <m:sSubPr>
                                            <m:ctrlPr>
                                              <a:rPr lang="es-PE" sz="1400" i="1">
                                                <a:solidFill>
                                                  <a:srgbClr val="836967"/>
                                                </a:solidFill>
                                                <a:latin typeface="Cambria Math" panose="02040503050406030204" pitchFamily="18" charset="0"/>
                                                <a:ea typeface="Cambria Math" panose="02040503050406030204" pitchFamily="18" charset="0"/>
                                              </a:rPr>
                                            </m:ctrlPr>
                                          </m:sSubPr>
                                          <m:e>
                                            <m:r>
                                              <a:rPr lang="es-PE" sz="1400" i="1">
                                                <a:latin typeface="Cambria Math" panose="02040503050406030204" pitchFamily="18" charset="0"/>
                                                <a:ea typeface="Cambria Math" panose="02040503050406030204" pitchFamily="18" charset="0"/>
                                              </a:rPr>
                                              <m:t>𝑟</m:t>
                                            </m:r>
                                          </m:e>
                                          <m:sub>
                                            <m:r>
                                              <a:rPr lang="es-PE" sz="1400" i="1">
                                                <a:latin typeface="Cambria Math" panose="02040503050406030204" pitchFamily="18" charset="0"/>
                                                <a:ea typeface="Cambria Math" panose="02040503050406030204" pitchFamily="18" charset="0"/>
                                              </a:rPr>
                                              <m:t>𝑖</m:t>
                                            </m:r>
                                            <m:r>
                                              <a:rPr lang="es-MX" sz="1400" b="0" i="1">
                                                <a:latin typeface="Cambria Math" panose="02040503050406030204" pitchFamily="18" charset="0"/>
                                                <a:ea typeface="Cambria Math" panose="02040503050406030204" pitchFamily="18" charset="0"/>
                                              </a:rPr>
                                              <m:t>𝑗</m:t>
                                            </m:r>
                                          </m:sub>
                                        </m:sSub>
                                        <m:r>
                                          <a:rPr lang="es-MX" sz="1400" b="0" i="1">
                                            <a:latin typeface="Cambria Math" panose="02040503050406030204" pitchFamily="18" charset="0"/>
                                            <a:ea typeface="Cambria Math" panose="02040503050406030204" pitchFamily="18" charset="0"/>
                                          </a:rPr>
                                          <m:t> </m:t>
                                        </m:r>
                                        <m:r>
                                          <a:rPr lang="es-PE" sz="1400" i="1">
                                            <a:latin typeface="Cambria Math" panose="02040503050406030204" pitchFamily="18" charset="0"/>
                                            <a:ea typeface="Cambria Math" panose="02040503050406030204" pitchFamily="18" charset="0"/>
                                          </a:rPr>
                                          <m:t>𝑥</m:t>
                                        </m:r>
                                        <m:r>
                                          <a:rPr lang="es-MX" sz="1400" b="0" i="1">
                                            <a:latin typeface="Cambria Math" panose="02040503050406030204" pitchFamily="18" charset="0"/>
                                            <a:ea typeface="Cambria Math" panose="02040503050406030204" pitchFamily="18" charset="0"/>
                                          </a:rPr>
                                          <m:t> </m:t>
                                        </m:r>
                                        <m:sSub>
                                          <m:sSubPr>
                                            <m:ctrlPr>
                                              <a:rPr lang="es-PE" sz="1400" i="1">
                                                <a:solidFill>
                                                  <a:srgbClr val="836967"/>
                                                </a:solidFill>
                                                <a:latin typeface="Cambria Math" panose="02040503050406030204" pitchFamily="18" charset="0"/>
                                                <a:ea typeface="Cambria Math" panose="02040503050406030204" pitchFamily="18" charset="0"/>
                                              </a:rPr>
                                            </m:ctrlPr>
                                          </m:sSubPr>
                                          <m:e>
                                            <m:r>
                                              <a:rPr lang="es-PE" sz="1400" i="1">
                                                <a:latin typeface="Cambria Math" panose="02040503050406030204" pitchFamily="18" charset="0"/>
                                                <a:ea typeface="Cambria Math" panose="02040503050406030204" pitchFamily="18" charset="0"/>
                                              </a:rPr>
                                              <m:t>𝑃</m:t>
                                            </m:r>
                                          </m:e>
                                          <m:sub>
                                            <m:r>
                                              <a:rPr lang="es-PE" sz="1400" i="1">
                                                <a:latin typeface="Cambria Math" panose="02040503050406030204" pitchFamily="18" charset="0"/>
                                                <a:ea typeface="Cambria Math" panose="02040503050406030204" pitchFamily="18" charset="0"/>
                                              </a:rPr>
                                              <m:t>𝑖</m:t>
                                            </m:r>
                                          </m:sub>
                                        </m:sSub>
                                      </m:e>
                                    </m:d>
                                  </m:e>
                                </m:nary>
                              </m:num>
                              <m:den>
                                <m:r>
                                  <a:rPr lang="es-PE" sz="1400" i="1">
                                    <a:latin typeface="Cambria Math" panose="02040503050406030204" pitchFamily="18" charset="0"/>
                                    <a:ea typeface="Cambria Math" panose="02040503050406030204" pitchFamily="18" charset="0"/>
                                  </a:rPr>
                                  <m:t>𝑁</m:t>
                                </m:r>
                              </m:den>
                            </m:f>
                          </m:e>
                        </m:d>
                      </m:e>
                    </m:nary>
                  </m:oMath>
                </m:oMathPara>
              </a14:m>
              <a:endParaRPr lang="es-PE" sz="1200">
                <a:latin typeface="Cambria Math" panose="02040503050406030204" pitchFamily="18" charset="0"/>
                <a:ea typeface="Cambria Math" panose="02040503050406030204" pitchFamily="18" charset="0"/>
              </a:endParaRPr>
            </a:p>
          </xdr:txBody>
        </xdr:sp>
      </mc:Choice>
      <mc:Fallback xmlns="">
        <xdr:sp macro="" textlink="">
          <xdr:nvSpPr>
            <xdr:cNvPr id="3" name="CuadroTexto 2">
              <a:extLst>
                <a:ext uri="{FF2B5EF4-FFF2-40B4-BE49-F238E27FC236}">
                  <a16:creationId xmlns:a16="http://schemas.microsoft.com/office/drawing/2014/main" id="{6CA4D078-8E4B-4360-BFF2-61F4F2F8E204}"/>
                </a:ext>
              </a:extLst>
            </xdr:cNvPr>
            <xdr:cNvSpPr txBox="1"/>
          </xdr:nvSpPr>
          <xdr:spPr>
            <a:xfrm>
              <a:off x="6779048" y="10605770"/>
              <a:ext cx="2852576" cy="10205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PE" sz="1400" b="1" i="0">
                  <a:solidFill>
                    <a:srgbClr val="0000FF"/>
                  </a:solidFill>
                  <a:latin typeface="Cambria Math" panose="02040503050406030204" pitchFamily="18" charset="0"/>
                  <a:ea typeface="Cambria Math" panose="02040503050406030204" pitchFamily="18" charset="0"/>
                </a:rPr>
                <a:t>𝑷</a:t>
              </a:r>
              <a:r>
                <a:rPr lang="es-MX" sz="1400" b="1" i="0">
                  <a:solidFill>
                    <a:srgbClr val="0000FF"/>
                  </a:solidFill>
                  <a:latin typeface="Cambria Math" panose="02040503050406030204" pitchFamily="18" charset="0"/>
                  <a:ea typeface="Cambria Math" panose="02040503050406030204" pitchFamily="18" charset="0"/>
                </a:rPr>
                <a:t>𝒊𝒍𝒂𝒓</a:t>
              </a:r>
              <a:r>
                <a:rPr lang="es-PE" sz="1400" i="0">
                  <a:latin typeface="Cambria Math" panose="02040503050406030204" pitchFamily="18" charset="0"/>
                  <a:ea typeface="Cambria Math" panose="02040503050406030204" pitchFamily="18" charset="0"/>
                </a:rPr>
                <a:t>=1</a:t>
              </a:r>
              <a:r>
                <a:rPr lang="es-PE" sz="1400" i="0">
                  <a:solidFill>
                    <a:srgbClr val="836967"/>
                  </a:solidFill>
                  <a:latin typeface="Cambria Math" panose="02040503050406030204" pitchFamily="18" charset="0"/>
                  <a:ea typeface="Cambria Math" panose="02040503050406030204" pitchFamily="18" charset="0"/>
                </a:rPr>
                <a:t>/</a:t>
              </a:r>
              <a:r>
                <a:rPr lang="es-PE" sz="1400" i="0">
                  <a:latin typeface="Cambria Math" panose="02040503050406030204" pitchFamily="18" charset="0"/>
                  <a:ea typeface="Cambria Math" panose="02040503050406030204" pitchFamily="18" charset="0"/>
                </a:rPr>
                <a:t>𝑚 ∑129_(𝐽=1)^𝑚▒</a:t>
              </a:r>
              <a:r>
                <a:rPr lang="es-PE" sz="1400" i="0">
                  <a:solidFill>
                    <a:srgbClr val="836967"/>
                  </a:solidFill>
                  <a:latin typeface="Cambria Math" panose="02040503050406030204" pitchFamily="18" charset="0"/>
                  <a:ea typeface="Cambria Math" panose="02040503050406030204" pitchFamily="18" charset="0"/>
                </a:rPr>
                <a:t>((∑129_(</a:t>
              </a:r>
              <a:r>
                <a:rPr lang="es-PE" sz="1400" i="0">
                  <a:latin typeface="Cambria Math" panose="02040503050406030204" pitchFamily="18" charset="0"/>
                  <a:ea typeface="Cambria Math" panose="02040503050406030204" pitchFamily="18" charset="0"/>
                </a:rPr>
                <a:t>𝑖=0)</a:t>
              </a:r>
              <a:r>
                <a:rPr lang="es-MX" sz="1400" b="0" i="0">
                  <a:latin typeface="Cambria Math" panose="02040503050406030204" pitchFamily="18" charset="0"/>
                  <a:ea typeface="Cambria Math" panose="02040503050406030204" pitchFamily="18" charset="0"/>
                </a:rPr>
                <a:t>^5</a:t>
              </a:r>
              <a:r>
                <a:rPr lang="es-PE" sz="1400" b="0" i="0">
                  <a:latin typeface="Cambria Math" panose="02040503050406030204" pitchFamily="18" charset="0"/>
                  <a:ea typeface="Cambria Math" panose="02040503050406030204" pitchFamily="18" charset="0"/>
                </a:rPr>
                <a:t>▒</a:t>
              </a:r>
              <a:r>
                <a:rPr lang="es-PE" sz="1400" b="0" i="0">
                  <a:solidFill>
                    <a:srgbClr val="836967"/>
                  </a:solidFill>
                  <a:latin typeface="Cambria Math" panose="02040503050406030204" pitchFamily="18" charset="0"/>
                  <a:ea typeface="Cambria Math" panose="02040503050406030204" pitchFamily="18" charset="0"/>
                </a:rPr>
                <a:t>(</a:t>
              </a:r>
              <a:r>
                <a:rPr lang="es-PE" sz="1400" i="0">
                  <a:latin typeface="Cambria Math" panose="02040503050406030204" pitchFamily="18" charset="0"/>
                  <a:ea typeface="Cambria Math" panose="02040503050406030204" pitchFamily="18" charset="0"/>
                </a:rPr>
                <a:t>𝑟</a:t>
              </a:r>
              <a:r>
                <a:rPr lang="es-PE" sz="1400" i="0">
                  <a:solidFill>
                    <a:srgbClr val="836967"/>
                  </a:solidFill>
                  <a:latin typeface="Cambria Math" panose="02040503050406030204" pitchFamily="18" charset="0"/>
                  <a:ea typeface="Cambria Math" panose="02040503050406030204" pitchFamily="18" charset="0"/>
                </a:rPr>
                <a:t>_</a:t>
              </a:r>
              <a:r>
                <a:rPr lang="es-PE" sz="1400" i="0">
                  <a:latin typeface="Cambria Math" panose="02040503050406030204" pitchFamily="18" charset="0"/>
                  <a:ea typeface="Cambria Math" panose="02040503050406030204" pitchFamily="18" charset="0"/>
                </a:rPr>
                <a:t>𝑖</a:t>
              </a:r>
              <a:r>
                <a:rPr lang="es-MX" sz="1400" b="0" i="0">
                  <a:latin typeface="Cambria Math" panose="02040503050406030204" pitchFamily="18" charset="0"/>
                  <a:ea typeface="Cambria Math" panose="02040503050406030204" pitchFamily="18" charset="0"/>
                </a:rPr>
                <a:t>𝑗  </a:t>
              </a:r>
              <a:r>
                <a:rPr lang="es-PE" sz="1400" i="0">
                  <a:latin typeface="Cambria Math" panose="02040503050406030204" pitchFamily="18" charset="0"/>
                  <a:ea typeface="Cambria Math" panose="02040503050406030204" pitchFamily="18" charset="0"/>
                </a:rPr>
                <a:t>𝑥</a:t>
              </a:r>
              <a:r>
                <a:rPr lang="es-MX" sz="1400" b="0" i="0">
                  <a:latin typeface="Cambria Math" panose="02040503050406030204" pitchFamily="18" charset="0"/>
                  <a:ea typeface="Cambria Math" panose="02040503050406030204" pitchFamily="18" charset="0"/>
                </a:rPr>
                <a:t> </a:t>
              </a:r>
              <a:r>
                <a:rPr lang="es-PE" sz="1400" i="0">
                  <a:latin typeface="Cambria Math" panose="02040503050406030204" pitchFamily="18" charset="0"/>
                  <a:ea typeface="Cambria Math" panose="02040503050406030204" pitchFamily="18" charset="0"/>
                </a:rPr>
                <a:t>𝑃</a:t>
              </a:r>
              <a:r>
                <a:rPr lang="es-PE" sz="1400" i="0">
                  <a:solidFill>
                    <a:srgbClr val="836967"/>
                  </a:solidFill>
                  <a:latin typeface="Cambria Math" panose="02040503050406030204" pitchFamily="18" charset="0"/>
                  <a:ea typeface="Cambria Math" panose="02040503050406030204" pitchFamily="18" charset="0"/>
                </a:rPr>
                <a:t>_</a:t>
              </a:r>
              <a:r>
                <a:rPr lang="es-PE" sz="1400" i="0">
                  <a:latin typeface="Cambria Math" panose="02040503050406030204" pitchFamily="18" charset="0"/>
                  <a:ea typeface="Cambria Math" panose="02040503050406030204" pitchFamily="18" charset="0"/>
                </a:rPr>
                <a:t>𝑖 ) </a:t>
              </a:r>
              <a:r>
                <a:rPr lang="es-PE" sz="1400" i="0">
                  <a:solidFill>
                    <a:srgbClr val="836967"/>
                  </a:solidFill>
                  <a:latin typeface="Cambria Math" panose="02040503050406030204" pitchFamily="18" charset="0"/>
                  <a:ea typeface="Cambria Math" panose="02040503050406030204" pitchFamily="18" charset="0"/>
                </a:rPr>
                <a:t>)/</a:t>
              </a:r>
              <a:r>
                <a:rPr lang="es-PE" sz="1400" i="0">
                  <a:latin typeface="Cambria Math" panose="02040503050406030204" pitchFamily="18" charset="0"/>
                  <a:ea typeface="Cambria Math" panose="02040503050406030204" pitchFamily="18" charset="0"/>
                </a:rPr>
                <a:t>𝑁) </a:t>
              </a:r>
              <a:endParaRPr lang="es-PE" sz="1200">
                <a:latin typeface="Cambria Math" panose="02040503050406030204" pitchFamily="18" charset="0"/>
                <a:ea typeface="Cambria Math" panose="02040503050406030204" pitchFamily="18" charset="0"/>
              </a:endParaRPr>
            </a:p>
          </xdr:txBody>
        </xdr:sp>
      </mc:Fallback>
    </mc:AlternateContent>
    <xdr:clientData/>
  </xdr:oneCellAnchor>
  <xdr:twoCellAnchor>
    <xdr:from>
      <xdr:col>18</xdr:col>
      <xdr:colOff>232833</xdr:colOff>
      <xdr:row>38</xdr:row>
      <xdr:rowOff>179916</xdr:rowOff>
    </xdr:from>
    <xdr:to>
      <xdr:col>26</xdr:col>
      <xdr:colOff>317500</xdr:colOff>
      <xdr:row>45</xdr:row>
      <xdr:rowOff>21168</xdr:rowOff>
    </xdr:to>
    <xdr:sp macro="" textlink="">
      <xdr:nvSpPr>
        <xdr:cNvPr id="4" name="Rectángulo: esquinas redondeadas 3">
          <a:extLst>
            <a:ext uri="{FF2B5EF4-FFF2-40B4-BE49-F238E27FC236}">
              <a16:creationId xmlns:a16="http://schemas.microsoft.com/office/drawing/2014/main" id="{4A8228C0-878A-4E23-B2EA-34B1D8954ED2}"/>
            </a:ext>
          </a:extLst>
        </xdr:cNvPr>
        <xdr:cNvSpPr/>
      </xdr:nvSpPr>
      <xdr:spPr>
        <a:xfrm>
          <a:off x="9719733" y="10505016"/>
          <a:ext cx="4108027" cy="113665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100" i="0">
              <a:solidFill>
                <a:sysClr val="windowText" lastClr="000000"/>
              </a:solidFill>
              <a:latin typeface="Cambria Math" panose="02040503050406030204" pitchFamily="18" charset="0"/>
              <a:ea typeface="Cambria Math" panose="02040503050406030204" pitchFamily="18" charset="0"/>
            </a:rPr>
            <a:t>r</a:t>
          </a:r>
          <a:r>
            <a:rPr lang="es-PE" sz="1100" i="0" baseline="-25000">
              <a:solidFill>
                <a:sysClr val="windowText" lastClr="000000"/>
              </a:solidFill>
              <a:latin typeface="Cambria Math" panose="02040503050406030204" pitchFamily="18" charset="0"/>
              <a:ea typeface="Cambria Math" panose="02040503050406030204" pitchFamily="18" charset="0"/>
            </a:rPr>
            <a:t>i</a:t>
          </a:r>
          <a:r>
            <a:rPr lang="es-PE" sz="1100" i="0">
              <a:solidFill>
                <a:sysClr val="windowText" lastClr="000000"/>
              </a:solidFill>
              <a:latin typeface="Cambria Math" panose="02040503050406030204" pitchFamily="18" charset="0"/>
              <a:ea typeface="Cambria Math" panose="02040503050406030204" pitchFamily="18" charset="0"/>
            </a:rPr>
            <a:t> : # de respuestas para</a:t>
          </a:r>
          <a:r>
            <a:rPr lang="es-PE" sz="1100" i="0" baseline="0">
              <a:solidFill>
                <a:sysClr val="windowText" lastClr="000000"/>
              </a:solidFill>
              <a:latin typeface="Cambria Math" panose="02040503050406030204" pitchFamily="18" charset="0"/>
              <a:ea typeface="Cambria Math" panose="02040503050406030204" pitchFamily="18" charset="0"/>
            </a:rPr>
            <a:t> la opción </a:t>
          </a:r>
          <a:r>
            <a:rPr lang="es-PE" sz="1100" b="0" i="0" baseline="0">
              <a:solidFill>
                <a:sysClr val="windowText" lastClr="000000"/>
              </a:solidFill>
              <a:latin typeface="Cambria Math" panose="02040503050406030204" pitchFamily="18" charset="0"/>
              <a:ea typeface="Cambria Math" panose="02040503050406030204" pitchFamily="18" charset="0"/>
            </a:rPr>
            <a:t>i</a:t>
          </a:r>
          <a:endParaRPr lang="es-PE" sz="1100" i="0">
            <a:solidFill>
              <a:sysClr val="windowText" lastClr="000000"/>
            </a:solidFill>
            <a:latin typeface="Cambria Math" panose="02040503050406030204" pitchFamily="18" charset="0"/>
            <a:ea typeface="Cambria Math" panose="02040503050406030204" pitchFamily="18" charset="0"/>
          </a:endParaRPr>
        </a:p>
        <a:p>
          <a:pPr algn="l"/>
          <a:r>
            <a:rPr lang="es-PE" sz="1100" i="0">
              <a:solidFill>
                <a:sysClr val="windowText" lastClr="000000"/>
              </a:solidFill>
              <a:latin typeface="Cambria Math" panose="02040503050406030204" pitchFamily="18" charset="0"/>
              <a:ea typeface="Cambria Math" panose="02040503050406030204" pitchFamily="18" charset="0"/>
            </a:rPr>
            <a:t>P</a:t>
          </a:r>
          <a:r>
            <a:rPr lang="es-PE" sz="1100" i="0" cap="none" baseline="-25000">
              <a:solidFill>
                <a:sysClr val="windowText" lastClr="000000"/>
              </a:solidFill>
              <a:latin typeface="Cambria Math" panose="02040503050406030204" pitchFamily="18" charset="0"/>
              <a:ea typeface="Cambria Math" panose="02040503050406030204" pitchFamily="18" charset="0"/>
            </a:rPr>
            <a:t>i</a:t>
          </a:r>
          <a:r>
            <a:rPr lang="es-PE" sz="1100" i="0">
              <a:solidFill>
                <a:sysClr val="windowText" lastClr="000000"/>
              </a:solidFill>
              <a:latin typeface="Cambria Math" panose="02040503050406030204" pitchFamily="18" charset="0"/>
              <a:ea typeface="Cambria Math" panose="02040503050406030204" pitchFamily="18" charset="0"/>
            </a:rPr>
            <a:t> :  Peso</a:t>
          </a:r>
          <a:r>
            <a:rPr lang="es-PE" sz="1100" i="0" baseline="0">
              <a:solidFill>
                <a:sysClr val="windowText" lastClr="000000"/>
              </a:solidFill>
              <a:latin typeface="Cambria Math" panose="02040503050406030204" pitchFamily="18" charset="0"/>
              <a:ea typeface="Cambria Math" panose="02040503050406030204" pitchFamily="18" charset="0"/>
            </a:rPr>
            <a:t> de la opción i (que puede variar de 0 a 5)</a:t>
          </a:r>
          <a:endParaRPr lang="es-PE" sz="1100" i="0">
            <a:solidFill>
              <a:sysClr val="windowText" lastClr="000000"/>
            </a:solidFill>
            <a:latin typeface="Cambria Math" panose="02040503050406030204" pitchFamily="18" charset="0"/>
            <a:ea typeface="Cambria Math" panose="02040503050406030204" pitchFamily="18" charset="0"/>
          </a:endParaRPr>
        </a:p>
        <a:p>
          <a:pPr algn="l"/>
          <a:r>
            <a:rPr lang="es-PE" sz="1100" i="0">
              <a:solidFill>
                <a:sysClr val="windowText" lastClr="000000"/>
              </a:solidFill>
              <a:latin typeface="Cambria Math" panose="02040503050406030204" pitchFamily="18" charset="0"/>
              <a:ea typeface="Cambria Math" panose="02040503050406030204" pitchFamily="18" charset="0"/>
            </a:rPr>
            <a:t>N  : Total de respuestas de todas las preguntas</a:t>
          </a:r>
        </a:p>
        <a:p>
          <a:pPr algn="l"/>
          <a:r>
            <a:rPr lang="es-PE" sz="1100" i="0">
              <a:solidFill>
                <a:sysClr val="windowText" lastClr="000000"/>
              </a:solidFill>
              <a:latin typeface="Cambria Math" panose="02040503050406030204" pitchFamily="18" charset="0"/>
              <a:ea typeface="Cambria Math" panose="02040503050406030204" pitchFamily="18" charset="0"/>
            </a:rPr>
            <a:t>m :</a:t>
          </a:r>
          <a:r>
            <a:rPr lang="es-PE" sz="1100" i="0" baseline="0">
              <a:solidFill>
                <a:sysClr val="windowText" lastClr="000000"/>
              </a:solidFill>
              <a:latin typeface="Cambria Math" panose="02040503050406030204" pitchFamily="18" charset="0"/>
              <a:ea typeface="Cambria Math" panose="02040503050406030204" pitchFamily="18" charset="0"/>
            </a:rPr>
            <a:t> Cantidad de preguntas de un Pilar</a:t>
          </a:r>
          <a:endParaRPr lang="es-PE" sz="1100" i="0">
            <a:solidFill>
              <a:sysClr val="windowText" lastClr="000000"/>
            </a:solidFill>
            <a:latin typeface="Cambria Math" panose="02040503050406030204" pitchFamily="18" charset="0"/>
            <a:ea typeface="Cambria Math" panose="02040503050406030204" pitchFamily="18" charset="0"/>
          </a:endParaRPr>
        </a:p>
        <a:p>
          <a:pPr algn="l"/>
          <a:r>
            <a:rPr lang="es-PE" sz="1100" i="0">
              <a:solidFill>
                <a:sysClr val="windowText" lastClr="000000"/>
              </a:solidFill>
              <a:latin typeface="Cambria Math" panose="02040503050406030204" pitchFamily="18" charset="0"/>
              <a:ea typeface="Cambria Math" panose="02040503050406030204" pitchFamily="18" charset="0"/>
            </a:rPr>
            <a:t>j    </a:t>
          </a:r>
          <a:r>
            <a:rPr lang="es-PE" sz="1100" i="0" baseline="0">
              <a:solidFill>
                <a:sysClr val="windowText" lastClr="000000"/>
              </a:solidFill>
              <a:latin typeface="Cambria Math" panose="02040503050406030204" pitchFamily="18" charset="0"/>
              <a:ea typeface="Cambria Math" panose="02040503050406030204" pitchFamily="18" charset="0"/>
            </a:rPr>
            <a:t>: # de pregunta</a:t>
          </a:r>
          <a:endParaRPr lang="es-PE" sz="1100" i="0">
            <a:solidFill>
              <a:sysClr val="windowText" lastClr="000000"/>
            </a:solidFill>
            <a:latin typeface="Cambria Math" panose="02040503050406030204" pitchFamily="18" charset="0"/>
            <a:ea typeface="Cambria Math" panose="02040503050406030204" pitchFamily="18" charset="0"/>
          </a:endParaRPr>
        </a:p>
      </xdr:txBody>
    </xdr:sp>
    <xdr:clientData/>
  </xdr:twoCellAnchor>
  <xdr:twoCellAnchor editAs="oneCell">
    <xdr:from>
      <xdr:col>8</xdr:col>
      <xdr:colOff>175304</xdr:colOff>
      <xdr:row>50</xdr:row>
      <xdr:rowOff>166134</xdr:rowOff>
    </xdr:from>
    <xdr:to>
      <xdr:col>13</xdr:col>
      <xdr:colOff>399769</xdr:colOff>
      <xdr:row>54</xdr:row>
      <xdr:rowOff>110491</xdr:rowOff>
    </xdr:to>
    <xdr:pic>
      <xdr:nvPicPr>
        <xdr:cNvPr id="6" name="Imagen 5">
          <a:extLst>
            <a:ext uri="{FF2B5EF4-FFF2-40B4-BE49-F238E27FC236}">
              <a16:creationId xmlns:a16="http://schemas.microsoft.com/office/drawing/2014/main" id="{68D88CE9-F9C1-E586-45AC-F081973D8FDE}"/>
            </a:ext>
          </a:extLst>
        </xdr:cNvPr>
        <xdr:cNvPicPr>
          <a:picLocks noChangeAspect="1"/>
        </xdr:cNvPicPr>
      </xdr:nvPicPr>
      <xdr:blipFill>
        <a:blip xmlns:r="http://schemas.openxmlformats.org/officeDocument/2006/relationships" r:embed="rId1"/>
        <a:stretch>
          <a:fillRect/>
        </a:stretch>
      </xdr:blipFill>
      <xdr:spPr>
        <a:xfrm>
          <a:off x="4738444" y="9159506"/>
          <a:ext cx="2605715" cy="708572"/>
        </a:xfrm>
        <a:prstGeom prst="rect">
          <a:avLst/>
        </a:prstGeom>
      </xdr:spPr>
    </xdr:pic>
    <xdr:clientData/>
  </xdr:twoCellAnchor>
  <xdr:twoCellAnchor editAs="oneCell">
    <xdr:from>
      <xdr:col>13</xdr:col>
      <xdr:colOff>310115</xdr:colOff>
      <xdr:row>50</xdr:row>
      <xdr:rowOff>121832</xdr:rowOff>
    </xdr:from>
    <xdr:to>
      <xdr:col>18</xdr:col>
      <xdr:colOff>77797</xdr:colOff>
      <xdr:row>55</xdr:row>
      <xdr:rowOff>94693</xdr:rowOff>
    </xdr:to>
    <xdr:pic>
      <xdr:nvPicPr>
        <xdr:cNvPr id="7" name="Imagen 6">
          <a:extLst>
            <a:ext uri="{FF2B5EF4-FFF2-40B4-BE49-F238E27FC236}">
              <a16:creationId xmlns:a16="http://schemas.microsoft.com/office/drawing/2014/main" id="{669B84F0-3908-3174-9B18-19BBE1BA2FBF}"/>
            </a:ext>
          </a:extLst>
        </xdr:cNvPr>
        <xdr:cNvPicPr>
          <a:picLocks noChangeAspect="1"/>
        </xdr:cNvPicPr>
      </xdr:nvPicPr>
      <xdr:blipFill>
        <a:blip xmlns:r="http://schemas.openxmlformats.org/officeDocument/2006/relationships" r:embed="rId2"/>
        <a:stretch>
          <a:fillRect/>
        </a:stretch>
      </xdr:blipFill>
      <xdr:spPr>
        <a:xfrm>
          <a:off x="7254505" y="9115204"/>
          <a:ext cx="2459048" cy="914286"/>
        </a:xfrm>
        <a:prstGeom prst="rect">
          <a:avLst/>
        </a:prstGeom>
      </xdr:spPr>
    </xdr:pic>
    <xdr:clientData/>
  </xdr:twoCellAnchor>
  <xdr:twoCellAnchor editAs="oneCell">
    <xdr:from>
      <xdr:col>27</xdr:col>
      <xdr:colOff>88605</xdr:colOff>
      <xdr:row>1</xdr:row>
      <xdr:rowOff>106325</xdr:rowOff>
    </xdr:from>
    <xdr:to>
      <xdr:col>34</xdr:col>
      <xdr:colOff>29154</xdr:colOff>
      <xdr:row>4</xdr:row>
      <xdr:rowOff>79744</xdr:rowOff>
    </xdr:to>
    <xdr:pic>
      <xdr:nvPicPr>
        <xdr:cNvPr id="5" name="Imagen 4">
          <a:extLst>
            <a:ext uri="{FF2B5EF4-FFF2-40B4-BE49-F238E27FC236}">
              <a16:creationId xmlns:a16="http://schemas.microsoft.com/office/drawing/2014/main" id="{FFF2EADF-F5C8-161D-C3D6-BBF551FCFEFF}"/>
            </a:ext>
          </a:extLst>
        </xdr:cNvPr>
        <xdr:cNvPicPr>
          <a:picLocks noChangeAspect="1"/>
        </xdr:cNvPicPr>
      </xdr:nvPicPr>
      <xdr:blipFill rotWithShape="1">
        <a:blip xmlns:r="http://schemas.openxmlformats.org/officeDocument/2006/relationships" r:embed="rId3"/>
        <a:srcRect b="78033"/>
        <a:stretch/>
      </xdr:blipFill>
      <xdr:spPr>
        <a:xfrm>
          <a:off x="14247628" y="292395"/>
          <a:ext cx="3192340" cy="575930"/>
        </a:xfrm>
        <a:prstGeom prst="rect">
          <a:avLst/>
        </a:prstGeom>
      </xdr:spPr>
    </xdr:pic>
    <xdr:clientData/>
  </xdr:twoCellAnchor>
  <xdr:twoCellAnchor editAs="oneCell">
    <xdr:from>
      <xdr:col>21</xdr:col>
      <xdr:colOff>46076</xdr:colOff>
      <xdr:row>1</xdr:row>
      <xdr:rowOff>70884</xdr:rowOff>
    </xdr:from>
    <xdr:to>
      <xdr:col>26</xdr:col>
      <xdr:colOff>455404</xdr:colOff>
      <xdr:row>4</xdr:row>
      <xdr:rowOff>119990</xdr:rowOff>
    </xdr:to>
    <xdr:pic>
      <xdr:nvPicPr>
        <xdr:cNvPr id="8" name="Imagen 7">
          <a:extLst>
            <a:ext uri="{FF2B5EF4-FFF2-40B4-BE49-F238E27FC236}">
              <a16:creationId xmlns:a16="http://schemas.microsoft.com/office/drawing/2014/main" id="{AB4D5670-A0A4-D55E-DD8F-7A70E812DCFD}"/>
            </a:ext>
          </a:extLst>
        </xdr:cNvPr>
        <xdr:cNvPicPr>
          <a:picLocks noChangeAspect="1"/>
        </xdr:cNvPicPr>
      </xdr:nvPicPr>
      <xdr:blipFill rotWithShape="1">
        <a:blip xmlns:r="http://schemas.openxmlformats.org/officeDocument/2006/relationships" r:embed="rId3"/>
        <a:srcRect t="72963"/>
        <a:stretch/>
      </xdr:blipFill>
      <xdr:spPr>
        <a:xfrm>
          <a:off x="11174820" y="256954"/>
          <a:ext cx="2934561" cy="651617"/>
        </a:xfrm>
        <a:prstGeom prst="rect">
          <a:avLst/>
        </a:prstGeom>
      </xdr:spPr>
    </xdr:pic>
    <xdr:clientData/>
  </xdr:twoCellAnchor>
  <xdr:twoCellAnchor editAs="oneCell">
    <xdr:from>
      <xdr:col>15</xdr:col>
      <xdr:colOff>44303</xdr:colOff>
      <xdr:row>1</xdr:row>
      <xdr:rowOff>155034</xdr:rowOff>
    </xdr:from>
    <xdr:to>
      <xdr:col>20</xdr:col>
      <xdr:colOff>496186</xdr:colOff>
      <xdr:row>4</xdr:row>
      <xdr:rowOff>132909</xdr:rowOff>
    </xdr:to>
    <xdr:pic>
      <xdr:nvPicPr>
        <xdr:cNvPr id="9" name="Imagen 8">
          <a:extLst>
            <a:ext uri="{FF2B5EF4-FFF2-40B4-BE49-F238E27FC236}">
              <a16:creationId xmlns:a16="http://schemas.microsoft.com/office/drawing/2014/main" id="{EBE1148D-CFB7-A28C-6433-AD8F2048851F}"/>
            </a:ext>
          </a:extLst>
        </xdr:cNvPr>
        <xdr:cNvPicPr>
          <a:picLocks noChangeAspect="1"/>
        </xdr:cNvPicPr>
      </xdr:nvPicPr>
      <xdr:blipFill rotWithShape="1">
        <a:blip xmlns:r="http://schemas.openxmlformats.org/officeDocument/2006/relationships" r:embed="rId3"/>
        <a:srcRect l="3821" t="50738" r="138" b="26864"/>
        <a:stretch/>
      </xdr:blipFill>
      <xdr:spPr>
        <a:xfrm>
          <a:off x="8089605" y="341104"/>
          <a:ext cx="3030279" cy="580386"/>
        </a:xfrm>
        <a:prstGeom prst="rect">
          <a:avLst/>
        </a:prstGeom>
      </xdr:spPr>
    </xdr:pic>
    <xdr:clientData/>
  </xdr:twoCellAnchor>
  <xdr:twoCellAnchor editAs="oneCell">
    <xdr:from>
      <xdr:col>9</xdr:col>
      <xdr:colOff>404038</xdr:colOff>
      <xdr:row>2</xdr:row>
      <xdr:rowOff>44302</xdr:rowOff>
    </xdr:from>
    <xdr:to>
      <xdr:col>14</xdr:col>
      <xdr:colOff>304047</xdr:colOff>
      <xdr:row>5</xdr:row>
      <xdr:rowOff>26581</xdr:rowOff>
    </xdr:to>
    <xdr:pic>
      <xdr:nvPicPr>
        <xdr:cNvPr id="10" name="Imagen 9">
          <a:extLst>
            <a:ext uri="{FF2B5EF4-FFF2-40B4-BE49-F238E27FC236}">
              <a16:creationId xmlns:a16="http://schemas.microsoft.com/office/drawing/2014/main" id="{E3365B59-2C93-5DBF-29B7-0CF57802BE4D}"/>
            </a:ext>
          </a:extLst>
        </xdr:cNvPr>
        <xdr:cNvPicPr>
          <a:picLocks noChangeAspect="1"/>
        </xdr:cNvPicPr>
      </xdr:nvPicPr>
      <xdr:blipFill rotWithShape="1">
        <a:blip xmlns:r="http://schemas.openxmlformats.org/officeDocument/2006/relationships" r:embed="rId3"/>
        <a:srcRect t="22914" b="49950"/>
        <a:stretch/>
      </xdr:blipFill>
      <xdr:spPr>
        <a:xfrm>
          <a:off x="5312736" y="460744"/>
          <a:ext cx="2425241" cy="54048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21</xdr:row>
      <xdr:rowOff>0</xdr:rowOff>
    </xdr:from>
    <xdr:to>
      <xdr:col>9</xdr:col>
      <xdr:colOff>510540</xdr:colOff>
      <xdr:row>35</xdr:row>
      <xdr:rowOff>170180</xdr:rowOff>
    </xdr:to>
    <xdr:graphicFrame macro="">
      <xdr:nvGraphicFramePr>
        <xdr:cNvPr id="3" name="Gráfico 2">
          <a:extLst>
            <a:ext uri="{FF2B5EF4-FFF2-40B4-BE49-F238E27FC236}">
              <a16:creationId xmlns:a16="http://schemas.microsoft.com/office/drawing/2014/main" id="{867049E0-FB63-2D11-B5C1-EEACE1FFB6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21</xdr:row>
      <xdr:rowOff>0</xdr:rowOff>
    </xdr:from>
    <xdr:to>
      <xdr:col>19</xdr:col>
      <xdr:colOff>510540</xdr:colOff>
      <xdr:row>35</xdr:row>
      <xdr:rowOff>170180</xdr:rowOff>
    </xdr:to>
    <xdr:graphicFrame macro="">
      <xdr:nvGraphicFramePr>
        <xdr:cNvPr id="4" name="Gráfico 3">
          <a:extLst>
            <a:ext uri="{FF2B5EF4-FFF2-40B4-BE49-F238E27FC236}">
              <a16:creationId xmlns:a16="http://schemas.microsoft.com/office/drawing/2014/main" id="{D1DD22F5-56DE-3C8F-6D40-016A3FEFDD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525780</xdr:colOff>
      <xdr:row>41</xdr:row>
      <xdr:rowOff>22860</xdr:rowOff>
    </xdr:from>
    <xdr:to>
      <xdr:col>9</xdr:col>
      <xdr:colOff>58420</xdr:colOff>
      <xdr:row>61</xdr:row>
      <xdr:rowOff>175260</xdr:rowOff>
    </xdr:to>
    <xdr:graphicFrame macro="">
      <xdr:nvGraphicFramePr>
        <xdr:cNvPr id="5" name="Gráfico 4">
          <a:extLst>
            <a:ext uri="{FF2B5EF4-FFF2-40B4-BE49-F238E27FC236}">
              <a16:creationId xmlns:a16="http://schemas.microsoft.com/office/drawing/2014/main" id="{9D938E79-10FB-F1BA-84D9-E0E2916930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76200</xdr:colOff>
      <xdr:row>2</xdr:row>
      <xdr:rowOff>15240</xdr:rowOff>
    </xdr:from>
    <xdr:to>
      <xdr:col>8</xdr:col>
      <xdr:colOff>62305</xdr:colOff>
      <xdr:row>17</xdr:row>
      <xdr:rowOff>72166</xdr:rowOff>
    </xdr:to>
    <xdr:graphicFrame macro="">
      <xdr:nvGraphicFramePr>
        <xdr:cNvPr id="7" name="Gráfico 6">
          <a:extLst>
            <a:ext uri="{FF2B5EF4-FFF2-40B4-BE49-F238E27FC236}">
              <a16:creationId xmlns:a16="http://schemas.microsoft.com/office/drawing/2014/main" id="{265A0491-A0A5-4B17-BCF7-A330934012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7172</xdr:colOff>
      <xdr:row>69</xdr:row>
      <xdr:rowOff>147470</xdr:rowOff>
    </xdr:from>
    <xdr:to>
      <xdr:col>13</xdr:col>
      <xdr:colOff>638288</xdr:colOff>
      <xdr:row>85</xdr:row>
      <xdr:rowOff>18378</xdr:rowOff>
    </xdr:to>
    <xdr:graphicFrame macro="">
      <xdr:nvGraphicFramePr>
        <xdr:cNvPr id="8" name="Gráfico 7">
          <a:extLst>
            <a:ext uri="{FF2B5EF4-FFF2-40B4-BE49-F238E27FC236}">
              <a16:creationId xmlns:a16="http://schemas.microsoft.com/office/drawing/2014/main" id="{AE2FD59A-6F49-4498-B887-7F303EBA41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312420</xdr:colOff>
      <xdr:row>42</xdr:row>
      <xdr:rowOff>99060</xdr:rowOff>
    </xdr:from>
    <xdr:to>
      <xdr:col>16</xdr:col>
      <xdr:colOff>616025</xdr:colOff>
      <xdr:row>62</xdr:row>
      <xdr:rowOff>179742</xdr:rowOff>
    </xdr:to>
    <xdr:graphicFrame macro="">
      <xdr:nvGraphicFramePr>
        <xdr:cNvPr id="9" name="Gráfico 8">
          <a:extLst>
            <a:ext uri="{FF2B5EF4-FFF2-40B4-BE49-F238E27FC236}">
              <a16:creationId xmlns:a16="http://schemas.microsoft.com/office/drawing/2014/main" id="{D0AEDE5D-F113-4BE0-85D0-B2928BEB46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0</xdr:colOff>
      <xdr:row>22</xdr:row>
      <xdr:rowOff>0</xdr:rowOff>
    </xdr:from>
    <xdr:to>
      <xdr:col>29</xdr:col>
      <xdr:colOff>10160</xdr:colOff>
      <xdr:row>42</xdr:row>
      <xdr:rowOff>152400</xdr:rowOff>
    </xdr:to>
    <xdr:graphicFrame macro="">
      <xdr:nvGraphicFramePr>
        <xdr:cNvPr id="2" name="Gráfico 1">
          <a:extLst>
            <a:ext uri="{FF2B5EF4-FFF2-40B4-BE49-F238E27FC236}">
              <a16:creationId xmlns:a16="http://schemas.microsoft.com/office/drawing/2014/main" id="{94A3FA8F-868F-D9B7-C5AB-0B14974330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risthian Martin Valladolid Chero" refreshedDate="45653.312023611114" createdVersion="8" refreshedVersion="8" minRefreshableVersion="3" recordCount="388" xr:uid="{1767E0D1-000C-4A95-AEE5-E48839D2C8C5}">
  <cacheSource type="worksheet">
    <worksheetSource name="Resumen2"/>
  </cacheSource>
  <cacheFields count="6">
    <cacheField name="Correo electrónico" numFmtId="0">
      <sharedItems/>
    </cacheField>
    <cacheField name="Servicios" numFmtId="0">
      <sharedItems count="4">
        <s v="Comedor"/>
        <s v="Limpieza y Lavandería"/>
        <s v="Soporte Administrativo"/>
        <s v="Administración de Unidades Móviles"/>
      </sharedItems>
    </cacheField>
    <cacheField name="Nro" numFmtId="0">
      <sharedItems containsMixedTypes="1" containsNumber="1" containsInteger="1" minValue="1" maxValue="5" count="6">
        <n v="4"/>
        <n v="3"/>
        <n v="5"/>
        <n v="2"/>
        <n v="1"/>
        <s v="X"/>
      </sharedItems>
    </cacheField>
    <cacheField name="Gerencia" numFmtId="0">
      <sharedItems count="5">
        <s v="Gestión Humana y Sostenibilidad"/>
        <s v="Agrícola"/>
        <s v="Administración y Finanzas"/>
        <s v="Industrial y de Mantenimiento"/>
        <s v="Operaciones"/>
      </sharedItems>
    </cacheField>
    <cacheField name="Area" numFmtId="0">
      <sharedItems count="41">
        <s v="Seguridad"/>
        <s v="Mantenimiento de Riego y Bombas"/>
        <s v="Control de Gestión"/>
        <s v="Legal"/>
        <s v="Contabilidad Tributaria"/>
        <s v="Mantenimiento de Transportes"/>
        <s v="Finanzas y Tesorería"/>
        <s v="Gestion del Talento"/>
        <s v="Transporte"/>
        <s v="Producción"/>
        <s v="Gerencia industrial y de Mantenimiento"/>
        <s v="Almacenes y Distribución PT"/>
        <s v="Fundo San Vicente"/>
        <s v="Electricidad"/>
        <s v="Sistemas y TI"/>
        <s v="Riesgos y Cumplimiento"/>
        <s v="Mantenimiento CAT"/>
        <s v="Cosecha"/>
        <s v="Mantenimiento Industrial"/>
        <s v="Calidad"/>
        <s v="Cadenas Productivas"/>
        <s v="Gestor de Recursos Humanos"/>
        <s v="Fundo Montelima"/>
        <s v="Laboratorio e Investigación Agricola"/>
        <s v="Planificador Agrícola"/>
        <s v="Fundo Lobo"/>
        <s v="Compras"/>
        <s v="Comercial No Giro"/>
        <s v="Gerencia Agrícola"/>
        <s v="Sostenibilidad"/>
        <s v="Comercial"/>
        <s v="Comunicaciones y Responsabilidad Social"/>
        <s v="Fundo La Huaca"/>
        <s v="Automatización"/>
        <s v="Sistema Integral de Gestión"/>
        <s v="Bienestar - Medico Ocupacional"/>
        <s v="Relaciones Laborales"/>
        <s v="Almacén "/>
        <s v="Compensación y Nóminas"/>
        <s v="Gerencia de Operaciones"/>
        <s v="Gerencia Administración y Finanzas"/>
      </sharedItems>
    </cacheField>
    <cacheField name="Columna1" numFmtId="0">
      <sharedItems count="5">
        <s v="Gestión Humana y Sostenibilidad"/>
        <s v="Agrícola"/>
        <s v="Administración y Finanzas"/>
        <s v="Industrial y de Mantenimiento"/>
        <s v="Operacione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risthian Martin Valladolid Chero" refreshedDate="45656.37464224537" createdVersion="3" refreshedVersion="8" minRefreshableVersion="3" recordCount="388" xr:uid="{53B4D9AE-C1CC-4141-864E-E4B1A66976B5}">
  <cacheSource type="worksheet">
    <worksheetSource ref="A1:E389" sheet="Paso3_Tabuleado"/>
  </cacheSource>
  <cacheFields count="5">
    <cacheField name="Correo electrónico" numFmtId="0">
      <sharedItems/>
    </cacheField>
    <cacheField name="Servicios" numFmtId="0">
      <sharedItems count="4">
        <s v="Comedor"/>
        <s v="Limpieza y Lavandería"/>
        <s v="Soporte Administrativo"/>
        <s v="Administración de Unidades Móviles"/>
      </sharedItems>
    </cacheField>
    <cacheField name="Nro" numFmtId="0">
      <sharedItems containsMixedTypes="1" containsNumber="1" containsInteger="1" minValue="1" maxValue="5"/>
    </cacheField>
    <cacheField name="Gerencia" numFmtId="0">
      <sharedItems/>
    </cacheField>
    <cacheField name="Area" numFmtId="0">
      <sharedItems count="41">
        <s v="Seguridad"/>
        <s v="Mantenimiento de Riego y Bombas"/>
        <s v="Control de Gestión"/>
        <s v="Legal"/>
        <s v="Contabilidad Tributaria"/>
        <s v="Mantenimiento de Transportes"/>
        <s v="Finanzas y Tesorería"/>
        <s v="Gestion del Talento"/>
        <s v="Transporte"/>
        <s v="Producción"/>
        <s v="Gerencia industrial y de Mantenimiento"/>
        <s v="Almacenes y Distribución PT"/>
        <s v="Fundo San Vicente"/>
        <s v="Electricidad"/>
        <s v="Sistemas y TI"/>
        <s v="Riesgos y Cumplimiento"/>
        <s v="Mantenimiento CAT"/>
        <s v="Cosecha"/>
        <s v="Mantenimiento Industrial"/>
        <s v="Calidad"/>
        <s v="Cadenas Productivas"/>
        <s v="Gestor de Recursos Humanos"/>
        <s v="Fundo Montelima"/>
        <s v="Laboratorio e Investigación Agricola"/>
        <s v="Planificador Agrícola"/>
        <s v="Fundo Lobo"/>
        <s v="Compras"/>
        <s v="Comercial No Giro"/>
        <s v="Gerencia Agrícola"/>
        <s v="Sostenibilidad"/>
        <s v="Comercial"/>
        <s v="Comunicaciones y Responsabilidad Social"/>
        <s v="Fundo La Huaca"/>
        <s v="Automatización"/>
        <s v="Sistema Integral de Gestión"/>
        <s v="Bienestar - Medico Ocupacional"/>
        <s v="Relaciones Laborales"/>
        <s v="Almacén "/>
        <s v="Compensación y Nóminas"/>
        <s v="Gerencia de Operaciones"/>
        <s v="Gerencia Administración y Finanza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8">
  <r>
    <s v="JArevaloga@agricolachira.com.pe"/>
    <x v="0"/>
    <x v="0"/>
    <x v="0"/>
    <x v="0"/>
    <x v="0"/>
  </r>
  <r>
    <s v="FValladaresC@agricolachira.com.pe"/>
    <x v="0"/>
    <x v="1"/>
    <x v="1"/>
    <x v="1"/>
    <x v="1"/>
  </r>
  <r>
    <s v="ABurneoL@agricolachira.com.pe"/>
    <x v="0"/>
    <x v="2"/>
    <x v="2"/>
    <x v="2"/>
    <x v="2"/>
  </r>
  <r>
    <s v="DZuritaF@agricolachira.com.pe"/>
    <x v="0"/>
    <x v="0"/>
    <x v="2"/>
    <x v="3"/>
    <x v="2"/>
  </r>
  <r>
    <s v="MMartinezP@agricolachira.com.pe"/>
    <x v="0"/>
    <x v="2"/>
    <x v="2"/>
    <x v="4"/>
    <x v="2"/>
  </r>
  <r>
    <s v="creyesy@agricolachira.com.pe"/>
    <x v="0"/>
    <x v="0"/>
    <x v="3"/>
    <x v="5"/>
    <x v="3"/>
  </r>
  <r>
    <s v="KOtinianoP@agricolachira.com.pe"/>
    <x v="0"/>
    <x v="0"/>
    <x v="2"/>
    <x v="3"/>
    <x v="2"/>
  </r>
  <r>
    <s v="LOlayaLe@agricolachira.com.pe"/>
    <x v="0"/>
    <x v="0"/>
    <x v="2"/>
    <x v="6"/>
    <x v="2"/>
  </r>
  <r>
    <s v="CRamosG@agricolachira.com.pe"/>
    <x v="0"/>
    <x v="0"/>
    <x v="0"/>
    <x v="7"/>
    <x v="0"/>
  </r>
  <r>
    <s v="BGonzalesM@agricolachira.com.pe"/>
    <x v="0"/>
    <x v="0"/>
    <x v="4"/>
    <x v="8"/>
    <x v="4"/>
  </r>
  <r>
    <s v="AFloresD@agricolachira.com.pe"/>
    <x v="0"/>
    <x v="0"/>
    <x v="3"/>
    <x v="9"/>
    <x v="3"/>
  </r>
  <r>
    <s v="rmerach@agricolachira.com.pe"/>
    <x v="0"/>
    <x v="0"/>
    <x v="3"/>
    <x v="10"/>
    <x v="3"/>
  </r>
  <r>
    <s v="YGarridoS@agricolachira.com.pe"/>
    <x v="0"/>
    <x v="2"/>
    <x v="4"/>
    <x v="11"/>
    <x v="4"/>
  </r>
  <r>
    <s v="WChavezS@agricolachira.com.pe"/>
    <x v="0"/>
    <x v="0"/>
    <x v="1"/>
    <x v="12"/>
    <x v="1"/>
  </r>
  <r>
    <s v="CCarrilloR@agricolachira.com.pe"/>
    <x v="0"/>
    <x v="0"/>
    <x v="3"/>
    <x v="13"/>
    <x v="3"/>
  </r>
  <r>
    <s v="VHilaresZ@agricolachira.com.pe"/>
    <x v="0"/>
    <x v="0"/>
    <x v="1"/>
    <x v="12"/>
    <x v="1"/>
  </r>
  <r>
    <s v="JGomezAp@agricolachira.com.pe"/>
    <x v="0"/>
    <x v="2"/>
    <x v="2"/>
    <x v="14"/>
    <x v="2"/>
  </r>
  <r>
    <s v="RMoncadaP@agricolachira.com.pe"/>
    <x v="0"/>
    <x v="2"/>
    <x v="2"/>
    <x v="2"/>
    <x v="2"/>
  </r>
  <r>
    <s v="HMocarroC@agricolachira.com.pe"/>
    <x v="0"/>
    <x v="0"/>
    <x v="2"/>
    <x v="15"/>
    <x v="2"/>
  </r>
  <r>
    <s v="EMijahuancaG@agricolachira.com.pe"/>
    <x v="0"/>
    <x v="0"/>
    <x v="4"/>
    <x v="16"/>
    <x v="4"/>
  </r>
  <r>
    <s v="ASeminarioV@agricolachira.com.pe"/>
    <x v="0"/>
    <x v="0"/>
    <x v="1"/>
    <x v="1"/>
    <x v="1"/>
  </r>
  <r>
    <s v="LGarciaC@agricolachira.com.pe"/>
    <x v="0"/>
    <x v="3"/>
    <x v="4"/>
    <x v="17"/>
    <x v="4"/>
  </r>
  <r>
    <s v="JChumaceroC@sucroalcoleradelchira.com.pe"/>
    <x v="0"/>
    <x v="2"/>
    <x v="3"/>
    <x v="18"/>
    <x v="3"/>
  </r>
  <r>
    <s v="LRuizMu@agricolachira.com.pe"/>
    <x v="0"/>
    <x v="2"/>
    <x v="4"/>
    <x v="19"/>
    <x v="4"/>
  </r>
  <r>
    <s v="EArevaloJ@agricolachira.com.pe"/>
    <x v="0"/>
    <x v="2"/>
    <x v="2"/>
    <x v="20"/>
    <x v="2"/>
  </r>
  <r>
    <s v="MCulqueC@agricolachira.com.pe"/>
    <x v="0"/>
    <x v="2"/>
    <x v="1"/>
    <x v="12"/>
    <x v="1"/>
  </r>
  <r>
    <s v="RTorresS@agricolachira.com.pe"/>
    <x v="0"/>
    <x v="0"/>
    <x v="1"/>
    <x v="1"/>
    <x v="1"/>
  </r>
  <r>
    <s v="jvasquezc@agricolachira.com.pe"/>
    <x v="0"/>
    <x v="0"/>
    <x v="2"/>
    <x v="14"/>
    <x v="2"/>
  </r>
  <r>
    <s v="WFacundoF@agricolachira.com.pe"/>
    <x v="0"/>
    <x v="1"/>
    <x v="3"/>
    <x v="9"/>
    <x v="3"/>
  </r>
  <r>
    <s v="JEstelaF@agricolachira.com.pe"/>
    <x v="0"/>
    <x v="3"/>
    <x v="4"/>
    <x v="19"/>
    <x v="4"/>
  </r>
  <r>
    <s v="JCobenasS@agricolachira.com.pe"/>
    <x v="0"/>
    <x v="3"/>
    <x v="4"/>
    <x v="19"/>
    <x v="4"/>
  </r>
  <r>
    <s v="VCruzC@agricolachira.com.pe"/>
    <x v="0"/>
    <x v="2"/>
    <x v="0"/>
    <x v="21"/>
    <x v="0"/>
  </r>
  <r>
    <s v="WCarrascoA@agricolachira.com.pe"/>
    <x v="0"/>
    <x v="1"/>
    <x v="2"/>
    <x v="14"/>
    <x v="2"/>
  </r>
  <r>
    <s v="JRojasBarr@agricolachira.com.pe"/>
    <x v="0"/>
    <x v="1"/>
    <x v="1"/>
    <x v="22"/>
    <x v="1"/>
  </r>
  <r>
    <s v="GCubasA@agricolachira.com.pe"/>
    <x v="0"/>
    <x v="2"/>
    <x v="1"/>
    <x v="1"/>
    <x v="1"/>
  </r>
  <r>
    <s v="jbacilioh@agricolachira.com.pe"/>
    <x v="0"/>
    <x v="2"/>
    <x v="1"/>
    <x v="23"/>
    <x v="1"/>
  </r>
  <r>
    <s v="RInfanteB@agricolachira.com.pe"/>
    <x v="0"/>
    <x v="2"/>
    <x v="1"/>
    <x v="22"/>
    <x v="1"/>
  </r>
  <r>
    <s v="ereyesp@agricolachira.com.pe"/>
    <x v="0"/>
    <x v="0"/>
    <x v="1"/>
    <x v="24"/>
    <x v="1"/>
  </r>
  <r>
    <s v="JGarcesV@agricolachira.com.pe"/>
    <x v="0"/>
    <x v="0"/>
    <x v="0"/>
    <x v="0"/>
    <x v="0"/>
  </r>
  <r>
    <s v="RSacramentoL@agricolachira.com.pe"/>
    <x v="0"/>
    <x v="0"/>
    <x v="1"/>
    <x v="25"/>
    <x v="1"/>
  </r>
  <r>
    <s v="JMioA@agricolachira.com.pe"/>
    <x v="0"/>
    <x v="0"/>
    <x v="1"/>
    <x v="1"/>
    <x v="1"/>
  </r>
  <r>
    <s v="DAlbercaS@agricolachira.com.pe"/>
    <x v="0"/>
    <x v="4"/>
    <x v="4"/>
    <x v="19"/>
    <x v="4"/>
  </r>
  <r>
    <s v="JMogollonC@agricolachira.com.pe"/>
    <x v="0"/>
    <x v="1"/>
    <x v="4"/>
    <x v="8"/>
    <x v="4"/>
  </r>
  <r>
    <s v="adelchiradigitadorsv@agricolachira.com.pe"/>
    <x v="0"/>
    <x v="2"/>
    <x v="1"/>
    <x v="12"/>
    <x v="1"/>
  </r>
  <r>
    <s v="JBayonaG@agricolachira.com.pe"/>
    <x v="0"/>
    <x v="0"/>
    <x v="2"/>
    <x v="26"/>
    <x v="2"/>
  </r>
  <r>
    <s v="JIngaF@agricolachira.com.pe"/>
    <x v="0"/>
    <x v="2"/>
    <x v="2"/>
    <x v="14"/>
    <x v="2"/>
  </r>
  <r>
    <s v="NPizarroC@agricolachira.com.pe"/>
    <x v="0"/>
    <x v="2"/>
    <x v="4"/>
    <x v="27"/>
    <x v="4"/>
  </r>
  <r>
    <s v="MDilibertoS@agricolachira.com.pe"/>
    <x v="0"/>
    <x v="0"/>
    <x v="1"/>
    <x v="28"/>
    <x v="1"/>
  </r>
  <r>
    <s v="lsipiona@agricolachira.com.pe"/>
    <x v="0"/>
    <x v="0"/>
    <x v="0"/>
    <x v="29"/>
    <x v="0"/>
  </r>
  <r>
    <s v="JOrdinolaZ@agricolachira.com.pe"/>
    <x v="0"/>
    <x v="0"/>
    <x v="4"/>
    <x v="19"/>
    <x v="4"/>
  </r>
  <r>
    <s v="cfreym@agricolachira.com.pe"/>
    <x v="0"/>
    <x v="2"/>
    <x v="4"/>
    <x v="30"/>
    <x v="4"/>
  </r>
  <r>
    <s v="MDiazTa@agricolachira.com.pe"/>
    <x v="0"/>
    <x v="5"/>
    <x v="2"/>
    <x v="6"/>
    <x v="2"/>
  </r>
  <r>
    <s v="JHidalgoS@agricolachira.com.pe"/>
    <x v="0"/>
    <x v="2"/>
    <x v="2"/>
    <x v="14"/>
    <x v="2"/>
  </r>
  <r>
    <s v="AGutierrezR@agricolachira.com.pe"/>
    <x v="0"/>
    <x v="2"/>
    <x v="4"/>
    <x v="30"/>
    <x v="4"/>
  </r>
  <r>
    <s v="GTavaraS@agricolachira.com.pe"/>
    <x v="0"/>
    <x v="2"/>
    <x v="4"/>
    <x v="11"/>
    <x v="4"/>
  </r>
  <r>
    <s v="HCruzA@agricolachira.com.pe"/>
    <x v="0"/>
    <x v="0"/>
    <x v="4"/>
    <x v="11"/>
    <x v="4"/>
  </r>
  <r>
    <s v="LRodriguezC@agricolachira.com.pe"/>
    <x v="0"/>
    <x v="0"/>
    <x v="0"/>
    <x v="31"/>
    <x v="0"/>
  </r>
  <r>
    <s v="VVeraN@agricolachira.com.pe"/>
    <x v="0"/>
    <x v="0"/>
    <x v="1"/>
    <x v="23"/>
    <x v="1"/>
  </r>
  <r>
    <s v="JAquijeD@agricolachira.com.pe"/>
    <x v="0"/>
    <x v="0"/>
    <x v="1"/>
    <x v="22"/>
    <x v="1"/>
  </r>
  <r>
    <s v="PHernandezH@agricolachira.com.pe"/>
    <x v="0"/>
    <x v="2"/>
    <x v="1"/>
    <x v="25"/>
    <x v="1"/>
  </r>
  <r>
    <s v="YMoscolC@agricolachira.com.pe"/>
    <x v="0"/>
    <x v="1"/>
    <x v="4"/>
    <x v="30"/>
    <x v="4"/>
  </r>
  <r>
    <s v="GPenaP@agricolachira.com.pe"/>
    <x v="0"/>
    <x v="2"/>
    <x v="1"/>
    <x v="25"/>
    <x v="1"/>
  </r>
  <r>
    <s v="HMatiasZ@agricolachira.com.pe"/>
    <x v="0"/>
    <x v="2"/>
    <x v="1"/>
    <x v="32"/>
    <x v="1"/>
  </r>
  <r>
    <s v="NHansenG@agricolachira.com.pe"/>
    <x v="0"/>
    <x v="0"/>
    <x v="1"/>
    <x v="1"/>
    <x v="1"/>
  </r>
  <r>
    <s v="JMazaV@agricolachira.com.pe"/>
    <x v="0"/>
    <x v="3"/>
    <x v="3"/>
    <x v="33"/>
    <x v="3"/>
  </r>
  <r>
    <s v="DGameroS@agricolachira.com.pe"/>
    <x v="0"/>
    <x v="1"/>
    <x v="3"/>
    <x v="9"/>
    <x v="3"/>
  </r>
  <r>
    <s v="HBorjaT@agricolachira.com.pe"/>
    <x v="0"/>
    <x v="0"/>
    <x v="3"/>
    <x v="13"/>
    <x v="3"/>
  </r>
  <r>
    <s v="LPadillaSa@agricolachira.com.pe"/>
    <x v="0"/>
    <x v="1"/>
    <x v="3"/>
    <x v="9"/>
    <x v="3"/>
  </r>
  <r>
    <s v="LVillarF@agricolachira.com.pe"/>
    <x v="0"/>
    <x v="0"/>
    <x v="3"/>
    <x v="18"/>
    <x v="3"/>
  </r>
  <r>
    <s v="JMendozaG@agricolachira.com.pe"/>
    <x v="0"/>
    <x v="2"/>
    <x v="0"/>
    <x v="0"/>
    <x v="0"/>
  </r>
  <r>
    <s v="AGuldenG@agricolachira.com.pe"/>
    <x v="0"/>
    <x v="2"/>
    <x v="1"/>
    <x v="25"/>
    <x v="1"/>
  </r>
  <r>
    <s v="jjimenezc@agricolachira.com.pe"/>
    <x v="0"/>
    <x v="2"/>
    <x v="0"/>
    <x v="29"/>
    <x v="0"/>
  </r>
  <r>
    <s v="RVelazcoG@agricolachira.com.pe"/>
    <x v="0"/>
    <x v="2"/>
    <x v="1"/>
    <x v="1"/>
    <x v="1"/>
  </r>
  <r>
    <s v="PMarroquinR@agricolachira.com.pe"/>
    <x v="0"/>
    <x v="0"/>
    <x v="1"/>
    <x v="34"/>
    <x v="1"/>
  </r>
  <r>
    <s v="PArcelaC@agricolachira.com.pe"/>
    <x v="0"/>
    <x v="1"/>
    <x v="4"/>
    <x v="17"/>
    <x v="4"/>
  </r>
  <r>
    <s v="ABlancoE@agricolachira.com.pe"/>
    <x v="0"/>
    <x v="2"/>
    <x v="4"/>
    <x v="27"/>
    <x v="4"/>
  </r>
  <r>
    <s v="EAmesM@agricolachira.com.pe"/>
    <x v="0"/>
    <x v="0"/>
    <x v="0"/>
    <x v="35"/>
    <x v="0"/>
  </r>
  <r>
    <s v="JSeminarioA@agricolachira.com.pe"/>
    <x v="0"/>
    <x v="1"/>
    <x v="3"/>
    <x v="9"/>
    <x v="3"/>
  </r>
  <r>
    <s v="JPichilinguP@agricolachira.com.pe"/>
    <x v="0"/>
    <x v="1"/>
    <x v="4"/>
    <x v="30"/>
    <x v="4"/>
  </r>
  <r>
    <s v="FRodriguezV@agricolachira.com.pe"/>
    <x v="0"/>
    <x v="2"/>
    <x v="0"/>
    <x v="36"/>
    <x v="0"/>
  </r>
  <r>
    <s v="JHuamanRo@agricolachira.com.pe"/>
    <x v="0"/>
    <x v="0"/>
    <x v="4"/>
    <x v="17"/>
    <x v="4"/>
  </r>
  <r>
    <s v="YHermenegilA@agricolachira.com.pe"/>
    <x v="0"/>
    <x v="0"/>
    <x v="0"/>
    <x v="35"/>
    <x v="0"/>
  </r>
  <r>
    <s v="CLupucheV@agricolachira.com.pe"/>
    <x v="0"/>
    <x v="2"/>
    <x v="1"/>
    <x v="25"/>
    <x v="1"/>
  </r>
  <r>
    <s v="MVegaY@agricolachira.com.pe"/>
    <x v="0"/>
    <x v="1"/>
    <x v="4"/>
    <x v="19"/>
    <x v="4"/>
  </r>
  <r>
    <s v="digitadorlb2@agricolachira.com.pe"/>
    <x v="0"/>
    <x v="2"/>
    <x v="1"/>
    <x v="25"/>
    <x v="1"/>
  </r>
  <r>
    <s v="digitadorlb1@agricolachira.com.pe"/>
    <x v="0"/>
    <x v="2"/>
    <x v="1"/>
    <x v="25"/>
    <x v="1"/>
  </r>
  <r>
    <s v="YMogollonG@agricolachira.com.pe"/>
    <x v="0"/>
    <x v="2"/>
    <x v="4"/>
    <x v="17"/>
    <x v="4"/>
  </r>
  <r>
    <s v="RMarceloY@agricolachira.com.pe"/>
    <x v="0"/>
    <x v="2"/>
    <x v="4"/>
    <x v="37"/>
    <x v="4"/>
  </r>
  <r>
    <s v="ALachiraP@agricolachira.com.pe"/>
    <x v="0"/>
    <x v="2"/>
    <x v="4"/>
    <x v="11"/>
    <x v="4"/>
  </r>
  <r>
    <s v="AColomaL@agricolachira.com.pe"/>
    <x v="0"/>
    <x v="0"/>
    <x v="0"/>
    <x v="38"/>
    <x v="0"/>
  </r>
  <r>
    <s v="ovasquezp@agricolachira.com.pe"/>
    <x v="0"/>
    <x v="2"/>
    <x v="1"/>
    <x v="24"/>
    <x v="1"/>
  </r>
  <r>
    <s v="ptrigoso@agricolachira.com.pe"/>
    <x v="0"/>
    <x v="0"/>
    <x v="4"/>
    <x v="39"/>
    <x v="4"/>
  </r>
  <r>
    <s v="LOcanaP@agricolachira.com.pe"/>
    <x v="0"/>
    <x v="0"/>
    <x v="2"/>
    <x v="2"/>
    <x v="2"/>
  </r>
  <r>
    <s v="RLupucheQ@agricolachira.com.pe"/>
    <x v="0"/>
    <x v="1"/>
    <x v="1"/>
    <x v="23"/>
    <x v="1"/>
  </r>
  <r>
    <s v="seguridadhuaca_lobo@agricolachira.com.pe"/>
    <x v="0"/>
    <x v="1"/>
    <x v="0"/>
    <x v="0"/>
    <x v="0"/>
  </r>
  <r>
    <s v="CVivancoM@agricolachira.com.pe"/>
    <x v="0"/>
    <x v="0"/>
    <x v="2"/>
    <x v="40"/>
    <x v="2"/>
  </r>
  <r>
    <s v="PSuncionZ@agricolachira.com.pe"/>
    <x v="0"/>
    <x v="0"/>
    <x v="0"/>
    <x v="38"/>
    <x v="0"/>
  </r>
  <r>
    <s v="JArevaloga@agricolachira.com.pe"/>
    <x v="1"/>
    <x v="2"/>
    <x v="0"/>
    <x v="0"/>
    <x v="0"/>
  </r>
  <r>
    <s v="FValladaresC@agricolachira.com.pe"/>
    <x v="1"/>
    <x v="5"/>
    <x v="1"/>
    <x v="1"/>
    <x v="1"/>
  </r>
  <r>
    <s v="ABurneoL@agricolachira.com.pe"/>
    <x v="1"/>
    <x v="5"/>
    <x v="2"/>
    <x v="2"/>
    <x v="2"/>
  </r>
  <r>
    <s v="DZuritaF@agricolachira.com.pe"/>
    <x v="1"/>
    <x v="5"/>
    <x v="2"/>
    <x v="3"/>
    <x v="2"/>
  </r>
  <r>
    <s v="MMartinezP@agricolachira.com.pe"/>
    <x v="1"/>
    <x v="5"/>
    <x v="2"/>
    <x v="4"/>
    <x v="2"/>
  </r>
  <r>
    <s v="creyesy@agricolachira.com.pe"/>
    <x v="1"/>
    <x v="0"/>
    <x v="3"/>
    <x v="5"/>
    <x v="3"/>
  </r>
  <r>
    <s v="KOtinianoP@agricolachira.com.pe"/>
    <x v="1"/>
    <x v="5"/>
    <x v="2"/>
    <x v="3"/>
    <x v="2"/>
  </r>
  <r>
    <s v="LOlayaLe@agricolachira.com.pe"/>
    <x v="1"/>
    <x v="0"/>
    <x v="2"/>
    <x v="6"/>
    <x v="2"/>
  </r>
  <r>
    <s v="CRamosG@agricolachira.com.pe"/>
    <x v="1"/>
    <x v="0"/>
    <x v="0"/>
    <x v="7"/>
    <x v="0"/>
  </r>
  <r>
    <s v="BGonzalesM@agricolachira.com.pe"/>
    <x v="1"/>
    <x v="0"/>
    <x v="4"/>
    <x v="8"/>
    <x v="4"/>
  </r>
  <r>
    <s v="AFloresD@agricolachira.com.pe"/>
    <x v="1"/>
    <x v="5"/>
    <x v="3"/>
    <x v="9"/>
    <x v="3"/>
  </r>
  <r>
    <s v="rmerach@agricolachira.com.pe"/>
    <x v="1"/>
    <x v="5"/>
    <x v="3"/>
    <x v="10"/>
    <x v="3"/>
  </r>
  <r>
    <s v="YGarridoS@agricolachira.com.pe"/>
    <x v="1"/>
    <x v="1"/>
    <x v="4"/>
    <x v="11"/>
    <x v="4"/>
  </r>
  <r>
    <s v="WChavezS@agricolachira.com.pe"/>
    <x v="1"/>
    <x v="5"/>
    <x v="1"/>
    <x v="12"/>
    <x v="1"/>
  </r>
  <r>
    <s v="CCarrilloR@agricolachira.com.pe"/>
    <x v="1"/>
    <x v="2"/>
    <x v="3"/>
    <x v="13"/>
    <x v="3"/>
  </r>
  <r>
    <s v="VHilaresZ@agricolachira.com.pe"/>
    <x v="1"/>
    <x v="0"/>
    <x v="1"/>
    <x v="12"/>
    <x v="1"/>
  </r>
  <r>
    <s v="JGomezAp@agricolachira.com.pe"/>
    <x v="1"/>
    <x v="2"/>
    <x v="2"/>
    <x v="14"/>
    <x v="2"/>
  </r>
  <r>
    <s v="RMoncadaP@agricolachira.com.pe"/>
    <x v="1"/>
    <x v="5"/>
    <x v="2"/>
    <x v="2"/>
    <x v="2"/>
  </r>
  <r>
    <s v="HMocarroC@agricolachira.com.pe"/>
    <x v="1"/>
    <x v="0"/>
    <x v="2"/>
    <x v="15"/>
    <x v="2"/>
  </r>
  <r>
    <s v="EMijahuancaG@agricolachira.com.pe"/>
    <x v="1"/>
    <x v="2"/>
    <x v="4"/>
    <x v="16"/>
    <x v="4"/>
  </r>
  <r>
    <s v="ASeminarioV@agricolachira.com.pe"/>
    <x v="1"/>
    <x v="0"/>
    <x v="1"/>
    <x v="1"/>
    <x v="1"/>
  </r>
  <r>
    <s v="LGarciaC@agricolachira.com.pe"/>
    <x v="1"/>
    <x v="5"/>
    <x v="4"/>
    <x v="17"/>
    <x v="4"/>
  </r>
  <r>
    <s v="JChumaceroC@sucroalcoleradelchira.com.pe"/>
    <x v="1"/>
    <x v="2"/>
    <x v="3"/>
    <x v="18"/>
    <x v="3"/>
  </r>
  <r>
    <s v="LRuizMu@agricolachira.com.pe"/>
    <x v="1"/>
    <x v="0"/>
    <x v="4"/>
    <x v="19"/>
    <x v="4"/>
  </r>
  <r>
    <s v="EArevaloJ@agricolachira.com.pe"/>
    <x v="1"/>
    <x v="2"/>
    <x v="2"/>
    <x v="20"/>
    <x v="2"/>
  </r>
  <r>
    <s v="MCulqueC@agricolachira.com.pe"/>
    <x v="1"/>
    <x v="2"/>
    <x v="1"/>
    <x v="12"/>
    <x v="1"/>
  </r>
  <r>
    <s v="RTorresS@agricolachira.com.pe"/>
    <x v="1"/>
    <x v="0"/>
    <x v="1"/>
    <x v="1"/>
    <x v="1"/>
  </r>
  <r>
    <s v="jvasquezc@agricolachira.com.pe"/>
    <x v="1"/>
    <x v="0"/>
    <x v="2"/>
    <x v="14"/>
    <x v="2"/>
  </r>
  <r>
    <s v="WFacundoF@agricolachira.com.pe"/>
    <x v="1"/>
    <x v="0"/>
    <x v="3"/>
    <x v="9"/>
    <x v="3"/>
  </r>
  <r>
    <s v="JEstelaF@agricolachira.com.pe"/>
    <x v="1"/>
    <x v="5"/>
    <x v="4"/>
    <x v="19"/>
    <x v="4"/>
  </r>
  <r>
    <s v="JCobenasS@agricolachira.com.pe"/>
    <x v="1"/>
    <x v="0"/>
    <x v="4"/>
    <x v="19"/>
    <x v="4"/>
  </r>
  <r>
    <s v="VCruzC@agricolachira.com.pe"/>
    <x v="1"/>
    <x v="2"/>
    <x v="0"/>
    <x v="21"/>
    <x v="0"/>
  </r>
  <r>
    <s v="WCarrascoA@agricolachira.com.pe"/>
    <x v="1"/>
    <x v="0"/>
    <x v="2"/>
    <x v="14"/>
    <x v="2"/>
  </r>
  <r>
    <s v="JRojasBarr@agricolachira.com.pe"/>
    <x v="1"/>
    <x v="5"/>
    <x v="1"/>
    <x v="22"/>
    <x v="1"/>
  </r>
  <r>
    <s v="GCubasA@agricolachira.com.pe"/>
    <x v="1"/>
    <x v="2"/>
    <x v="1"/>
    <x v="1"/>
    <x v="1"/>
  </r>
  <r>
    <s v="jbacilioh@agricolachira.com.pe"/>
    <x v="1"/>
    <x v="5"/>
    <x v="1"/>
    <x v="23"/>
    <x v="1"/>
  </r>
  <r>
    <s v="RInfanteB@agricolachira.com.pe"/>
    <x v="1"/>
    <x v="2"/>
    <x v="1"/>
    <x v="22"/>
    <x v="1"/>
  </r>
  <r>
    <s v="ereyesp@agricolachira.com.pe"/>
    <x v="1"/>
    <x v="5"/>
    <x v="1"/>
    <x v="24"/>
    <x v="1"/>
  </r>
  <r>
    <s v="JGarcesV@agricolachira.com.pe"/>
    <x v="1"/>
    <x v="1"/>
    <x v="0"/>
    <x v="0"/>
    <x v="0"/>
  </r>
  <r>
    <s v="RSacramentoL@agricolachira.com.pe"/>
    <x v="1"/>
    <x v="2"/>
    <x v="1"/>
    <x v="25"/>
    <x v="1"/>
  </r>
  <r>
    <s v="JMioA@agricolachira.com.pe"/>
    <x v="1"/>
    <x v="1"/>
    <x v="1"/>
    <x v="1"/>
    <x v="1"/>
  </r>
  <r>
    <s v="DAlbercaS@agricolachira.com.pe"/>
    <x v="1"/>
    <x v="5"/>
    <x v="4"/>
    <x v="19"/>
    <x v="4"/>
  </r>
  <r>
    <s v="JMogollonC@agricolachira.com.pe"/>
    <x v="1"/>
    <x v="5"/>
    <x v="4"/>
    <x v="8"/>
    <x v="4"/>
  </r>
  <r>
    <s v="adelchiradigitadorsv@agricolachira.com.pe"/>
    <x v="1"/>
    <x v="2"/>
    <x v="1"/>
    <x v="12"/>
    <x v="1"/>
  </r>
  <r>
    <s v="JBayonaG@agricolachira.com.pe"/>
    <x v="1"/>
    <x v="5"/>
    <x v="2"/>
    <x v="26"/>
    <x v="2"/>
  </r>
  <r>
    <s v="JIngaF@agricolachira.com.pe"/>
    <x v="1"/>
    <x v="2"/>
    <x v="2"/>
    <x v="14"/>
    <x v="2"/>
  </r>
  <r>
    <s v="NPizarroC@agricolachira.com.pe"/>
    <x v="1"/>
    <x v="2"/>
    <x v="4"/>
    <x v="27"/>
    <x v="4"/>
  </r>
  <r>
    <s v="MDilibertoS@agricolachira.com.pe"/>
    <x v="1"/>
    <x v="5"/>
    <x v="1"/>
    <x v="28"/>
    <x v="1"/>
  </r>
  <r>
    <s v="lsipiona@agricolachira.com.pe"/>
    <x v="1"/>
    <x v="0"/>
    <x v="0"/>
    <x v="29"/>
    <x v="0"/>
  </r>
  <r>
    <s v="JOrdinolaZ@agricolachira.com.pe"/>
    <x v="1"/>
    <x v="0"/>
    <x v="4"/>
    <x v="19"/>
    <x v="4"/>
  </r>
  <r>
    <s v="cfreym@agricolachira.com.pe"/>
    <x v="1"/>
    <x v="2"/>
    <x v="4"/>
    <x v="30"/>
    <x v="4"/>
  </r>
  <r>
    <s v="MDiazTa@agricolachira.com.pe"/>
    <x v="1"/>
    <x v="5"/>
    <x v="2"/>
    <x v="6"/>
    <x v="2"/>
  </r>
  <r>
    <s v="JHidalgoS@agricolachira.com.pe"/>
    <x v="1"/>
    <x v="2"/>
    <x v="2"/>
    <x v="14"/>
    <x v="2"/>
  </r>
  <r>
    <s v="AGutierrezR@agricolachira.com.pe"/>
    <x v="1"/>
    <x v="2"/>
    <x v="4"/>
    <x v="30"/>
    <x v="4"/>
  </r>
  <r>
    <s v="GTavaraS@agricolachira.com.pe"/>
    <x v="1"/>
    <x v="2"/>
    <x v="4"/>
    <x v="11"/>
    <x v="4"/>
  </r>
  <r>
    <s v="HCruzA@agricolachira.com.pe"/>
    <x v="1"/>
    <x v="5"/>
    <x v="4"/>
    <x v="11"/>
    <x v="4"/>
  </r>
  <r>
    <s v="LRodriguezC@agricolachira.com.pe"/>
    <x v="1"/>
    <x v="0"/>
    <x v="0"/>
    <x v="31"/>
    <x v="0"/>
  </r>
  <r>
    <s v="VVeraN@agricolachira.com.pe"/>
    <x v="1"/>
    <x v="0"/>
    <x v="1"/>
    <x v="23"/>
    <x v="1"/>
  </r>
  <r>
    <s v="JAquijeD@agricolachira.com.pe"/>
    <x v="1"/>
    <x v="5"/>
    <x v="1"/>
    <x v="22"/>
    <x v="1"/>
  </r>
  <r>
    <s v="PHernandezH@agricolachira.com.pe"/>
    <x v="1"/>
    <x v="2"/>
    <x v="1"/>
    <x v="25"/>
    <x v="1"/>
  </r>
  <r>
    <s v="YMoscolC@agricolachira.com.pe"/>
    <x v="1"/>
    <x v="5"/>
    <x v="4"/>
    <x v="30"/>
    <x v="4"/>
  </r>
  <r>
    <s v="GPenaP@agricolachira.com.pe"/>
    <x v="1"/>
    <x v="2"/>
    <x v="1"/>
    <x v="25"/>
    <x v="1"/>
  </r>
  <r>
    <s v="HMatiasZ@agricolachira.com.pe"/>
    <x v="1"/>
    <x v="2"/>
    <x v="1"/>
    <x v="32"/>
    <x v="1"/>
  </r>
  <r>
    <s v="NHansenG@agricolachira.com.pe"/>
    <x v="1"/>
    <x v="5"/>
    <x v="1"/>
    <x v="1"/>
    <x v="1"/>
  </r>
  <r>
    <s v="JMazaV@agricolachira.com.pe"/>
    <x v="1"/>
    <x v="5"/>
    <x v="3"/>
    <x v="33"/>
    <x v="3"/>
  </r>
  <r>
    <s v="DGameroS@agricolachira.com.pe"/>
    <x v="1"/>
    <x v="5"/>
    <x v="3"/>
    <x v="9"/>
    <x v="3"/>
  </r>
  <r>
    <s v="HBorjaT@agricolachira.com.pe"/>
    <x v="1"/>
    <x v="5"/>
    <x v="3"/>
    <x v="13"/>
    <x v="3"/>
  </r>
  <r>
    <s v="LPadillaSa@agricolachira.com.pe"/>
    <x v="1"/>
    <x v="5"/>
    <x v="3"/>
    <x v="9"/>
    <x v="3"/>
  </r>
  <r>
    <s v="LVillarF@agricolachira.com.pe"/>
    <x v="1"/>
    <x v="0"/>
    <x v="3"/>
    <x v="18"/>
    <x v="3"/>
  </r>
  <r>
    <s v="JMendozaG@agricolachira.com.pe"/>
    <x v="1"/>
    <x v="2"/>
    <x v="0"/>
    <x v="0"/>
    <x v="0"/>
  </r>
  <r>
    <s v="AGuldenG@agricolachira.com.pe"/>
    <x v="1"/>
    <x v="2"/>
    <x v="1"/>
    <x v="25"/>
    <x v="1"/>
  </r>
  <r>
    <s v="jjimenezc@agricolachira.com.pe"/>
    <x v="1"/>
    <x v="2"/>
    <x v="0"/>
    <x v="29"/>
    <x v="0"/>
  </r>
  <r>
    <s v="RVelazcoG@agricolachira.com.pe"/>
    <x v="1"/>
    <x v="0"/>
    <x v="1"/>
    <x v="1"/>
    <x v="1"/>
  </r>
  <r>
    <s v="PMarroquinR@agricolachira.com.pe"/>
    <x v="1"/>
    <x v="5"/>
    <x v="1"/>
    <x v="34"/>
    <x v="1"/>
  </r>
  <r>
    <s v="PArcelaC@agricolachira.com.pe"/>
    <x v="1"/>
    <x v="1"/>
    <x v="4"/>
    <x v="17"/>
    <x v="4"/>
  </r>
  <r>
    <s v="ABlancoE@agricolachira.com.pe"/>
    <x v="1"/>
    <x v="2"/>
    <x v="4"/>
    <x v="27"/>
    <x v="4"/>
  </r>
  <r>
    <s v="EAmesM@agricolachira.com.pe"/>
    <x v="1"/>
    <x v="1"/>
    <x v="0"/>
    <x v="35"/>
    <x v="0"/>
  </r>
  <r>
    <s v="JSeminarioA@agricolachira.com.pe"/>
    <x v="1"/>
    <x v="1"/>
    <x v="3"/>
    <x v="9"/>
    <x v="3"/>
  </r>
  <r>
    <s v="JPichilinguP@agricolachira.com.pe"/>
    <x v="1"/>
    <x v="5"/>
    <x v="4"/>
    <x v="30"/>
    <x v="4"/>
  </r>
  <r>
    <s v="FRodriguezV@agricolachira.com.pe"/>
    <x v="1"/>
    <x v="2"/>
    <x v="0"/>
    <x v="36"/>
    <x v="0"/>
  </r>
  <r>
    <s v="JHuamanRo@agricolachira.com.pe"/>
    <x v="1"/>
    <x v="0"/>
    <x v="4"/>
    <x v="17"/>
    <x v="4"/>
  </r>
  <r>
    <s v="YHermenegilA@agricolachira.com.pe"/>
    <x v="1"/>
    <x v="0"/>
    <x v="0"/>
    <x v="35"/>
    <x v="0"/>
  </r>
  <r>
    <s v="CLupucheV@agricolachira.com.pe"/>
    <x v="1"/>
    <x v="0"/>
    <x v="1"/>
    <x v="25"/>
    <x v="1"/>
  </r>
  <r>
    <s v="MVegaY@agricolachira.com.pe"/>
    <x v="1"/>
    <x v="1"/>
    <x v="4"/>
    <x v="19"/>
    <x v="4"/>
  </r>
  <r>
    <s v="digitadorlb2@agricolachira.com.pe"/>
    <x v="1"/>
    <x v="2"/>
    <x v="1"/>
    <x v="25"/>
    <x v="1"/>
  </r>
  <r>
    <s v="digitadorlb1@agricolachira.com.pe"/>
    <x v="1"/>
    <x v="2"/>
    <x v="1"/>
    <x v="25"/>
    <x v="1"/>
  </r>
  <r>
    <s v="YMogollonG@agricolachira.com.pe"/>
    <x v="1"/>
    <x v="2"/>
    <x v="4"/>
    <x v="17"/>
    <x v="4"/>
  </r>
  <r>
    <s v="RMarceloY@agricolachira.com.pe"/>
    <x v="1"/>
    <x v="2"/>
    <x v="4"/>
    <x v="37"/>
    <x v="4"/>
  </r>
  <r>
    <s v="ALachiraP@agricolachira.com.pe"/>
    <x v="1"/>
    <x v="0"/>
    <x v="4"/>
    <x v="11"/>
    <x v="4"/>
  </r>
  <r>
    <s v="AColomaL@agricolachira.com.pe"/>
    <x v="1"/>
    <x v="0"/>
    <x v="0"/>
    <x v="38"/>
    <x v="0"/>
  </r>
  <r>
    <s v="ovasquezp@agricolachira.com.pe"/>
    <x v="1"/>
    <x v="5"/>
    <x v="1"/>
    <x v="24"/>
    <x v="1"/>
  </r>
  <r>
    <s v="ptrigoso@agricolachira.com.pe"/>
    <x v="1"/>
    <x v="5"/>
    <x v="4"/>
    <x v="39"/>
    <x v="4"/>
  </r>
  <r>
    <s v="LOcanaP@agricolachira.com.pe"/>
    <x v="1"/>
    <x v="0"/>
    <x v="2"/>
    <x v="2"/>
    <x v="2"/>
  </r>
  <r>
    <s v="RLupucheQ@agricolachira.com.pe"/>
    <x v="1"/>
    <x v="1"/>
    <x v="1"/>
    <x v="23"/>
    <x v="1"/>
  </r>
  <r>
    <s v="seguridadhuaca_lobo@agricolachira.com.pe"/>
    <x v="1"/>
    <x v="1"/>
    <x v="0"/>
    <x v="0"/>
    <x v="0"/>
  </r>
  <r>
    <s v="CVivancoM@agricolachira.com.pe"/>
    <x v="1"/>
    <x v="5"/>
    <x v="2"/>
    <x v="40"/>
    <x v="2"/>
  </r>
  <r>
    <s v="PSuncionZ@agricolachira.com.pe"/>
    <x v="1"/>
    <x v="5"/>
    <x v="0"/>
    <x v="38"/>
    <x v="0"/>
  </r>
  <r>
    <s v="JArevaloga@agricolachira.com.pe"/>
    <x v="2"/>
    <x v="2"/>
    <x v="0"/>
    <x v="0"/>
    <x v="0"/>
  </r>
  <r>
    <s v="FValladaresC@agricolachira.com.pe"/>
    <x v="2"/>
    <x v="0"/>
    <x v="1"/>
    <x v="1"/>
    <x v="1"/>
  </r>
  <r>
    <s v="ABurneoL@agricolachira.com.pe"/>
    <x v="2"/>
    <x v="2"/>
    <x v="2"/>
    <x v="2"/>
    <x v="2"/>
  </r>
  <r>
    <s v="DZuritaF@agricolachira.com.pe"/>
    <x v="2"/>
    <x v="2"/>
    <x v="2"/>
    <x v="3"/>
    <x v="2"/>
  </r>
  <r>
    <s v="MMartinezP@agricolachira.com.pe"/>
    <x v="2"/>
    <x v="2"/>
    <x v="2"/>
    <x v="4"/>
    <x v="2"/>
  </r>
  <r>
    <s v="creyesy@agricolachira.com.pe"/>
    <x v="2"/>
    <x v="0"/>
    <x v="3"/>
    <x v="5"/>
    <x v="3"/>
  </r>
  <r>
    <s v="KOtinianoP@agricolachira.com.pe"/>
    <x v="2"/>
    <x v="1"/>
    <x v="2"/>
    <x v="3"/>
    <x v="2"/>
  </r>
  <r>
    <s v="LOlayaLe@agricolachira.com.pe"/>
    <x v="2"/>
    <x v="0"/>
    <x v="2"/>
    <x v="6"/>
    <x v="2"/>
  </r>
  <r>
    <s v="CRamosG@agricolachira.com.pe"/>
    <x v="2"/>
    <x v="0"/>
    <x v="0"/>
    <x v="7"/>
    <x v="0"/>
  </r>
  <r>
    <s v="BGonzalesM@agricolachira.com.pe"/>
    <x v="2"/>
    <x v="0"/>
    <x v="4"/>
    <x v="8"/>
    <x v="4"/>
  </r>
  <r>
    <s v="AFloresD@agricolachira.com.pe"/>
    <x v="2"/>
    <x v="0"/>
    <x v="3"/>
    <x v="9"/>
    <x v="3"/>
  </r>
  <r>
    <s v="rmerach@agricolachira.com.pe"/>
    <x v="2"/>
    <x v="1"/>
    <x v="3"/>
    <x v="10"/>
    <x v="3"/>
  </r>
  <r>
    <s v="YGarridoS@agricolachira.com.pe"/>
    <x v="2"/>
    <x v="1"/>
    <x v="4"/>
    <x v="11"/>
    <x v="4"/>
  </r>
  <r>
    <s v="WChavezS@agricolachira.com.pe"/>
    <x v="2"/>
    <x v="0"/>
    <x v="1"/>
    <x v="12"/>
    <x v="1"/>
  </r>
  <r>
    <s v="CCarrilloR@agricolachira.com.pe"/>
    <x v="2"/>
    <x v="1"/>
    <x v="3"/>
    <x v="13"/>
    <x v="3"/>
  </r>
  <r>
    <s v="VHilaresZ@agricolachira.com.pe"/>
    <x v="2"/>
    <x v="0"/>
    <x v="1"/>
    <x v="12"/>
    <x v="1"/>
  </r>
  <r>
    <s v="JGomezAp@agricolachira.com.pe"/>
    <x v="2"/>
    <x v="2"/>
    <x v="2"/>
    <x v="14"/>
    <x v="2"/>
  </r>
  <r>
    <s v="RMoncadaP@agricolachira.com.pe"/>
    <x v="2"/>
    <x v="5"/>
    <x v="2"/>
    <x v="2"/>
    <x v="2"/>
  </r>
  <r>
    <s v="HMocarroC@agricolachira.com.pe"/>
    <x v="2"/>
    <x v="0"/>
    <x v="2"/>
    <x v="15"/>
    <x v="2"/>
  </r>
  <r>
    <s v="EMijahuancaG@agricolachira.com.pe"/>
    <x v="2"/>
    <x v="0"/>
    <x v="4"/>
    <x v="16"/>
    <x v="4"/>
  </r>
  <r>
    <s v="ASeminarioV@agricolachira.com.pe"/>
    <x v="2"/>
    <x v="2"/>
    <x v="1"/>
    <x v="1"/>
    <x v="1"/>
  </r>
  <r>
    <s v="LGarciaC@agricolachira.com.pe"/>
    <x v="2"/>
    <x v="0"/>
    <x v="4"/>
    <x v="17"/>
    <x v="4"/>
  </r>
  <r>
    <s v="JChumaceroC@sucroalcoleradelchira.com.pe"/>
    <x v="2"/>
    <x v="2"/>
    <x v="3"/>
    <x v="18"/>
    <x v="3"/>
  </r>
  <r>
    <s v="LRuizMu@agricolachira.com.pe"/>
    <x v="2"/>
    <x v="0"/>
    <x v="4"/>
    <x v="19"/>
    <x v="4"/>
  </r>
  <r>
    <s v="EArevaloJ@agricolachira.com.pe"/>
    <x v="2"/>
    <x v="2"/>
    <x v="2"/>
    <x v="20"/>
    <x v="2"/>
  </r>
  <r>
    <s v="MCulqueC@agricolachira.com.pe"/>
    <x v="2"/>
    <x v="2"/>
    <x v="1"/>
    <x v="12"/>
    <x v="1"/>
  </r>
  <r>
    <s v="RTorresS@agricolachira.com.pe"/>
    <x v="2"/>
    <x v="0"/>
    <x v="1"/>
    <x v="1"/>
    <x v="1"/>
  </r>
  <r>
    <s v="jvasquezc@agricolachira.com.pe"/>
    <x v="2"/>
    <x v="2"/>
    <x v="2"/>
    <x v="14"/>
    <x v="2"/>
  </r>
  <r>
    <s v="WFacundoF@agricolachira.com.pe"/>
    <x v="2"/>
    <x v="0"/>
    <x v="3"/>
    <x v="9"/>
    <x v="3"/>
  </r>
  <r>
    <s v="JEstelaF@agricolachira.com.pe"/>
    <x v="2"/>
    <x v="2"/>
    <x v="4"/>
    <x v="19"/>
    <x v="4"/>
  </r>
  <r>
    <s v="JCobenasS@agricolachira.com.pe"/>
    <x v="2"/>
    <x v="0"/>
    <x v="4"/>
    <x v="19"/>
    <x v="4"/>
  </r>
  <r>
    <s v="VCruzC@agricolachira.com.pe"/>
    <x v="2"/>
    <x v="2"/>
    <x v="0"/>
    <x v="21"/>
    <x v="0"/>
  </r>
  <r>
    <s v="WCarrascoA@agricolachira.com.pe"/>
    <x v="2"/>
    <x v="2"/>
    <x v="2"/>
    <x v="14"/>
    <x v="2"/>
  </r>
  <r>
    <s v="JRojasBarr@agricolachira.com.pe"/>
    <x v="2"/>
    <x v="0"/>
    <x v="1"/>
    <x v="22"/>
    <x v="1"/>
  </r>
  <r>
    <s v="GCubasA@agricolachira.com.pe"/>
    <x v="2"/>
    <x v="0"/>
    <x v="1"/>
    <x v="1"/>
    <x v="1"/>
  </r>
  <r>
    <s v="jbacilioh@agricolachira.com.pe"/>
    <x v="2"/>
    <x v="0"/>
    <x v="1"/>
    <x v="23"/>
    <x v="1"/>
  </r>
  <r>
    <s v="RInfanteB@agricolachira.com.pe"/>
    <x v="2"/>
    <x v="2"/>
    <x v="1"/>
    <x v="22"/>
    <x v="1"/>
  </r>
  <r>
    <s v="ereyesp@agricolachira.com.pe"/>
    <x v="2"/>
    <x v="0"/>
    <x v="1"/>
    <x v="24"/>
    <x v="1"/>
  </r>
  <r>
    <s v="JGarcesV@agricolachira.com.pe"/>
    <x v="2"/>
    <x v="5"/>
    <x v="0"/>
    <x v="0"/>
    <x v="0"/>
  </r>
  <r>
    <s v="RSacramentoL@agricolachira.com.pe"/>
    <x v="2"/>
    <x v="2"/>
    <x v="1"/>
    <x v="25"/>
    <x v="1"/>
  </r>
  <r>
    <s v="JMioA@agricolachira.com.pe"/>
    <x v="2"/>
    <x v="0"/>
    <x v="1"/>
    <x v="1"/>
    <x v="1"/>
  </r>
  <r>
    <s v="DAlbercaS@agricolachira.com.pe"/>
    <x v="2"/>
    <x v="5"/>
    <x v="4"/>
    <x v="19"/>
    <x v="4"/>
  </r>
  <r>
    <s v="JMogollonC@agricolachira.com.pe"/>
    <x v="2"/>
    <x v="0"/>
    <x v="4"/>
    <x v="8"/>
    <x v="4"/>
  </r>
  <r>
    <s v="adelchiradigitadorsv@agricolachira.com.pe"/>
    <x v="2"/>
    <x v="2"/>
    <x v="1"/>
    <x v="12"/>
    <x v="1"/>
  </r>
  <r>
    <s v="JBayonaG@agricolachira.com.pe"/>
    <x v="2"/>
    <x v="0"/>
    <x v="2"/>
    <x v="26"/>
    <x v="2"/>
  </r>
  <r>
    <s v="JIngaF@agricolachira.com.pe"/>
    <x v="2"/>
    <x v="2"/>
    <x v="2"/>
    <x v="14"/>
    <x v="2"/>
  </r>
  <r>
    <s v="NPizarroC@agricolachira.com.pe"/>
    <x v="2"/>
    <x v="2"/>
    <x v="4"/>
    <x v="27"/>
    <x v="4"/>
  </r>
  <r>
    <s v="MDilibertoS@agricolachira.com.pe"/>
    <x v="2"/>
    <x v="0"/>
    <x v="1"/>
    <x v="28"/>
    <x v="1"/>
  </r>
  <r>
    <s v="lsipiona@agricolachira.com.pe"/>
    <x v="2"/>
    <x v="0"/>
    <x v="0"/>
    <x v="29"/>
    <x v="0"/>
  </r>
  <r>
    <s v="JOrdinolaZ@agricolachira.com.pe"/>
    <x v="2"/>
    <x v="0"/>
    <x v="4"/>
    <x v="19"/>
    <x v="4"/>
  </r>
  <r>
    <s v="cfreym@agricolachira.com.pe"/>
    <x v="2"/>
    <x v="2"/>
    <x v="4"/>
    <x v="30"/>
    <x v="4"/>
  </r>
  <r>
    <s v="MDiazTa@agricolachira.com.pe"/>
    <x v="2"/>
    <x v="0"/>
    <x v="2"/>
    <x v="6"/>
    <x v="2"/>
  </r>
  <r>
    <s v="JHidalgoS@agricolachira.com.pe"/>
    <x v="2"/>
    <x v="2"/>
    <x v="2"/>
    <x v="14"/>
    <x v="2"/>
  </r>
  <r>
    <s v="AGutierrezR@agricolachira.com.pe"/>
    <x v="2"/>
    <x v="2"/>
    <x v="4"/>
    <x v="30"/>
    <x v="4"/>
  </r>
  <r>
    <s v="GTavaraS@agricolachira.com.pe"/>
    <x v="2"/>
    <x v="2"/>
    <x v="4"/>
    <x v="11"/>
    <x v="4"/>
  </r>
  <r>
    <s v="HCruzA@agricolachira.com.pe"/>
    <x v="2"/>
    <x v="0"/>
    <x v="4"/>
    <x v="11"/>
    <x v="4"/>
  </r>
  <r>
    <s v="LRodriguezC@agricolachira.com.pe"/>
    <x v="2"/>
    <x v="2"/>
    <x v="0"/>
    <x v="31"/>
    <x v="0"/>
  </r>
  <r>
    <s v="VVeraN@agricolachira.com.pe"/>
    <x v="2"/>
    <x v="0"/>
    <x v="1"/>
    <x v="23"/>
    <x v="1"/>
  </r>
  <r>
    <s v="JAquijeD@agricolachira.com.pe"/>
    <x v="2"/>
    <x v="0"/>
    <x v="1"/>
    <x v="22"/>
    <x v="1"/>
  </r>
  <r>
    <s v="PHernandezH@agricolachira.com.pe"/>
    <x v="2"/>
    <x v="2"/>
    <x v="1"/>
    <x v="25"/>
    <x v="1"/>
  </r>
  <r>
    <s v="YMoscolC@agricolachira.com.pe"/>
    <x v="2"/>
    <x v="2"/>
    <x v="4"/>
    <x v="30"/>
    <x v="4"/>
  </r>
  <r>
    <s v="GPenaP@agricolachira.com.pe"/>
    <x v="2"/>
    <x v="2"/>
    <x v="1"/>
    <x v="25"/>
    <x v="1"/>
  </r>
  <r>
    <s v="HMatiasZ@agricolachira.com.pe"/>
    <x v="2"/>
    <x v="2"/>
    <x v="1"/>
    <x v="32"/>
    <x v="1"/>
  </r>
  <r>
    <s v="NHansenG@agricolachira.com.pe"/>
    <x v="2"/>
    <x v="0"/>
    <x v="1"/>
    <x v="1"/>
    <x v="1"/>
  </r>
  <r>
    <s v="JMazaV@agricolachira.com.pe"/>
    <x v="2"/>
    <x v="5"/>
    <x v="3"/>
    <x v="33"/>
    <x v="3"/>
  </r>
  <r>
    <s v="DGameroS@agricolachira.com.pe"/>
    <x v="2"/>
    <x v="5"/>
    <x v="3"/>
    <x v="9"/>
    <x v="3"/>
  </r>
  <r>
    <s v="HBorjaT@agricolachira.com.pe"/>
    <x v="2"/>
    <x v="5"/>
    <x v="3"/>
    <x v="13"/>
    <x v="3"/>
  </r>
  <r>
    <s v="LPadillaSa@agricolachira.com.pe"/>
    <x v="2"/>
    <x v="5"/>
    <x v="3"/>
    <x v="9"/>
    <x v="3"/>
  </r>
  <r>
    <s v="LVillarF@agricolachira.com.pe"/>
    <x v="2"/>
    <x v="0"/>
    <x v="3"/>
    <x v="18"/>
    <x v="3"/>
  </r>
  <r>
    <s v="JMendozaG@agricolachira.com.pe"/>
    <x v="2"/>
    <x v="2"/>
    <x v="0"/>
    <x v="0"/>
    <x v="0"/>
  </r>
  <r>
    <s v="AGuldenG@agricolachira.com.pe"/>
    <x v="2"/>
    <x v="2"/>
    <x v="1"/>
    <x v="25"/>
    <x v="1"/>
  </r>
  <r>
    <s v="jjimenezc@agricolachira.com.pe"/>
    <x v="2"/>
    <x v="2"/>
    <x v="0"/>
    <x v="29"/>
    <x v="0"/>
  </r>
  <r>
    <s v="RVelazcoG@agricolachira.com.pe"/>
    <x v="2"/>
    <x v="2"/>
    <x v="1"/>
    <x v="1"/>
    <x v="1"/>
  </r>
  <r>
    <s v="PMarroquinR@agricolachira.com.pe"/>
    <x v="2"/>
    <x v="0"/>
    <x v="1"/>
    <x v="34"/>
    <x v="1"/>
  </r>
  <r>
    <s v="PArcelaC@agricolachira.com.pe"/>
    <x v="2"/>
    <x v="1"/>
    <x v="4"/>
    <x v="17"/>
    <x v="4"/>
  </r>
  <r>
    <s v="ABlancoE@agricolachira.com.pe"/>
    <x v="2"/>
    <x v="0"/>
    <x v="4"/>
    <x v="27"/>
    <x v="4"/>
  </r>
  <r>
    <s v="EAmesM@agricolachira.com.pe"/>
    <x v="2"/>
    <x v="0"/>
    <x v="0"/>
    <x v="35"/>
    <x v="0"/>
  </r>
  <r>
    <s v="JSeminarioA@agricolachira.com.pe"/>
    <x v="2"/>
    <x v="1"/>
    <x v="3"/>
    <x v="9"/>
    <x v="3"/>
  </r>
  <r>
    <s v="JPichilinguP@agricolachira.com.pe"/>
    <x v="2"/>
    <x v="1"/>
    <x v="4"/>
    <x v="30"/>
    <x v="4"/>
  </r>
  <r>
    <s v="FRodriguezV@agricolachira.com.pe"/>
    <x v="2"/>
    <x v="2"/>
    <x v="0"/>
    <x v="36"/>
    <x v="0"/>
  </r>
  <r>
    <s v="JHuamanRo@agricolachira.com.pe"/>
    <x v="2"/>
    <x v="0"/>
    <x v="4"/>
    <x v="17"/>
    <x v="4"/>
  </r>
  <r>
    <s v="YHermenegilA@agricolachira.com.pe"/>
    <x v="2"/>
    <x v="0"/>
    <x v="0"/>
    <x v="35"/>
    <x v="0"/>
  </r>
  <r>
    <s v="CLupucheV@agricolachira.com.pe"/>
    <x v="2"/>
    <x v="2"/>
    <x v="1"/>
    <x v="25"/>
    <x v="1"/>
  </r>
  <r>
    <s v="MVegaY@agricolachira.com.pe"/>
    <x v="2"/>
    <x v="0"/>
    <x v="4"/>
    <x v="19"/>
    <x v="4"/>
  </r>
  <r>
    <s v="digitadorlb2@agricolachira.com.pe"/>
    <x v="2"/>
    <x v="2"/>
    <x v="1"/>
    <x v="25"/>
    <x v="1"/>
  </r>
  <r>
    <s v="digitadorlb1@agricolachira.com.pe"/>
    <x v="2"/>
    <x v="2"/>
    <x v="1"/>
    <x v="25"/>
    <x v="1"/>
  </r>
  <r>
    <s v="YMogollonG@agricolachira.com.pe"/>
    <x v="2"/>
    <x v="2"/>
    <x v="4"/>
    <x v="17"/>
    <x v="4"/>
  </r>
  <r>
    <s v="RMarceloY@agricolachira.com.pe"/>
    <x v="2"/>
    <x v="2"/>
    <x v="4"/>
    <x v="37"/>
    <x v="4"/>
  </r>
  <r>
    <s v="ALachiraP@agricolachira.com.pe"/>
    <x v="2"/>
    <x v="0"/>
    <x v="4"/>
    <x v="11"/>
    <x v="4"/>
  </r>
  <r>
    <s v="AColomaL@agricolachira.com.pe"/>
    <x v="2"/>
    <x v="0"/>
    <x v="0"/>
    <x v="38"/>
    <x v="0"/>
  </r>
  <r>
    <s v="ovasquezp@agricolachira.com.pe"/>
    <x v="2"/>
    <x v="0"/>
    <x v="1"/>
    <x v="24"/>
    <x v="1"/>
  </r>
  <r>
    <s v="ptrigoso@agricolachira.com.pe"/>
    <x v="2"/>
    <x v="1"/>
    <x v="4"/>
    <x v="39"/>
    <x v="4"/>
  </r>
  <r>
    <s v="LOcanaP@agricolachira.com.pe"/>
    <x v="2"/>
    <x v="0"/>
    <x v="2"/>
    <x v="2"/>
    <x v="2"/>
  </r>
  <r>
    <s v="RLupucheQ@agricolachira.com.pe"/>
    <x v="2"/>
    <x v="5"/>
    <x v="1"/>
    <x v="23"/>
    <x v="1"/>
  </r>
  <r>
    <s v="seguridadhuaca_lobo@agricolachira.com.pe"/>
    <x v="2"/>
    <x v="0"/>
    <x v="0"/>
    <x v="0"/>
    <x v="0"/>
  </r>
  <r>
    <s v="CVivancoM@agricolachira.com.pe"/>
    <x v="2"/>
    <x v="0"/>
    <x v="2"/>
    <x v="40"/>
    <x v="2"/>
  </r>
  <r>
    <s v="PSuncionZ@agricolachira.com.pe"/>
    <x v="2"/>
    <x v="5"/>
    <x v="0"/>
    <x v="38"/>
    <x v="0"/>
  </r>
  <r>
    <s v="JArevaloga@agricolachira.com.pe"/>
    <x v="3"/>
    <x v="2"/>
    <x v="0"/>
    <x v="0"/>
    <x v="0"/>
  </r>
  <r>
    <s v="FValladaresC@agricolachira.com.pe"/>
    <x v="3"/>
    <x v="0"/>
    <x v="1"/>
    <x v="1"/>
    <x v="1"/>
  </r>
  <r>
    <s v="ABurneoL@agricolachira.com.pe"/>
    <x v="3"/>
    <x v="2"/>
    <x v="2"/>
    <x v="2"/>
    <x v="2"/>
  </r>
  <r>
    <s v="DZuritaF@agricolachira.com.pe"/>
    <x v="3"/>
    <x v="5"/>
    <x v="2"/>
    <x v="3"/>
    <x v="2"/>
  </r>
  <r>
    <s v="MMartinezP@agricolachira.com.pe"/>
    <x v="3"/>
    <x v="2"/>
    <x v="2"/>
    <x v="4"/>
    <x v="2"/>
  </r>
  <r>
    <s v="creyesy@agricolachira.com.pe"/>
    <x v="3"/>
    <x v="0"/>
    <x v="3"/>
    <x v="5"/>
    <x v="3"/>
  </r>
  <r>
    <s v="KOtinianoP@agricolachira.com.pe"/>
    <x v="3"/>
    <x v="0"/>
    <x v="2"/>
    <x v="3"/>
    <x v="2"/>
  </r>
  <r>
    <s v="LOlayaLe@agricolachira.com.pe"/>
    <x v="3"/>
    <x v="0"/>
    <x v="2"/>
    <x v="6"/>
    <x v="2"/>
  </r>
  <r>
    <s v="CRamosG@agricolachira.com.pe"/>
    <x v="3"/>
    <x v="0"/>
    <x v="0"/>
    <x v="7"/>
    <x v="0"/>
  </r>
  <r>
    <s v="BGonzalesM@agricolachira.com.pe"/>
    <x v="3"/>
    <x v="0"/>
    <x v="4"/>
    <x v="8"/>
    <x v="4"/>
  </r>
  <r>
    <s v="AFloresD@agricolachira.com.pe"/>
    <x v="3"/>
    <x v="0"/>
    <x v="3"/>
    <x v="9"/>
    <x v="3"/>
  </r>
  <r>
    <s v="rmerach@agricolachira.com.pe"/>
    <x v="3"/>
    <x v="1"/>
    <x v="3"/>
    <x v="10"/>
    <x v="3"/>
  </r>
  <r>
    <s v="YGarridoS@agricolachira.com.pe"/>
    <x v="3"/>
    <x v="1"/>
    <x v="4"/>
    <x v="11"/>
    <x v="4"/>
  </r>
  <r>
    <s v="WChavezS@agricolachira.com.pe"/>
    <x v="3"/>
    <x v="3"/>
    <x v="1"/>
    <x v="12"/>
    <x v="1"/>
  </r>
  <r>
    <s v="CCarrilloR@agricolachira.com.pe"/>
    <x v="3"/>
    <x v="1"/>
    <x v="3"/>
    <x v="13"/>
    <x v="3"/>
  </r>
  <r>
    <s v="VHilaresZ@agricolachira.com.pe"/>
    <x v="3"/>
    <x v="1"/>
    <x v="1"/>
    <x v="12"/>
    <x v="1"/>
  </r>
  <r>
    <s v="JGomezAp@agricolachira.com.pe"/>
    <x v="3"/>
    <x v="2"/>
    <x v="2"/>
    <x v="14"/>
    <x v="2"/>
  </r>
  <r>
    <s v="RMoncadaP@agricolachira.com.pe"/>
    <x v="3"/>
    <x v="2"/>
    <x v="2"/>
    <x v="2"/>
    <x v="2"/>
  </r>
  <r>
    <s v="HMocarroC@agricolachira.com.pe"/>
    <x v="3"/>
    <x v="0"/>
    <x v="2"/>
    <x v="15"/>
    <x v="2"/>
  </r>
  <r>
    <s v="EMijahuancaG@agricolachira.com.pe"/>
    <x v="3"/>
    <x v="0"/>
    <x v="4"/>
    <x v="16"/>
    <x v="4"/>
  </r>
  <r>
    <s v="ASeminarioV@agricolachira.com.pe"/>
    <x v="3"/>
    <x v="0"/>
    <x v="1"/>
    <x v="1"/>
    <x v="1"/>
  </r>
  <r>
    <s v="LGarciaC@agricolachira.com.pe"/>
    <x v="3"/>
    <x v="0"/>
    <x v="4"/>
    <x v="17"/>
    <x v="4"/>
  </r>
  <r>
    <s v="JChumaceroC@sucroalcoleradelchira.com.pe"/>
    <x v="3"/>
    <x v="5"/>
    <x v="3"/>
    <x v="18"/>
    <x v="3"/>
  </r>
  <r>
    <s v="LRuizMu@agricolachira.com.pe"/>
    <x v="3"/>
    <x v="0"/>
    <x v="4"/>
    <x v="19"/>
    <x v="4"/>
  </r>
  <r>
    <s v="EArevaloJ@agricolachira.com.pe"/>
    <x v="3"/>
    <x v="2"/>
    <x v="2"/>
    <x v="20"/>
    <x v="2"/>
  </r>
  <r>
    <s v="MCulqueC@agricolachira.com.pe"/>
    <x v="3"/>
    <x v="2"/>
    <x v="1"/>
    <x v="12"/>
    <x v="1"/>
  </r>
  <r>
    <s v="RTorresS@agricolachira.com.pe"/>
    <x v="3"/>
    <x v="0"/>
    <x v="1"/>
    <x v="1"/>
    <x v="1"/>
  </r>
  <r>
    <s v="jvasquezc@agricolachira.com.pe"/>
    <x v="3"/>
    <x v="2"/>
    <x v="2"/>
    <x v="14"/>
    <x v="2"/>
  </r>
  <r>
    <s v="WFacundoF@agricolachira.com.pe"/>
    <x v="3"/>
    <x v="1"/>
    <x v="3"/>
    <x v="9"/>
    <x v="3"/>
  </r>
  <r>
    <s v="JEstelaF@agricolachira.com.pe"/>
    <x v="3"/>
    <x v="2"/>
    <x v="4"/>
    <x v="19"/>
    <x v="4"/>
  </r>
  <r>
    <s v="JCobenasS@agricolachira.com.pe"/>
    <x v="3"/>
    <x v="0"/>
    <x v="4"/>
    <x v="19"/>
    <x v="4"/>
  </r>
  <r>
    <s v="VCruzC@agricolachira.com.pe"/>
    <x v="3"/>
    <x v="2"/>
    <x v="0"/>
    <x v="21"/>
    <x v="0"/>
  </r>
  <r>
    <s v="WCarrascoA@agricolachira.com.pe"/>
    <x v="3"/>
    <x v="2"/>
    <x v="2"/>
    <x v="14"/>
    <x v="2"/>
  </r>
  <r>
    <s v="JRojasBarr@agricolachira.com.pe"/>
    <x v="3"/>
    <x v="0"/>
    <x v="1"/>
    <x v="22"/>
    <x v="1"/>
  </r>
  <r>
    <s v="GCubasA@agricolachira.com.pe"/>
    <x v="3"/>
    <x v="0"/>
    <x v="1"/>
    <x v="1"/>
    <x v="1"/>
  </r>
  <r>
    <s v="jbacilioh@agricolachira.com.pe"/>
    <x v="3"/>
    <x v="0"/>
    <x v="1"/>
    <x v="23"/>
    <x v="1"/>
  </r>
  <r>
    <s v="RInfanteB@agricolachira.com.pe"/>
    <x v="3"/>
    <x v="5"/>
    <x v="1"/>
    <x v="22"/>
    <x v="1"/>
  </r>
  <r>
    <s v="ereyesp@agricolachira.com.pe"/>
    <x v="3"/>
    <x v="5"/>
    <x v="1"/>
    <x v="24"/>
    <x v="1"/>
  </r>
  <r>
    <s v="JGarcesV@agricolachira.com.pe"/>
    <x v="3"/>
    <x v="1"/>
    <x v="0"/>
    <x v="0"/>
    <x v="0"/>
  </r>
  <r>
    <s v="RSacramentoL@agricolachira.com.pe"/>
    <x v="3"/>
    <x v="2"/>
    <x v="1"/>
    <x v="25"/>
    <x v="1"/>
  </r>
  <r>
    <s v="JMioA@agricolachira.com.pe"/>
    <x v="3"/>
    <x v="0"/>
    <x v="1"/>
    <x v="1"/>
    <x v="1"/>
  </r>
  <r>
    <s v="DAlbercaS@agricolachira.com.pe"/>
    <x v="3"/>
    <x v="0"/>
    <x v="4"/>
    <x v="19"/>
    <x v="4"/>
  </r>
  <r>
    <s v="JMogollonC@agricolachira.com.pe"/>
    <x v="3"/>
    <x v="0"/>
    <x v="4"/>
    <x v="8"/>
    <x v="4"/>
  </r>
  <r>
    <s v="adelchiradigitadorsv@agricolachira.com.pe"/>
    <x v="3"/>
    <x v="2"/>
    <x v="1"/>
    <x v="12"/>
    <x v="1"/>
  </r>
  <r>
    <s v="JBayonaG@agricolachira.com.pe"/>
    <x v="3"/>
    <x v="0"/>
    <x v="2"/>
    <x v="26"/>
    <x v="2"/>
  </r>
  <r>
    <s v="JIngaF@agricolachira.com.pe"/>
    <x v="3"/>
    <x v="2"/>
    <x v="2"/>
    <x v="14"/>
    <x v="2"/>
  </r>
  <r>
    <s v="NPizarroC@agricolachira.com.pe"/>
    <x v="3"/>
    <x v="2"/>
    <x v="4"/>
    <x v="27"/>
    <x v="4"/>
  </r>
  <r>
    <s v="MDilibertoS@agricolachira.com.pe"/>
    <x v="3"/>
    <x v="0"/>
    <x v="1"/>
    <x v="28"/>
    <x v="1"/>
  </r>
  <r>
    <s v="lsipiona@agricolachira.com.pe"/>
    <x v="3"/>
    <x v="2"/>
    <x v="0"/>
    <x v="29"/>
    <x v="0"/>
  </r>
  <r>
    <s v="JOrdinolaZ@agricolachira.com.pe"/>
    <x v="3"/>
    <x v="0"/>
    <x v="4"/>
    <x v="19"/>
    <x v="4"/>
  </r>
  <r>
    <s v="cfreym@agricolachira.com.pe"/>
    <x v="3"/>
    <x v="2"/>
    <x v="4"/>
    <x v="30"/>
    <x v="4"/>
  </r>
  <r>
    <s v="MDiazTa@agricolachira.com.pe"/>
    <x v="3"/>
    <x v="2"/>
    <x v="2"/>
    <x v="6"/>
    <x v="2"/>
  </r>
  <r>
    <s v="JHidalgoS@agricolachira.com.pe"/>
    <x v="3"/>
    <x v="2"/>
    <x v="2"/>
    <x v="14"/>
    <x v="2"/>
  </r>
  <r>
    <s v="AGutierrezR@agricolachira.com.pe"/>
    <x v="3"/>
    <x v="0"/>
    <x v="4"/>
    <x v="30"/>
    <x v="4"/>
  </r>
  <r>
    <s v="GTavaraS@agricolachira.com.pe"/>
    <x v="3"/>
    <x v="2"/>
    <x v="4"/>
    <x v="11"/>
    <x v="4"/>
  </r>
  <r>
    <s v="HCruzA@agricolachira.com.pe"/>
    <x v="3"/>
    <x v="0"/>
    <x v="4"/>
    <x v="11"/>
    <x v="4"/>
  </r>
  <r>
    <s v="LRodriguezC@agricolachira.com.pe"/>
    <x v="3"/>
    <x v="2"/>
    <x v="0"/>
    <x v="31"/>
    <x v="0"/>
  </r>
  <r>
    <s v="VVeraN@agricolachira.com.pe"/>
    <x v="3"/>
    <x v="0"/>
    <x v="1"/>
    <x v="23"/>
    <x v="1"/>
  </r>
  <r>
    <s v="JAquijeD@agricolachira.com.pe"/>
    <x v="3"/>
    <x v="0"/>
    <x v="1"/>
    <x v="22"/>
    <x v="1"/>
  </r>
  <r>
    <s v="PHernandezH@agricolachira.com.pe"/>
    <x v="3"/>
    <x v="2"/>
    <x v="1"/>
    <x v="25"/>
    <x v="1"/>
  </r>
  <r>
    <s v="YMoscolC@agricolachira.com.pe"/>
    <x v="3"/>
    <x v="2"/>
    <x v="4"/>
    <x v="30"/>
    <x v="4"/>
  </r>
  <r>
    <s v="GPenaP@agricolachira.com.pe"/>
    <x v="3"/>
    <x v="2"/>
    <x v="1"/>
    <x v="25"/>
    <x v="1"/>
  </r>
  <r>
    <s v="HMatiasZ@agricolachira.com.pe"/>
    <x v="3"/>
    <x v="2"/>
    <x v="1"/>
    <x v="32"/>
    <x v="1"/>
  </r>
  <r>
    <s v="NHansenG@agricolachira.com.pe"/>
    <x v="3"/>
    <x v="0"/>
    <x v="1"/>
    <x v="1"/>
    <x v="1"/>
  </r>
  <r>
    <s v="JMazaV@agricolachira.com.pe"/>
    <x v="3"/>
    <x v="0"/>
    <x v="3"/>
    <x v="33"/>
    <x v="3"/>
  </r>
  <r>
    <s v="DGameroS@agricolachira.com.pe"/>
    <x v="3"/>
    <x v="5"/>
    <x v="3"/>
    <x v="9"/>
    <x v="3"/>
  </r>
  <r>
    <s v="HBorjaT@agricolachira.com.pe"/>
    <x v="3"/>
    <x v="5"/>
    <x v="3"/>
    <x v="13"/>
    <x v="3"/>
  </r>
  <r>
    <s v="LPadillaSa@agricolachira.com.pe"/>
    <x v="3"/>
    <x v="5"/>
    <x v="3"/>
    <x v="9"/>
    <x v="3"/>
  </r>
  <r>
    <s v="LVillarF@agricolachira.com.pe"/>
    <x v="3"/>
    <x v="0"/>
    <x v="3"/>
    <x v="18"/>
    <x v="3"/>
  </r>
  <r>
    <s v="JMendozaG@agricolachira.com.pe"/>
    <x v="3"/>
    <x v="2"/>
    <x v="0"/>
    <x v="0"/>
    <x v="0"/>
  </r>
  <r>
    <s v="AGuldenG@agricolachira.com.pe"/>
    <x v="3"/>
    <x v="2"/>
    <x v="1"/>
    <x v="25"/>
    <x v="1"/>
  </r>
  <r>
    <s v="jjimenezc@agricolachira.com.pe"/>
    <x v="3"/>
    <x v="2"/>
    <x v="0"/>
    <x v="29"/>
    <x v="0"/>
  </r>
  <r>
    <s v="RVelazcoG@agricolachira.com.pe"/>
    <x v="3"/>
    <x v="5"/>
    <x v="1"/>
    <x v="1"/>
    <x v="1"/>
  </r>
  <r>
    <s v="PMarroquinR@agricolachira.com.pe"/>
    <x v="3"/>
    <x v="0"/>
    <x v="1"/>
    <x v="34"/>
    <x v="1"/>
  </r>
  <r>
    <s v="PArcelaC@agricolachira.com.pe"/>
    <x v="3"/>
    <x v="1"/>
    <x v="4"/>
    <x v="17"/>
    <x v="4"/>
  </r>
  <r>
    <s v="ABlancoE@agricolachira.com.pe"/>
    <x v="3"/>
    <x v="0"/>
    <x v="4"/>
    <x v="27"/>
    <x v="4"/>
  </r>
  <r>
    <s v="EAmesM@agricolachira.com.pe"/>
    <x v="3"/>
    <x v="0"/>
    <x v="0"/>
    <x v="35"/>
    <x v="0"/>
  </r>
  <r>
    <s v="JSeminarioA@agricolachira.com.pe"/>
    <x v="3"/>
    <x v="3"/>
    <x v="3"/>
    <x v="9"/>
    <x v="3"/>
  </r>
  <r>
    <s v="JPichilinguP@agricolachira.com.pe"/>
    <x v="3"/>
    <x v="0"/>
    <x v="4"/>
    <x v="30"/>
    <x v="4"/>
  </r>
  <r>
    <s v="FRodriguezV@agricolachira.com.pe"/>
    <x v="3"/>
    <x v="2"/>
    <x v="0"/>
    <x v="36"/>
    <x v="0"/>
  </r>
  <r>
    <s v="JHuamanRo@agricolachira.com.pe"/>
    <x v="3"/>
    <x v="1"/>
    <x v="4"/>
    <x v="17"/>
    <x v="4"/>
  </r>
  <r>
    <s v="YHermenegilA@agricolachira.com.pe"/>
    <x v="3"/>
    <x v="2"/>
    <x v="0"/>
    <x v="35"/>
    <x v="0"/>
  </r>
  <r>
    <s v="CLupucheV@agricolachira.com.pe"/>
    <x v="3"/>
    <x v="2"/>
    <x v="1"/>
    <x v="25"/>
    <x v="1"/>
  </r>
  <r>
    <s v="MVegaY@agricolachira.com.pe"/>
    <x v="3"/>
    <x v="0"/>
    <x v="4"/>
    <x v="19"/>
    <x v="4"/>
  </r>
  <r>
    <s v="digitadorlb2@agricolachira.com.pe"/>
    <x v="3"/>
    <x v="2"/>
    <x v="1"/>
    <x v="25"/>
    <x v="1"/>
  </r>
  <r>
    <s v="digitadorlb1@agricolachira.com.pe"/>
    <x v="3"/>
    <x v="2"/>
    <x v="1"/>
    <x v="25"/>
    <x v="1"/>
  </r>
  <r>
    <s v="YMogollonG@agricolachira.com.pe"/>
    <x v="3"/>
    <x v="2"/>
    <x v="4"/>
    <x v="17"/>
    <x v="4"/>
  </r>
  <r>
    <s v="RMarceloY@agricolachira.com.pe"/>
    <x v="3"/>
    <x v="2"/>
    <x v="4"/>
    <x v="37"/>
    <x v="4"/>
  </r>
  <r>
    <s v="ALachiraP@agricolachira.com.pe"/>
    <x v="3"/>
    <x v="2"/>
    <x v="4"/>
    <x v="11"/>
    <x v="4"/>
  </r>
  <r>
    <s v="AColomaL@agricolachira.com.pe"/>
    <x v="3"/>
    <x v="0"/>
    <x v="0"/>
    <x v="38"/>
    <x v="0"/>
  </r>
  <r>
    <s v="ovasquezp@agricolachira.com.pe"/>
    <x v="3"/>
    <x v="0"/>
    <x v="1"/>
    <x v="24"/>
    <x v="1"/>
  </r>
  <r>
    <s v="ptrigoso@agricolachira.com.pe"/>
    <x v="3"/>
    <x v="0"/>
    <x v="4"/>
    <x v="39"/>
    <x v="4"/>
  </r>
  <r>
    <s v="LOcanaP@agricolachira.com.pe"/>
    <x v="3"/>
    <x v="2"/>
    <x v="2"/>
    <x v="2"/>
    <x v="2"/>
  </r>
  <r>
    <s v="RLupucheQ@agricolachira.com.pe"/>
    <x v="3"/>
    <x v="0"/>
    <x v="1"/>
    <x v="23"/>
    <x v="1"/>
  </r>
  <r>
    <s v="seguridadhuaca_lobo@agricolachira.com.pe"/>
    <x v="3"/>
    <x v="1"/>
    <x v="0"/>
    <x v="0"/>
    <x v="0"/>
  </r>
  <r>
    <s v="CVivancoM@agricolachira.com.pe"/>
    <x v="3"/>
    <x v="0"/>
    <x v="2"/>
    <x v="40"/>
    <x v="2"/>
  </r>
  <r>
    <s v="PSuncionZ@agricolachira.com.pe"/>
    <x v="3"/>
    <x v="5"/>
    <x v="0"/>
    <x v="38"/>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8">
  <r>
    <s v="JArevaloga@agricolachira.com.pe"/>
    <x v="0"/>
    <n v="4"/>
    <s v="Gestión Humana y Sostenibilidad"/>
    <x v="0"/>
  </r>
  <r>
    <s v="FValladaresC@agricolachira.com.pe"/>
    <x v="0"/>
    <n v="3"/>
    <s v="Agrícola"/>
    <x v="1"/>
  </r>
  <r>
    <s v="ABurneoL@agricolachira.com.pe"/>
    <x v="0"/>
    <n v="5"/>
    <s v="Administración y Finanzas"/>
    <x v="2"/>
  </r>
  <r>
    <s v="DZuritaF@agricolachira.com.pe"/>
    <x v="0"/>
    <n v="4"/>
    <s v="Administración y Finanzas"/>
    <x v="3"/>
  </r>
  <r>
    <s v="MMartinezP@agricolachira.com.pe"/>
    <x v="0"/>
    <n v="5"/>
    <s v="Administración y Finanzas"/>
    <x v="4"/>
  </r>
  <r>
    <s v="creyesy@agricolachira.com.pe"/>
    <x v="0"/>
    <n v="4"/>
    <s v="Industrial y de Mantenimiento"/>
    <x v="5"/>
  </r>
  <r>
    <s v="KOtinianoP@agricolachira.com.pe"/>
    <x v="0"/>
    <n v="4"/>
    <s v="Administración y Finanzas"/>
    <x v="3"/>
  </r>
  <r>
    <s v="LOlayaLe@agricolachira.com.pe"/>
    <x v="0"/>
    <n v="4"/>
    <s v="Administración y Finanzas"/>
    <x v="6"/>
  </r>
  <r>
    <s v="CRamosG@agricolachira.com.pe"/>
    <x v="0"/>
    <n v="4"/>
    <s v="Gestión Humana y Sostenibilidad"/>
    <x v="7"/>
  </r>
  <r>
    <s v="BGonzalesM@agricolachira.com.pe"/>
    <x v="0"/>
    <n v="4"/>
    <s v="Operaciones"/>
    <x v="8"/>
  </r>
  <r>
    <s v="AFloresD@agricolachira.com.pe"/>
    <x v="0"/>
    <n v="4"/>
    <s v="Industrial y de Mantenimiento"/>
    <x v="9"/>
  </r>
  <r>
    <s v="rmerach@agricolachira.com.pe"/>
    <x v="0"/>
    <n v="4"/>
    <s v="Industrial y de Mantenimiento"/>
    <x v="10"/>
  </r>
  <r>
    <s v="YGarridoS@agricolachira.com.pe"/>
    <x v="0"/>
    <n v="5"/>
    <s v="Operaciones"/>
    <x v="11"/>
  </r>
  <r>
    <s v="WChavezS@agricolachira.com.pe"/>
    <x v="0"/>
    <n v="4"/>
    <s v="Agrícola"/>
    <x v="12"/>
  </r>
  <r>
    <s v="CCarrilloR@agricolachira.com.pe"/>
    <x v="0"/>
    <n v="4"/>
    <s v="Industrial y de Mantenimiento"/>
    <x v="13"/>
  </r>
  <r>
    <s v="VHilaresZ@agricolachira.com.pe"/>
    <x v="0"/>
    <n v="4"/>
    <s v="Agrícola"/>
    <x v="12"/>
  </r>
  <r>
    <s v="JGomezAp@agricolachira.com.pe"/>
    <x v="0"/>
    <n v="5"/>
    <s v="Administración y Finanzas"/>
    <x v="14"/>
  </r>
  <r>
    <s v="RMoncadaP@agricolachira.com.pe"/>
    <x v="0"/>
    <n v="5"/>
    <s v="Administración y Finanzas"/>
    <x v="2"/>
  </r>
  <r>
    <s v="HMocarroC@agricolachira.com.pe"/>
    <x v="0"/>
    <n v="4"/>
    <s v="Administración y Finanzas"/>
    <x v="15"/>
  </r>
  <r>
    <s v="EMijahuancaG@agricolachira.com.pe"/>
    <x v="0"/>
    <n v="4"/>
    <s v="Operaciones"/>
    <x v="16"/>
  </r>
  <r>
    <s v="ASeminarioV@agricolachira.com.pe"/>
    <x v="0"/>
    <n v="4"/>
    <s v="Agrícola"/>
    <x v="1"/>
  </r>
  <r>
    <s v="LGarciaC@agricolachira.com.pe"/>
    <x v="0"/>
    <n v="2"/>
    <s v="Operaciones"/>
    <x v="17"/>
  </r>
  <r>
    <s v="JChumaceroC@sucroalcoleradelchira.com.pe"/>
    <x v="0"/>
    <n v="5"/>
    <s v="Industrial y de Mantenimiento"/>
    <x v="18"/>
  </r>
  <r>
    <s v="LRuizMu@agricolachira.com.pe"/>
    <x v="0"/>
    <n v="5"/>
    <s v="Operaciones"/>
    <x v="19"/>
  </r>
  <r>
    <s v="EArevaloJ@agricolachira.com.pe"/>
    <x v="0"/>
    <n v="5"/>
    <s v="Administración y Finanzas"/>
    <x v="20"/>
  </r>
  <r>
    <s v="MCulqueC@agricolachira.com.pe"/>
    <x v="0"/>
    <n v="5"/>
    <s v="Agrícola"/>
    <x v="12"/>
  </r>
  <r>
    <s v="RTorresS@agricolachira.com.pe"/>
    <x v="0"/>
    <n v="4"/>
    <s v="Agrícola"/>
    <x v="1"/>
  </r>
  <r>
    <s v="jvasquezc@agricolachira.com.pe"/>
    <x v="0"/>
    <n v="4"/>
    <s v="Administración y Finanzas"/>
    <x v="14"/>
  </r>
  <r>
    <s v="WFacundoF@agricolachira.com.pe"/>
    <x v="0"/>
    <n v="3"/>
    <s v="Industrial y de Mantenimiento"/>
    <x v="9"/>
  </r>
  <r>
    <s v="JEstelaF@agricolachira.com.pe"/>
    <x v="0"/>
    <n v="2"/>
    <s v="Operaciones"/>
    <x v="19"/>
  </r>
  <r>
    <s v="JCobenasS@agricolachira.com.pe"/>
    <x v="0"/>
    <n v="2"/>
    <s v="Operaciones"/>
    <x v="19"/>
  </r>
  <r>
    <s v="VCruzC@agricolachira.com.pe"/>
    <x v="0"/>
    <n v="5"/>
    <s v="Gestión Humana y Sostenibilidad"/>
    <x v="21"/>
  </r>
  <r>
    <s v="WCarrascoA@agricolachira.com.pe"/>
    <x v="0"/>
    <n v="3"/>
    <s v="Administración y Finanzas"/>
    <x v="14"/>
  </r>
  <r>
    <s v="JRojasBarr@agricolachira.com.pe"/>
    <x v="0"/>
    <n v="3"/>
    <s v="Agrícola"/>
    <x v="22"/>
  </r>
  <r>
    <s v="GCubasA@agricolachira.com.pe"/>
    <x v="0"/>
    <n v="5"/>
    <s v="Agrícola"/>
    <x v="1"/>
  </r>
  <r>
    <s v="jbacilioh@agricolachira.com.pe"/>
    <x v="0"/>
    <n v="5"/>
    <s v="Agrícola"/>
    <x v="23"/>
  </r>
  <r>
    <s v="RInfanteB@agricolachira.com.pe"/>
    <x v="0"/>
    <n v="5"/>
    <s v="Agrícola"/>
    <x v="22"/>
  </r>
  <r>
    <s v="ereyesp@agricolachira.com.pe"/>
    <x v="0"/>
    <n v="4"/>
    <s v="Agrícola"/>
    <x v="24"/>
  </r>
  <r>
    <s v="JGarcesV@agricolachira.com.pe"/>
    <x v="0"/>
    <n v="4"/>
    <s v="Gestión Humana y Sostenibilidad"/>
    <x v="0"/>
  </r>
  <r>
    <s v="RSacramentoL@agricolachira.com.pe"/>
    <x v="0"/>
    <n v="4"/>
    <s v="Agrícola"/>
    <x v="25"/>
  </r>
  <r>
    <s v="JMioA@agricolachira.com.pe"/>
    <x v="0"/>
    <n v="4"/>
    <s v="Agrícola"/>
    <x v="1"/>
  </r>
  <r>
    <s v="DAlbercaS@agricolachira.com.pe"/>
    <x v="0"/>
    <n v="1"/>
    <s v="Operaciones"/>
    <x v="19"/>
  </r>
  <r>
    <s v="JMogollonC@agricolachira.com.pe"/>
    <x v="0"/>
    <n v="3"/>
    <s v="Operaciones"/>
    <x v="8"/>
  </r>
  <r>
    <s v="adelchiradigitadorsv@agricolachira.com.pe"/>
    <x v="0"/>
    <n v="5"/>
    <s v="Agrícola"/>
    <x v="12"/>
  </r>
  <r>
    <s v="JBayonaG@agricolachira.com.pe"/>
    <x v="0"/>
    <n v="4"/>
    <s v="Administración y Finanzas"/>
    <x v="26"/>
  </r>
  <r>
    <s v="JIngaF@agricolachira.com.pe"/>
    <x v="0"/>
    <n v="5"/>
    <s v="Administración y Finanzas"/>
    <x v="14"/>
  </r>
  <r>
    <s v="NPizarroC@agricolachira.com.pe"/>
    <x v="0"/>
    <n v="5"/>
    <s v="Operaciones"/>
    <x v="27"/>
  </r>
  <r>
    <s v="MDilibertoS@agricolachira.com.pe"/>
    <x v="0"/>
    <n v="4"/>
    <s v="Agrícola"/>
    <x v="28"/>
  </r>
  <r>
    <s v="lsipiona@agricolachira.com.pe"/>
    <x v="0"/>
    <n v="4"/>
    <s v="Gestión Humana y Sostenibilidad"/>
    <x v="29"/>
  </r>
  <r>
    <s v="JOrdinolaZ@agricolachira.com.pe"/>
    <x v="0"/>
    <n v="4"/>
    <s v="Operaciones"/>
    <x v="19"/>
  </r>
  <r>
    <s v="cfreym@agricolachira.com.pe"/>
    <x v="0"/>
    <n v="5"/>
    <s v="Operaciones"/>
    <x v="30"/>
  </r>
  <r>
    <s v="MDiazTa@agricolachira.com.pe"/>
    <x v="0"/>
    <s v="X"/>
    <s v="Administración y Finanzas"/>
    <x v="6"/>
  </r>
  <r>
    <s v="JHidalgoS@agricolachira.com.pe"/>
    <x v="0"/>
    <n v="5"/>
    <s v="Administración y Finanzas"/>
    <x v="14"/>
  </r>
  <r>
    <s v="AGutierrezR@agricolachira.com.pe"/>
    <x v="0"/>
    <n v="5"/>
    <s v="Operaciones"/>
    <x v="30"/>
  </r>
  <r>
    <s v="GTavaraS@agricolachira.com.pe"/>
    <x v="0"/>
    <n v="5"/>
    <s v="Operaciones"/>
    <x v="11"/>
  </r>
  <r>
    <s v="HCruzA@agricolachira.com.pe"/>
    <x v="0"/>
    <n v="4"/>
    <s v="Operaciones"/>
    <x v="11"/>
  </r>
  <r>
    <s v="LRodriguezC@agricolachira.com.pe"/>
    <x v="0"/>
    <n v="4"/>
    <s v="Gestión Humana y Sostenibilidad"/>
    <x v="31"/>
  </r>
  <r>
    <s v="VVeraN@agricolachira.com.pe"/>
    <x v="0"/>
    <n v="4"/>
    <s v="Agrícola"/>
    <x v="23"/>
  </r>
  <r>
    <s v="JAquijeD@agricolachira.com.pe"/>
    <x v="0"/>
    <n v="4"/>
    <s v="Agrícola"/>
    <x v="22"/>
  </r>
  <r>
    <s v="PHernandezH@agricolachira.com.pe"/>
    <x v="0"/>
    <n v="5"/>
    <s v="Agrícola"/>
    <x v="25"/>
  </r>
  <r>
    <s v="YMoscolC@agricolachira.com.pe"/>
    <x v="0"/>
    <n v="3"/>
    <s v="Operaciones"/>
    <x v="30"/>
  </r>
  <r>
    <s v="GPenaP@agricolachira.com.pe"/>
    <x v="0"/>
    <n v="5"/>
    <s v="Agrícola"/>
    <x v="25"/>
  </r>
  <r>
    <s v="HMatiasZ@agricolachira.com.pe"/>
    <x v="0"/>
    <n v="5"/>
    <s v="Agrícola"/>
    <x v="32"/>
  </r>
  <r>
    <s v="NHansenG@agricolachira.com.pe"/>
    <x v="0"/>
    <n v="4"/>
    <s v="Agrícola"/>
    <x v="1"/>
  </r>
  <r>
    <s v="JMazaV@agricolachira.com.pe"/>
    <x v="0"/>
    <n v="2"/>
    <s v="Industrial y de Mantenimiento"/>
    <x v="33"/>
  </r>
  <r>
    <s v="DGameroS@agricolachira.com.pe"/>
    <x v="0"/>
    <n v="3"/>
    <s v="Industrial y de Mantenimiento"/>
    <x v="9"/>
  </r>
  <r>
    <s v="HBorjaT@agricolachira.com.pe"/>
    <x v="0"/>
    <n v="4"/>
    <s v="Industrial y de Mantenimiento"/>
    <x v="13"/>
  </r>
  <r>
    <s v="LPadillaSa@agricolachira.com.pe"/>
    <x v="0"/>
    <n v="3"/>
    <s v="Industrial y de Mantenimiento"/>
    <x v="9"/>
  </r>
  <r>
    <s v="LVillarF@agricolachira.com.pe"/>
    <x v="0"/>
    <n v="4"/>
    <s v="Industrial y de Mantenimiento"/>
    <x v="18"/>
  </r>
  <r>
    <s v="JMendozaG@agricolachira.com.pe"/>
    <x v="0"/>
    <n v="5"/>
    <s v="Gestión Humana y Sostenibilidad"/>
    <x v="0"/>
  </r>
  <r>
    <s v="AGuldenG@agricolachira.com.pe"/>
    <x v="0"/>
    <n v="5"/>
    <s v="Agrícola"/>
    <x v="25"/>
  </r>
  <r>
    <s v="jjimenezc@agricolachira.com.pe"/>
    <x v="0"/>
    <n v="5"/>
    <s v="Gestión Humana y Sostenibilidad"/>
    <x v="29"/>
  </r>
  <r>
    <s v="RVelazcoG@agricolachira.com.pe"/>
    <x v="0"/>
    <n v="5"/>
    <s v="Agrícola"/>
    <x v="1"/>
  </r>
  <r>
    <s v="PMarroquinR@agricolachira.com.pe"/>
    <x v="0"/>
    <n v="4"/>
    <s v="Agrícola"/>
    <x v="34"/>
  </r>
  <r>
    <s v="PArcelaC@agricolachira.com.pe"/>
    <x v="0"/>
    <n v="3"/>
    <s v="Operaciones"/>
    <x v="17"/>
  </r>
  <r>
    <s v="ABlancoE@agricolachira.com.pe"/>
    <x v="0"/>
    <n v="5"/>
    <s v="Operaciones"/>
    <x v="27"/>
  </r>
  <r>
    <s v="EAmesM@agricolachira.com.pe"/>
    <x v="0"/>
    <n v="4"/>
    <s v="Gestión Humana y Sostenibilidad"/>
    <x v="35"/>
  </r>
  <r>
    <s v="JSeminarioA@agricolachira.com.pe"/>
    <x v="0"/>
    <n v="3"/>
    <s v="Industrial y de Mantenimiento"/>
    <x v="9"/>
  </r>
  <r>
    <s v="JPichilinguP@agricolachira.com.pe"/>
    <x v="0"/>
    <n v="3"/>
    <s v="Operaciones"/>
    <x v="30"/>
  </r>
  <r>
    <s v="FRodriguezV@agricolachira.com.pe"/>
    <x v="0"/>
    <n v="5"/>
    <s v="Gestión Humana y Sostenibilidad"/>
    <x v="36"/>
  </r>
  <r>
    <s v="JHuamanRo@agricolachira.com.pe"/>
    <x v="0"/>
    <n v="4"/>
    <s v="Operaciones"/>
    <x v="17"/>
  </r>
  <r>
    <s v="YHermenegilA@agricolachira.com.pe"/>
    <x v="0"/>
    <n v="4"/>
    <s v="Gestión Humana y Sostenibilidad"/>
    <x v="35"/>
  </r>
  <r>
    <s v="CLupucheV@agricolachira.com.pe"/>
    <x v="0"/>
    <n v="5"/>
    <s v="Agrícola"/>
    <x v="25"/>
  </r>
  <r>
    <s v="MVegaY@agricolachira.com.pe"/>
    <x v="0"/>
    <n v="3"/>
    <s v="Operaciones"/>
    <x v="19"/>
  </r>
  <r>
    <s v="digitadorlb2@agricolachira.com.pe"/>
    <x v="0"/>
    <n v="5"/>
    <s v="Agrícola"/>
    <x v="25"/>
  </r>
  <r>
    <s v="digitadorlb1@agricolachira.com.pe"/>
    <x v="0"/>
    <n v="5"/>
    <s v="Agrícola"/>
    <x v="25"/>
  </r>
  <r>
    <s v="YMogollonG@agricolachira.com.pe"/>
    <x v="0"/>
    <n v="5"/>
    <s v="Operaciones"/>
    <x v="17"/>
  </r>
  <r>
    <s v="RMarceloY@agricolachira.com.pe"/>
    <x v="0"/>
    <n v="5"/>
    <s v="Operaciones"/>
    <x v="37"/>
  </r>
  <r>
    <s v="ALachiraP@agricolachira.com.pe"/>
    <x v="0"/>
    <n v="5"/>
    <s v="Operaciones"/>
    <x v="11"/>
  </r>
  <r>
    <s v="AColomaL@agricolachira.com.pe"/>
    <x v="0"/>
    <n v="4"/>
    <s v="Gestión Humana y Sostenibilidad"/>
    <x v="38"/>
  </r>
  <r>
    <s v="ovasquezp@agricolachira.com.pe"/>
    <x v="0"/>
    <n v="5"/>
    <s v="Agrícola"/>
    <x v="24"/>
  </r>
  <r>
    <s v="ptrigoso@agricolachira.com.pe"/>
    <x v="0"/>
    <n v="4"/>
    <s v="Operaciones"/>
    <x v="39"/>
  </r>
  <r>
    <s v="LOcanaP@agricolachira.com.pe"/>
    <x v="0"/>
    <n v="4"/>
    <s v="Administración y Finanzas"/>
    <x v="2"/>
  </r>
  <r>
    <s v="RLupucheQ@agricolachira.com.pe"/>
    <x v="0"/>
    <n v="3"/>
    <s v="Agrícola"/>
    <x v="23"/>
  </r>
  <r>
    <s v="seguridadhuaca_lobo@agricolachira.com.pe"/>
    <x v="0"/>
    <n v="3"/>
    <s v="Gestión Humana y Sostenibilidad"/>
    <x v="0"/>
  </r>
  <r>
    <s v="CVivancoM@agricolachira.com.pe"/>
    <x v="0"/>
    <n v="4"/>
    <s v="Administración y Finanzas"/>
    <x v="40"/>
  </r>
  <r>
    <s v="PSuncionZ@agricolachira.com.pe"/>
    <x v="0"/>
    <n v="4"/>
    <s v="Gestión Humana y Sostenibilidad"/>
    <x v="38"/>
  </r>
  <r>
    <s v="JArevaloga@agricolachira.com.pe"/>
    <x v="1"/>
    <n v="5"/>
    <s v="Gestión Humana y Sostenibilidad"/>
    <x v="0"/>
  </r>
  <r>
    <s v="FValladaresC@agricolachira.com.pe"/>
    <x v="1"/>
    <s v="X"/>
    <s v="Agrícola"/>
    <x v="1"/>
  </r>
  <r>
    <s v="ABurneoL@agricolachira.com.pe"/>
    <x v="1"/>
    <s v="X"/>
    <s v="Administración y Finanzas"/>
    <x v="2"/>
  </r>
  <r>
    <s v="DZuritaF@agricolachira.com.pe"/>
    <x v="1"/>
    <s v="X"/>
    <s v="Administración y Finanzas"/>
    <x v="3"/>
  </r>
  <r>
    <s v="MMartinezP@agricolachira.com.pe"/>
    <x v="1"/>
    <s v="X"/>
    <s v="Administración y Finanzas"/>
    <x v="4"/>
  </r>
  <r>
    <s v="creyesy@agricolachira.com.pe"/>
    <x v="1"/>
    <n v="4"/>
    <s v="Industrial y de Mantenimiento"/>
    <x v="5"/>
  </r>
  <r>
    <s v="KOtinianoP@agricolachira.com.pe"/>
    <x v="1"/>
    <s v="X"/>
    <s v="Administración y Finanzas"/>
    <x v="3"/>
  </r>
  <r>
    <s v="LOlayaLe@agricolachira.com.pe"/>
    <x v="1"/>
    <n v="4"/>
    <s v="Administración y Finanzas"/>
    <x v="6"/>
  </r>
  <r>
    <s v="CRamosG@agricolachira.com.pe"/>
    <x v="1"/>
    <n v="4"/>
    <s v="Gestión Humana y Sostenibilidad"/>
    <x v="7"/>
  </r>
  <r>
    <s v="BGonzalesM@agricolachira.com.pe"/>
    <x v="1"/>
    <n v="4"/>
    <s v="Operaciones"/>
    <x v="8"/>
  </r>
  <r>
    <s v="AFloresD@agricolachira.com.pe"/>
    <x v="1"/>
    <s v="X"/>
    <s v="Industrial y de Mantenimiento"/>
    <x v="9"/>
  </r>
  <r>
    <s v="rmerach@agricolachira.com.pe"/>
    <x v="1"/>
    <s v="X"/>
    <s v="Industrial y de Mantenimiento"/>
    <x v="10"/>
  </r>
  <r>
    <s v="YGarridoS@agricolachira.com.pe"/>
    <x v="1"/>
    <n v="3"/>
    <s v="Operaciones"/>
    <x v="11"/>
  </r>
  <r>
    <s v="WChavezS@agricolachira.com.pe"/>
    <x v="1"/>
    <s v="X"/>
    <s v="Agrícola"/>
    <x v="12"/>
  </r>
  <r>
    <s v="CCarrilloR@agricolachira.com.pe"/>
    <x v="1"/>
    <n v="5"/>
    <s v="Industrial y de Mantenimiento"/>
    <x v="13"/>
  </r>
  <r>
    <s v="VHilaresZ@agricolachira.com.pe"/>
    <x v="1"/>
    <n v="4"/>
    <s v="Agrícola"/>
    <x v="12"/>
  </r>
  <r>
    <s v="JGomezAp@agricolachira.com.pe"/>
    <x v="1"/>
    <n v="5"/>
    <s v="Administración y Finanzas"/>
    <x v="14"/>
  </r>
  <r>
    <s v="RMoncadaP@agricolachira.com.pe"/>
    <x v="1"/>
    <s v="X"/>
    <s v="Administración y Finanzas"/>
    <x v="2"/>
  </r>
  <r>
    <s v="HMocarroC@agricolachira.com.pe"/>
    <x v="1"/>
    <n v="4"/>
    <s v="Administración y Finanzas"/>
    <x v="15"/>
  </r>
  <r>
    <s v="EMijahuancaG@agricolachira.com.pe"/>
    <x v="1"/>
    <n v="5"/>
    <s v="Operaciones"/>
    <x v="16"/>
  </r>
  <r>
    <s v="ASeminarioV@agricolachira.com.pe"/>
    <x v="1"/>
    <n v="4"/>
    <s v="Agrícola"/>
    <x v="1"/>
  </r>
  <r>
    <s v="LGarciaC@agricolachira.com.pe"/>
    <x v="1"/>
    <s v="X"/>
    <s v="Operaciones"/>
    <x v="17"/>
  </r>
  <r>
    <s v="JChumaceroC@sucroalcoleradelchira.com.pe"/>
    <x v="1"/>
    <n v="5"/>
    <s v="Industrial y de Mantenimiento"/>
    <x v="18"/>
  </r>
  <r>
    <s v="LRuizMu@agricolachira.com.pe"/>
    <x v="1"/>
    <n v="4"/>
    <s v="Operaciones"/>
    <x v="19"/>
  </r>
  <r>
    <s v="EArevaloJ@agricolachira.com.pe"/>
    <x v="1"/>
    <n v="5"/>
    <s v="Administración y Finanzas"/>
    <x v="20"/>
  </r>
  <r>
    <s v="MCulqueC@agricolachira.com.pe"/>
    <x v="1"/>
    <n v="5"/>
    <s v="Agrícola"/>
    <x v="12"/>
  </r>
  <r>
    <s v="RTorresS@agricolachira.com.pe"/>
    <x v="1"/>
    <n v="4"/>
    <s v="Agrícola"/>
    <x v="1"/>
  </r>
  <r>
    <s v="jvasquezc@agricolachira.com.pe"/>
    <x v="1"/>
    <n v="4"/>
    <s v="Administración y Finanzas"/>
    <x v="14"/>
  </r>
  <r>
    <s v="WFacundoF@agricolachira.com.pe"/>
    <x v="1"/>
    <n v="4"/>
    <s v="Industrial y de Mantenimiento"/>
    <x v="9"/>
  </r>
  <r>
    <s v="JEstelaF@agricolachira.com.pe"/>
    <x v="1"/>
    <s v="X"/>
    <s v="Operaciones"/>
    <x v="19"/>
  </r>
  <r>
    <s v="JCobenasS@agricolachira.com.pe"/>
    <x v="1"/>
    <n v="4"/>
    <s v="Operaciones"/>
    <x v="19"/>
  </r>
  <r>
    <s v="VCruzC@agricolachira.com.pe"/>
    <x v="1"/>
    <n v="5"/>
    <s v="Gestión Humana y Sostenibilidad"/>
    <x v="21"/>
  </r>
  <r>
    <s v="WCarrascoA@agricolachira.com.pe"/>
    <x v="1"/>
    <n v="4"/>
    <s v="Administración y Finanzas"/>
    <x v="14"/>
  </r>
  <r>
    <s v="JRojasBarr@agricolachira.com.pe"/>
    <x v="1"/>
    <s v="X"/>
    <s v="Agrícola"/>
    <x v="22"/>
  </r>
  <r>
    <s v="GCubasA@agricolachira.com.pe"/>
    <x v="1"/>
    <n v="5"/>
    <s v="Agrícola"/>
    <x v="1"/>
  </r>
  <r>
    <s v="jbacilioh@agricolachira.com.pe"/>
    <x v="1"/>
    <s v="X"/>
    <s v="Agrícola"/>
    <x v="23"/>
  </r>
  <r>
    <s v="RInfanteB@agricolachira.com.pe"/>
    <x v="1"/>
    <n v="5"/>
    <s v="Agrícola"/>
    <x v="22"/>
  </r>
  <r>
    <s v="ereyesp@agricolachira.com.pe"/>
    <x v="1"/>
    <s v="X"/>
    <s v="Agrícola"/>
    <x v="24"/>
  </r>
  <r>
    <s v="JGarcesV@agricolachira.com.pe"/>
    <x v="1"/>
    <n v="3"/>
    <s v="Gestión Humana y Sostenibilidad"/>
    <x v="0"/>
  </r>
  <r>
    <s v="RSacramentoL@agricolachira.com.pe"/>
    <x v="1"/>
    <n v="5"/>
    <s v="Agrícola"/>
    <x v="25"/>
  </r>
  <r>
    <s v="JMioA@agricolachira.com.pe"/>
    <x v="1"/>
    <n v="3"/>
    <s v="Agrícola"/>
    <x v="1"/>
  </r>
  <r>
    <s v="DAlbercaS@agricolachira.com.pe"/>
    <x v="1"/>
    <s v="X"/>
    <s v="Operaciones"/>
    <x v="19"/>
  </r>
  <r>
    <s v="JMogollonC@agricolachira.com.pe"/>
    <x v="1"/>
    <s v="X"/>
    <s v="Operaciones"/>
    <x v="8"/>
  </r>
  <r>
    <s v="adelchiradigitadorsv@agricolachira.com.pe"/>
    <x v="1"/>
    <n v="5"/>
    <s v="Agrícola"/>
    <x v="12"/>
  </r>
  <r>
    <s v="JBayonaG@agricolachira.com.pe"/>
    <x v="1"/>
    <s v="X"/>
    <s v="Administración y Finanzas"/>
    <x v="26"/>
  </r>
  <r>
    <s v="JIngaF@agricolachira.com.pe"/>
    <x v="1"/>
    <n v="5"/>
    <s v="Administración y Finanzas"/>
    <x v="14"/>
  </r>
  <r>
    <s v="NPizarroC@agricolachira.com.pe"/>
    <x v="1"/>
    <n v="5"/>
    <s v="Operaciones"/>
    <x v="27"/>
  </r>
  <r>
    <s v="MDilibertoS@agricolachira.com.pe"/>
    <x v="1"/>
    <s v="X"/>
    <s v="Agrícola"/>
    <x v="28"/>
  </r>
  <r>
    <s v="lsipiona@agricolachira.com.pe"/>
    <x v="1"/>
    <n v="4"/>
    <s v="Gestión Humana y Sostenibilidad"/>
    <x v="29"/>
  </r>
  <r>
    <s v="JOrdinolaZ@agricolachira.com.pe"/>
    <x v="1"/>
    <n v="4"/>
    <s v="Operaciones"/>
    <x v="19"/>
  </r>
  <r>
    <s v="cfreym@agricolachira.com.pe"/>
    <x v="1"/>
    <n v="5"/>
    <s v="Operaciones"/>
    <x v="30"/>
  </r>
  <r>
    <s v="MDiazTa@agricolachira.com.pe"/>
    <x v="1"/>
    <s v="X"/>
    <s v="Administración y Finanzas"/>
    <x v="6"/>
  </r>
  <r>
    <s v="JHidalgoS@agricolachira.com.pe"/>
    <x v="1"/>
    <n v="5"/>
    <s v="Administración y Finanzas"/>
    <x v="14"/>
  </r>
  <r>
    <s v="AGutierrezR@agricolachira.com.pe"/>
    <x v="1"/>
    <n v="5"/>
    <s v="Operaciones"/>
    <x v="30"/>
  </r>
  <r>
    <s v="GTavaraS@agricolachira.com.pe"/>
    <x v="1"/>
    <n v="5"/>
    <s v="Operaciones"/>
    <x v="11"/>
  </r>
  <r>
    <s v="HCruzA@agricolachira.com.pe"/>
    <x v="1"/>
    <s v="X"/>
    <s v="Operaciones"/>
    <x v="11"/>
  </r>
  <r>
    <s v="LRodriguezC@agricolachira.com.pe"/>
    <x v="1"/>
    <n v="4"/>
    <s v="Gestión Humana y Sostenibilidad"/>
    <x v="31"/>
  </r>
  <r>
    <s v="VVeraN@agricolachira.com.pe"/>
    <x v="1"/>
    <n v="4"/>
    <s v="Agrícola"/>
    <x v="23"/>
  </r>
  <r>
    <s v="JAquijeD@agricolachira.com.pe"/>
    <x v="1"/>
    <s v="X"/>
    <s v="Agrícola"/>
    <x v="22"/>
  </r>
  <r>
    <s v="PHernandezH@agricolachira.com.pe"/>
    <x v="1"/>
    <n v="5"/>
    <s v="Agrícola"/>
    <x v="25"/>
  </r>
  <r>
    <s v="YMoscolC@agricolachira.com.pe"/>
    <x v="1"/>
    <s v="X"/>
    <s v="Operaciones"/>
    <x v="30"/>
  </r>
  <r>
    <s v="GPenaP@agricolachira.com.pe"/>
    <x v="1"/>
    <n v="5"/>
    <s v="Agrícola"/>
    <x v="25"/>
  </r>
  <r>
    <s v="HMatiasZ@agricolachira.com.pe"/>
    <x v="1"/>
    <n v="5"/>
    <s v="Agrícola"/>
    <x v="32"/>
  </r>
  <r>
    <s v="NHansenG@agricolachira.com.pe"/>
    <x v="1"/>
    <s v="X"/>
    <s v="Agrícola"/>
    <x v="1"/>
  </r>
  <r>
    <s v="JMazaV@agricolachira.com.pe"/>
    <x v="1"/>
    <s v="X"/>
    <s v="Industrial y de Mantenimiento"/>
    <x v="33"/>
  </r>
  <r>
    <s v="DGameroS@agricolachira.com.pe"/>
    <x v="1"/>
    <s v="X"/>
    <s v="Industrial y de Mantenimiento"/>
    <x v="9"/>
  </r>
  <r>
    <s v="HBorjaT@agricolachira.com.pe"/>
    <x v="1"/>
    <s v="X"/>
    <s v="Industrial y de Mantenimiento"/>
    <x v="13"/>
  </r>
  <r>
    <s v="LPadillaSa@agricolachira.com.pe"/>
    <x v="1"/>
    <s v="X"/>
    <s v="Industrial y de Mantenimiento"/>
    <x v="9"/>
  </r>
  <r>
    <s v="LVillarF@agricolachira.com.pe"/>
    <x v="1"/>
    <n v="4"/>
    <s v="Industrial y de Mantenimiento"/>
    <x v="18"/>
  </r>
  <r>
    <s v="JMendozaG@agricolachira.com.pe"/>
    <x v="1"/>
    <n v="5"/>
    <s v="Gestión Humana y Sostenibilidad"/>
    <x v="0"/>
  </r>
  <r>
    <s v="AGuldenG@agricolachira.com.pe"/>
    <x v="1"/>
    <n v="5"/>
    <s v="Agrícola"/>
    <x v="25"/>
  </r>
  <r>
    <s v="jjimenezc@agricolachira.com.pe"/>
    <x v="1"/>
    <n v="5"/>
    <s v="Gestión Humana y Sostenibilidad"/>
    <x v="29"/>
  </r>
  <r>
    <s v="RVelazcoG@agricolachira.com.pe"/>
    <x v="1"/>
    <n v="4"/>
    <s v="Agrícola"/>
    <x v="1"/>
  </r>
  <r>
    <s v="PMarroquinR@agricolachira.com.pe"/>
    <x v="1"/>
    <s v="X"/>
    <s v="Agrícola"/>
    <x v="34"/>
  </r>
  <r>
    <s v="PArcelaC@agricolachira.com.pe"/>
    <x v="1"/>
    <n v="3"/>
    <s v="Operaciones"/>
    <x v="17"/>
  </r>
  <r>
    <s v="ABlancoE@agricolachira.com.pe"/>
    <x v="1"/>
    <n v="5"/>
    <s v="Operaciones"/>
    <x v="27"/>
  </r>
  <r>
    <s v="EAmesM@agricolachira.com.pe"/>
    <x v="1"/>
    <n v="3"/>
    <s v="Gestión Humana y Sostenibilidad"/>
    <x v="35"/>
  </r>
  <r>
    <s v="JSeminarioA@agricolachira.com.pe"/>
    <x v="1"/>
    <n v="3"/>
    <s v="Industrial y de Mantenimiento"/>
    <x v="9"/>
  </r>
  <r>
    <s v="JPichilinguP@agricolachira.com.pe"/>
    <x v="1"/>
    <s v="X"/>
    <s v="Operaciones"/>
    <x v="30"/>
  </r>
  <r>
    <s v="FRodriguezV@agricolachira.com.pe"/>
    <x v="1"/>
    <n v="5"/>
    <s v="Gestión Humana y Sostenibilidad"/>
    <x v="36"/>
  </r>
  <r>
    <s v="JHuamanRo@agricolachira.com.pe"/>
    <x v="1"/>
    <n v="4"/>
    <s v="Operaciones"/>
    <x v="17"/>
  </r>
  <r>
    <s v="YHermenegilA@agricolachira.com.pe"/>
    <x v="1"/>
    <n v="4"/>
    <s v="Gestión Humana y Sostenibilidad"/>
    <x v="35"/>
  </r>
  <r>
    <s v="CLupucheV@agricolachira.com.pe"/>
    <x v="1"/>
    <n v="4"/>
    <s v="Agrícola"/>
    <x v="25"/>
  </r>
  <r>
    <s v="MVegaY@agricolachira.com.pe"/>
    <x v="1"/>
    <n v="3"/>
    <s v="Operaciones"/>
    <x v="19"/>
  </r>
  <r>
    <s v="digitadorlb2@agricolachira.com.pe"/>
    <x v="1"/>
    <n v="5"/>
    <s v="Agrícola"/>
    <x v="25"/>
  </r>
  <r>
    <s v="digitadorlb1@agricolachira.com.pe"/>
    <x v="1"/>
    <n v="5"/>
    <s v="Agrícola"/>
    <x v="25"/>
  </r>
  <r>
    <s v="YMogollonG@agricolachira.com.pe"/>
    <x v="1"/>
    <n v="5"/>
    <s v="Operaciones"/>
    <x v="17"/>
  </r>
  <r>
    <s v="RMarceloY@agricolachira.com.pe"/>
    <x v="1"/>
    <n v="5"/>
    <s v="Operaciones"/>
    <x v="37"/>
  </r>
  <r>
    <s v="ALachiraP@agricolachira.com.pe"/>
    <x v="1"/>
    <n v="4"/>
    <s v="Operaciones"/>
    <x v="11"/>
  </r>
  <r>
    <s v="AColomaL@agricolachira.com.pe"/>
    <x v="1"/>
    <n v="4"/>
    <s v="Gestión Humana y Sostenibilidad"/>
    <x v="38"/>
  </r>
  <r>
    <s v="ovasquezp@agricolachira.com.pe"/>
    <x v="1"/>
    <s v="X"/>
    <s v="Agrícola"/>
    <x v="24"/>
  </r>
  <r>
    <s v="ptrigoso@agricolachira.com.pe"/>
    <x v="1"/>
    <s v="X"/>
    <s v="Operaciones"/>
    <x v="39"/>
  </r>
  <r>
    <s v="LOcanaP@agricolachira.com.pe"/>
    <x v="1"/>
    <n v="4"/>
    <s v="Administración y Finanzas"/>
    <x v="2"/>
  </r>
  <r>
    <s v="RLupucheQ@agricolachira.com.pe"/>
    <x v="1"/>
    <n v="3"/>
    <s v="Agrícola"/>
    <x v="23"/>
  </r>
  <r>
    <s v="seguridadhuaca_lobo@agricolachira.com.pe"/>
    <x v="1"/>
    <n v="3"/>
    <s v="Gestión Humana y Sostenibilidad"/>
    <x v="0"/>
  </r>
  <r>
    <s v="CVivancoM@agricolachira.com.pe"/>
    <x v="1"/>
    <s v="X"/>
    <s v="Administración y Finanzas"/>
    <x v="40"/>
  </r>
  <r>
    <s v="PSuncionZ@agricolachira.com.pe"/>
    <x v="1"/>
    <s v="X"/>
    <s v="Gestión Humana y Sostenibilidad"/>
    <x v="38"/>
  </r>
  <r>
    <s v="JArevaloga@agricolachira.com.pe"/>
    <x v="2"/>
    <n v="5"/>
    <s v="Gestión Humana y Sostenibilidad"/>
    <x v="0"/>
  </r>
  <r>
    <s v="FValladaresC@agricolachira.com.pe"/>
    <x v="2"/>
    <n v="4"/>
    <s v="Agrícola"/>
    <x v="1"/>
  </r>
  <r>
    <s v="ABurneoL@agricolachira.com.pe"/>
    <x v="2"/>
    <n v="5"/>
    <s v="Administración y Finanzas"/>
    <x v="2"/>
  </r>
  <r>
    <s v="DZuritaF@agricolachira.com.pe"/>
    <x v="2"/>
    <n v="5"/>
    <s v="Administración y Finanzas"/>
    <x v="3"/>
  </r>
  <r>
    <s v="MMartinezP@agricolachira.com.pe"/>
    <x v="2"/>
    <n v="5"/>
    <s v="Administración y Finanzas"/>
    <x v="4"/>
  </r>
  <r>
    <s v="creyesy@agricolachira.com.pe"/>
    <x v="2"/>
    <n v="4"/>
    <s v="Industrial y de Mantenimiento"/>
    <x v="5"/>
  </r>
  <r>
    <s v="KOtinianoP@agricolachira.com.pe"/>
    <x v="2"/>
    <n v="3"/>
    <s v="Administración y Finanzas"/>
    <x v="3"/>
  </r>
  <r>
    <s v="LOlayaLe@agricolachira.com.pe"/>
    <x v="2"/>
    <n v="4"/>
    <s v="Administración y Finanzas"/>
    <x v="6"/>
  </r>
  <r>
    <s v="CRamosG@agricolachira.com.pe"/>
    <x v="2"/>
    <n v="4"/>
    <s v="Gestión Humana y Sostenibilidad"/>
    <x v="7"/>
  </r>
  <r>
    <s v="BGonzalesM@agricolachira.com.pe"/>
    <x v="2"/>
    <n v="4"/>
    <s v="Operaciones"/>
    <x v="8"/>
  </r>
  <r>
    <s v="AFloresD@agricolachira.com.pe"/>
    <x v="2"/>
    <n v="4"/>
    <s v="Industrial y de Mantenimiento"/>
    <x v="9"/>
  </r>
  <r>
    <s v="rmerach@agricolachira.com.pe"/>
    <x v="2"/>
    <n v="3"/>
    <s v="Industrial y de Mantenimiento"/>
    <x v="10"/>
  </r>
  <r>
    <s v="YGarridoS@agricolachira.com.pe"/>
    <x v="2"/>
    <n v="3"/>
    <s v="Operaciones"/>
    <x v="11"/>
  </r>
  <r>
    <s v="WChavezS@agricolachira.com.pe"/>
    <x v="2"/>
    <n v="4"/>
    <s v="Agrícola"/>
    <x v="12"/>
  </r>
  <r>
    <s v="CCarrilloR@agricolachira.com.pe"/>
    <x v="2"/>
    <n v="3"/>
    <s v="Industrial y de Mantenimiento"/>
    <x v="13"/>
  </r>
  <r>
    <s v="VHilaresZ@agricolachira.com.pe"/>
    <x v="2"/>
    <n v="4"/>
    <s v="Agrícola"/>
    <x v="12"/>
  </r>
  <r>
    <s v="JGomezAp@agricolachira.com.pe"/>
    <x v="2"/>
    <n v="5"/>
    <s v="Administración y Finanzas"/>
    <x v="14"/>
  </r>
  <r>
    <s v="RMoncadaP@agricolachira.com.pe"/>
    <x v="2"/>
    <s v="X"/>
    <s v="Administración y Finanzas"/>
    <x v="2"/>
  </r>
  <r>
    <s v="HMocarroC@agricolachira.com.pe"/>
    <x v="2"/>
    <n v="4"/>
    <s v="Administración y Finanzas"/>
    <x v="15"/>
  </r>
  <r>
    <s v="EMijahuancaG@agricolachira.com.pe"/>
    <x v="2"/>
    <n v="4"/>
    <s v="Operaciones"/>
    <x v="16"/>
  </r>
  <r>
    <s v="ASeminarioV@agricolachira.com.pe"/>
    <x v="2"/>
    <n v="5"/>
    <s v="Agrícola"/>
    <x v="1"/>
  </r>
  <r>
    <s v="LGarciaC@agricolachira.com.pe"/>
    <x v="2"/>
    <n v="4"/>
    <s v="Operaciones"/>
    <x v="17"/>
  </r>
  <r>
    <s v="JChumaceroC@sucroalcoleradelchira.com.pe"/>
    <x v="2"/>
    <n v="5"/>
    <s v="Industrial y de Mantenimiento"/>
    <x v="18"/>
  </r>
  <r>
    <s v="LRuizMu@agricolachira.com.pe"/>
    <x v="2"/>
    <n v="4"/>
    <s v="Operaciones"/>
    <x v="19"/>
  </r>
  <r>
    <s v="EArevaloJ@agricolachira.com.pe"/>
    <x v="2"/>
    <n v="5"/>
    <s v="Administración y Finanzas"/>
    <x v="20"/>
  </r>
  <r>
    <s v="MCulqueC@agricolachira.com.pe"/>
    <x v="2"/>
    <n v="5"/>
    <s v="Agrícola"/>
    <x v="12"/>
  </r>
  <r>
    <s v="RTorresS@agricolachira.com.pe"/>
    <x v="2"/>
    <n v="4"/>
    <s v="Agrícola"/>
    <x v="1"/>
  </r>
  <r>
    <s v="jvasquezc@agricolachira.com.pe"/>
    <x v="2"/>
    <n v="5"/>
    <s v="Administración y Finanzas"/>
    <x v="14"/>
  </r>
  <r>
    <s v="WFacundoF@agricolachira.com.pe"/>
    <x v="2"/>
    <n v="4"/>
    <s v="Industrial y de Mantenimiento"/>
    <x v="9"/>
  </r>
  <r>
    <s v="JEstelaF@agricolachira.com.pe"/>
    <x v="2"/>
    <n v="5"/>
    <s v="Operaciones"/>
    <x v="19"/>
  </r>
  <r>
    <s v="JCobenasS@agricolachira.com.pe"/>
    <x v="2"/>
    <n v="4"/>
    <s v="Operaciones"/>
    <x v="19"/>
  </r>
  <r>
    <s v="VCruzC@agricolachira.com.pe"/>
    <x v="2"/>
    <n v="5"/>
    <s v="Gestión Humana y Sostenibilidad"/>
    <x v="21"/>
  </r>
  <r>
    <s v="WCarrascoA@agricolachira.com.pe"/>
    <x v="2"/>
    <n v="5"/>
    <s v="Administración y Finanzas"/>
    <x v="14"/>
  </r>
  <r>
    <s v="JRojasBarr@agricolachira.com.pe"/>
    <x v="2"/>
    <n v="4"/>
    <s v="Agrícola"/>
    <x v="22"/>
  </r>
  <r>
    <s v="GCubasA@agricolachira.com.pe"/>
    <x v="2"/>
    <n v="4"/>
    <s v="Agrícola"/>
    <x v="1"/>
  </r>
  <r>
    <s v="jbacilioh@agricolachira.com.pe"/>
    <x v="2"/>
    <n v="4"/>
    <s v="Agrícola"/>
    <x v="23"/>
  </r>
  <r>
    <s v="RInfanteB@agricolachira.com.pe"/>
    <x v="2"/>
    <n v="5"/>
    <s v="Agrícola"/>
    <x v="22"/>
  </r>
  <r>
    <s v="ereyesp@agricolachira.com.pe"/>
    <x v="2"/>
    <n v="4"/>
    <s v="Agrícola"/>
    <x v="24"/>
  </r>
  <r>
    <s v="JGarcesV@agricolachira.com.pe"/>
    <x v="2"/>
    <s v="X"/>
    <s v="Gestión Humana y Sostenibilidad"/>
    <x v="0"/>
  </r>
  <r>
    <s v="RSacramentoL@agricolachira.com.pe"/>
    <x v="2"/>
    <n v="5"/>
    <s v="Agrícola"/>
    <x v="25"/>
  </r>
  <r>
    <s v="JMioA@agricolachira.com.pe"/>
    <x v="2"/>
    <n v="4"/>
    <s v="Agrícola"/>
    <x v="1"/>
  </r>
  <r>
    <s v="DAlbercaS@agricolachira.com.pe"/>
    <x v="2"/>
    <s v="X"/>
    <s v="Operaciones"/>
    <x v="19"/>
  </r>
  <r>
    <s v="JMogollonC@agricolachira.com.pe"/>
    <x v="2"/>
    <n v="4"/>
    <s v="Operaciones"/>
    <x v="8"/>
  </r>
  <r>
    <s v="adelchiradigitadorsv@agricolachira.com.pe"/>
    <x v="2"/>
    <n v="5"/>
    <s v="Agrícola"/>
    <x v="12"/>
  </r>
  <r>
    <s v="JBayonaG@agricolachira.com.pe"/>
    <x v="2"/>
    <n v="4"/>
    <s v="Administración y Finanzas"/>
    <x v="26"/>
  </r>
  <r>
    <s v="JIngaF@agricolachira.com.pe"/>
    <x v="2"/>
    <n v="5"/>
    <s v="Administración y Finanzas"/>
    <x v="14"/>
  </r>
  <r>
    <s v="NPizarroC@agricolachira.com.pe"/>
    <x v="2"/>
    <n v="5"/>
    <s v="Operaciones"/>
    <x v="27"/>
  </r>
  <r>
    <s v="MDilibertoS@agricolachira.com.pe"/>
    <x v="2"/>
    <n v="4"/>
    <s v="Agrícola"/>
    <x v="28"/>
  </r>
  <r>
    <s v="lsipiona@agricolachira.com.pe"/>
    <x v="2"/>
    <n v="4"/>
    <s v="Gestión Humana y Sostenibilidad"/>
    <x v="29"/>
  </r>
  <r>
    <s v="JOrdinolaZ@agricolachira.com.pe"/>
    <x v="2"/>
    <n v="4"/>
    <s v="Operaciones"/>
    <x v="19"/>
  </r>
  <r>
    <s v="cfreym@agricolachira.com.pe"/>
    <x v="2"/>
    <n v="5"/>
    <s v="Operaciones"/>
    <x v="30"/>
  </r>
  <r>
    <s v="MDiazTa@agricolachira.com.pe"/>
    <x v="2"/>
    <n v="4"/>
    <s v="Administración y Finanzas"/>
    <x v="6"/>
  </r>
  <r>
    <s v="JHidalgoS@agricolachira.com.pe"/>
    <x v="2"/>
    <n v="5"/>
    <s v="Administración y Finanzas"/>
    <x v="14"/>
  </r>
  <r>
    <s v="AGutierrezR@agricolachira.com.pe"/>
    <x v="2"/>
    <n v="5"/>
    <s v="Operaciones"/>
    <x v="30"/>
  </r>
  <r>
    <s v="GTavaraS@agricolachira.com.pe"/>
    <x v="2"/>
    <n v="5"/>
    <s v="Operaciones"/>
    <x v="11"/>
  </r>
  <r>
    <s v="HCruzA@agricolachira.com.pe"/>
    <x v="2"/>
    <n v="4"/>
    <s v="Operaciones"/>
    <x v="11"/>
  </r>
  <r>
    <s v="LRodriguezC@agricolachira.com.pe"/>
    <x v="2"/>
    <n v="5"/>
    <s v="Gestión Humana y Sostenibilidad"/>
    <x v="31"/>
  </r>
  <r>
    <s v="VVeraN@agricolachira.com.pe"/>
    <x v="2"/>
    <n v="4"/>
    <s v="Agrícola"/>
    <x v="23"/>
  </r>
  <r>
    <s v="JAquijeD@agricolachira.com.pe"/>
    <x v="2"/>
    <n v="4"/>
    <s v="Agrícola"/>
    <x v="22"/>
  </r>
  <r>
    <s v="PHernandezH@agricolachira.com.pe"/>
    <x v="2"/>
    <n v="5"/>
    <s v="Agrícola"/>
    <x v="25"/>
  </r>
  <r>
    <s v="YMoscolC@agricolachira.com.pe"/>
    <x v="2"/>
    <n v="5"/>
    <s v="Operaciones"/>
    <x v="30"/>
  </r>
  <r>
    <s v="GPenaP@agricolachira.com.pe"/>
    <x v="2"/>
    <n v="5"/>
    <s v="Agrícola"/>
    <x v="25"/>
  </r>
  <r>
    <s v="HMatiasZ@agricolachira.com.pe"/>
    <x v="2"/>
    <n v="5"/>
    <s v="Agrícola"/>
    <x v="32"/>
  </r>
  <r>
    <s v="NHansenG@agricolachira.com.pe"/>
    <x v="2"/>
    <n v="4"/>
    <s v="Agrícola"/>
    <x v="1"/>
  </r>
  <r>
    <s v="JMazaV@agricolachira.com.pe"/>
    <x v="2"/>
    <s v="X"/>
    <s v="Industrial y de Mantenimiento"/>
    <x v="33"/>
  </r>
  <r>
    <s v="DGameroS@agricolachira.com.pe"/>
    <x v="2"/>
    <s v="X"/>
    <s v="Industrial y de Mantenimiento"/>
    <x v="9"/>
  </r>
  <r>
    <s v="HBorjaT@agricolachira.com.pe"/>
    <x v="2"/>
    <s v="X"/>
    <s v="Industrial y de Mantenimiento"/>
    <x v="13"/>
  </r>
  <r>
    <s v="LPadillaSa@agricolachira.com.pe"/>
    <x v="2"/>
    <s v="X"/>
    <s v="Industrial y de Mantenimiento"/>
    <x v="9"/>
  </r>
  <r>
    <s v="LVillarF@agricolachira.com.pe"/>
    <x v="2"/>
    <n v="4"/>
    <s v="Industrial y de Mantenimiento"/>
    <x v="18"/>
  </r>
  <r>
    <s v="JMendozaG@agricolachira.com.pe"/>
    <x v="2"/>
    <n v="5"/>
    <s v="Gestión Humana y Sostenibilidad"/>
    <x v="0"/>
  </r>
  <r>
    <s v="AGuldenG@agricolachira.com.pe"/>
    <x v="2"/>
    <n v="5"/>
    <s v="Agrícola"/>
    <x v="25"/>
  </r>
  <r>
    <s v="jjimenezc@agricolachira.com.pe"/>
    <x v="2"/>
    <n v="5"/>
    <s v="Gestión Humana y Sostenibilidad"/>
    <x v="29"/>
  </r>
  <r>
    <s v="RVelazcoG@agricolachira.com.pe"/>
    <x v="2"/>
    <n v="5"/>
    <s v="Agrícola"/>
    <x v="1"/>
  </r>
  <r>
    <s v="PMarroquinR@agricolachira.com.pe"/>
    <x v="2"/>
    <n v="4"/>
    <s v="Agrícola"/>
    <x v="34"/>
  </r>
  <r>
    <s v="PArcelaC@agricolachira.com.pe"/>
    <x v="2"/>
    <n v="3"/>
    <s v="Operaciones"/>
    <x v="17"/>
  </r>
  <r>
    <s v="ABlancoE@agricolachira.com.pe"/>
    <x v="2"/>
    <n v="4"/>
    <s v="Operaciones"/>
    <x v="27"/>
  </r>
  <r>
    <s v="EAmesM@agricolachira.com.pe"/>
    <x v="2"/>
    <n v="4"/>
    <s v="Gestión Humana y Sostenibilidad"/>
    <x v="35"/>
  </r>
  <r>
    <s v="JSeminarioA@agricolachira.com.pe"/>
    <x v="2"/>
    <n v="3"/>
    <s v="Industrial y de Mantenimiento"/>
    <x v="9"/>
  </r>
  <r>
    <s v="JPichilinguP@agricolachira.com.pe"/>
    <x v="2"/>
    <n v="3"/>
    <s v="Operaciones"/>
    <x v="30"/>
  </r>
  <r>
    <s v="FRodriguezV@agricolachira.com.pe"/>
    <x v="2"/>
    <n v="5"/>
    <s v="Gestión Humana y Sostenibilidad"/>
    <x v="36"/>
  </r>
  <r>
    <s v="JHuamanRo@agricolachira.com.pe"/>
    <x v="2"/>
    <n v="4"/>
    <s v="Operaciones"/>
    <x v="17"/>
  </r>
  <r>
    <s v="YHermenegilA@agricolachira.com.pe"/>
    <x v="2"/>
    <n v="4"/>
    <s v="Gestión Humana y Sostenibilidad"/>
    <x v="35"/>
  </r>
  <r>
    <s v="CLupucheV@agricolachira.com.pe"/>
    <x v="2"/>
    <n v="5"/>
    <s v="Agrícola"/>
    <x v="25"/>
  </r>
  <r>
    <s v="MVegaY@agricolachira.com.pe"/>
    <x v="2"/>
    <n v="4"/>
    <s v="Operaciones"/>
    <x v="19"/>
  </r>
  <r>
    <s v="digitadorlb2@agricolachira.com.pe"/>
    <x v="2"/>
    <n v="5"/>
    <s v="Agrícola"/>
    <x v="25"/>
  </r>
  <r>
    <s v="digitadorlb1@agricolachira.com.pe"/>
    <x v="2"/>
    <n v="5"/>
    <s v="Agrícola"/>
    <x v="25"/>
  </r>
  <r>
    <s v="YMogollonG@agricolachira.com.pe"/>
    <x v="2"/>
    <n v="5"/>
    <s v="Operaciones"/>
    <x v="17"/>
  </r>
  <r>
    <s v="RMarceloY@agricolachira.com.pe"/>
    <x v="2"/>
    <n v="5"/>
    <s v="Operaciones"/>
    <x v="37"/>
  </r>
  <r>
    <s v="ALachiraP@agricolachira.com.pe"/>
    <x v="2"/>
    <n v="4"/>
    <s v="Operaciones"/>
    <x v="11"/>
  </r>
  <r>
    <s v="AColomaL@agricolachira.com.pe"/>
    <x v="2"/>
    <n v="4"/>
    <s v="Gestión Humana y Sostenibilidad"/>
    <x v="38"/>
  </r>
  <r>
    <s v="ovasquezp@agricolachira.com.pe"/>
    <x v="2"/>
    <n v="4"/>
    <s v="Agrícola"/>
    <x v="24"/>
  </r>
  <r>
    <s v="ptrigoso@agricolachira.com.pe"/>
    <x v="2"/>
    <n v="3"/>
    <s v="Operaciones"/>
    <x v="39"/>
  </r>
  <r>
    <s v="LOcanaP@agricolachira.com.pe"/>
    <x v="2"/>
    <n v="4"/>
    <s v="Administración y Finanzas"/>
    <x v="2"/>
  </r>
  <r>
    <s v="RLupucheQ@agricolachira.com.pe"/>
    <x v="2"/>
    <s v="X"/>
    <s v="Agrícola"/>
    <x v="23"/>
  </r>
  <r>
    <s v="seguridadhuaca_lobo@agricolachira.com.pe"/>
    <x v="2"/>
    <n v="4"/>
    <s v="Gestión Humana y Sostenibilidad"/>
    <x v="0"/>
  </r>
  <r>
    <s v="CVivancoM@agricolachira.com.pe"/>
    <x v="2"/>
    <n v="4"/>
    <s v="Administración y Finanzas"/>
    <x v="40"/>
  </r>
  <r>
    <s v="PSuncionZ@agricolachira.com.pe"/>
    <x v="2"/>
    <s v="X"/>
    <s v="Gestión Humana y Sostenibilidad"/>
    <x v="38"/>
  </r>
  <r>
    <s v="JArevaloga@agricolachira.com.pe"/>
    <x v="3"/>
    <n v="5"/>
    <s v="Gestión Humana y Sostenibilidad"/>
    <x v="0"/>
  </r>
  <r>
    <s v="FValladaresC@agricolachira.com.pe"/>
    <x v="3"/>
    <n v="4"/>
    <s v="Agrícola"/>
    <x v="1"/>
  </r>
  <r>
    <s v="ABurneoL@agricolachira.com.pe"/>
    <x v="3"/>
    <n v="5"/>
    <s v="Administración y Finanzas"/>
    <x v="2"/>
  </r>
  <r>
    <s v="DZuritaF@agricolachira.com.pe"/>
    <x v="3"/>
    <s v="X"/>
    <s v="Administración y Finanzas"/>
    <x v="3"/>
  </r>
  <r>
    <s v="MMartinezP@agricolachira.com.pe"/>
    <x v="3"/>
    <n v="5"/>
    <s v="Administración y Finanzas"/>
    <x v="4"/>
  </r>
  <r>
    <s v="creyesy@agricolachira.com.pe"/>
    <x v="3"/>
    <n v="4"/>
    <s v="Industrial y de Mantenimiento"/>
    <x v="5"/>
  </r>
  <r>
    <s v="KOtinianoP@agricolachira.com.pe"/>
    <x v="3"/>
    <n v="4"/>
    <s v="Administración y Finanzas"/>
    <x v="3"/>
  </r>
  <r>
    <s v="LOlayaLe@agricolachira.com.pe"/>
    <x v="3"/>
    <n v="4"/>
    <s v="Administración y Finanzas"/>
    <x v="6"/>
  </r>
  <r>
    <s v="CRamosG@agricolachira.com.pe"/>
    <x v="3"/>
    <n v="4"/>
    <s v="Gestión Humana y Sostenibilidad"/>
    <x v="7"/>
  </r>
  <r>
    <s v="BGonzalesM@agricolachira.com.pe"/>
    <x v="3"/>
    <n v="4"/>
    <s v="Operaciones"/>
    <x v="8"/>
  </r>
  <r>
    <s v="AFloresD@agricolachira.com.pe"/>
    <x v="3"/>
    <n v="4"/>
    <s v="Industrial y de Mantenimiento"/>
    <x v="9"/>
  </r>
  <r>
    <s v="rmerach@agricolachira.com.pe"/>
    <x v="3"/>
    <n v="3"/>
    <s v="Industrial y de Mantenimiento"/>
    <x v="10"/>
  </r>
  <r>
    <s v="YGarridoS@agricolachira.com.pe"/>
    <x v="3"/>
    <n v="3"/>
    <s v="Operaciones"/>
    <x v="11"/>
  </r>
  <r>
    <s v="WChavezS@agricolachira.com.pe"/>
    <x v="3"/>
    <n v="2"/>
    <s v="Agrícola"/>
    <x v="12"/>
  </r>
  <r>
    <s v="CCarrilloR@agricolachira.com.pe"/>
    <x v="3"/>
    <n v="3"/>
    <s v="Industrial y de Mantenimiento"/>
    <x v="13"/>
  </r>
  <r>
    <s v="VHilaresZ@agricolachira.com.pe"/>
    <x v="3"/>
    <n v="3"/>
    <s v="Agrícola"/>
    <x v="12"/>
  </r>
  <r>
    <s v="JGomezAp@agricolachira.com.pe"/>
    <x v="3"/>
    <n v="5"/>
    <s v="Administración y Finanzas"/>
    <x v="14"/>
  </r>
  <r>
    <s v="RMoncadaP@agricolachira.com.pe"/>
    <x v="3"/>
    <n v="5"/>
    <s v="Administración y Finanzas"/>
    <x v="2"/>
  </r>
  <r>
    <s v="HMocarroC@agricolachira.com.pe"/>
    <x v="3"/>
    <n v="4"/>
    <s v="Administración y Finanzas"/>
    <x v="15"/>
  </r>
  <r>
    <s v="EMijahuancaG@agricolachira.com.pe"/>
    <x v="3"/>
    <n v="4"/>
    <s v="Operaciones"/>
    <x v="16"/>
  </r>
  <r>
    <s v="ASeminarioV@agricolachira.com.pe"/>
    <x v="3"/>
    <n v="4"/>
    <s v="Agrícola"/>
    <x v="1"/>
  </r>
  <r>
    <s v="LGarciaC@agricolachira.com.pe"/>
    <x v="3"/>
    <n v="4"/>
    <s v="Operaciones"/>
    <x v="17"/>
  </r>
  <r>
    <s v="JChumaceroC@sucroalcoleradelchira.com.pe"/>
    <x v="3"/>
    <s v="X"/>
    <s v="Industrial y de Mantenimiento"/>
    <x v="18"/>
  </r>
  <r>
    <s v="LRuizMu@agricolachira.com.pe"/>
    <x v="3"/>
    <n v="4"/>
    <s v="Operaciones"/>
    <x v="19"/>
  </r>
  <r>
    <s v="EArevaloJ@agricolachira.com.pe"/>
    <x v="3"/>
    <n v="5"/>
    <s v="Administración y Finanzas"/>
    <x v="20"/>
  </r>
  <r>
    <s v="MCulqueC@agricolachira.com.pe"/>
    <x v="3"/>
    <n v="5"/>
    <s v="Agrícola"/>
    <x v="12"/>
  </r>
  <r>
    <s v="RTorresS@agricolachira.com.pe"/>
    <x v="3"/>
    <n v="4"/>
    <s v="Agrícola"/>
    <x v="1"/>
  </r>
  <r>
    <s v="jvasquezc@agricolachira.com.pe"/>
    <x v="3"/>
    <n v="5"/>
    <s v="Administración y Finanzas"/>
    <x v="14"/>
  </r>
  <r>
    <s v="WFacundoF@agricolachira.com.pe"/>
    <x v="3"/>
    <n v="3"/>
    <s v="Industrial y de Mantenimiento"/>
    <x v="9"/>
  </r>
  <r>
    <s v="JEstelaF@agricolachira.com.pe"/>
    <x v="3"/>
    <n v="5"/>
    <s v="Operaciones"/>
    <x v="19"/>
  </r>
  <r>
    <s v="JCobenasS@agricolachira.com.pe"/>
    <x v="3"/>
    <n v="4"/>
    <s v="Operaciones"/>
    <x v="19"/>
  </r>
  <r>
    <s v="VCruzC@agricolachira.com.pe"/>
    <x v="3"/>
    <n v="5"/>
    <s v="Gestión Humana y Sostenibilidad"/>
    <x v="21"/>
  </r>
  <r>
    <s v="WCarrascoA@agricolachira.com.pe"/>
    <x v="3"/>
    <n v="5"/>
    <s v="Administración y Finanzas"/>
    <x v="14"/>
  </r>
  <r>
    <s v="JRojasBarr@agricolachira.com.pe"/>
    <x v="3"/>
    <n v="4"/>
    <s v="Agrícola"/>
    <x v="22"/>
  </r>
  <r>
    <s v="GCubasA@agricolachira.com.pe"/>
    <x v="3"/>
    <n v="4"/>
    <s v="Agrícola"/>
    <x v="1"/>
  </r>
  <r>
    <s v="jbacilioh@agricolachira.com.pe"/>
    <x v="3"/>
    <n v="4"/>
    <s v="Agrícola"/>
    <x v="23"/>
  </r>
  <r>
    <s v="RInfanteB@agricolachira.com.pe"/>
    <x v="3"/>
    <s v="X"/>
    <s v="Agrícola"/>
    <x v="22"/>
  </r>
  <r>
    <s v="ereyesp@agricolachira.com.pe"/>
    <x v="3"/>
    <s v="X"/>
    <s v="Agrícola"/>
    <x v="24"/>
  </r>
  <r>
    <s v="JGarcesV@agricolachira.com.pe"/>
    <x v="3"/>
    <n v="3"/>
    <s v="Gestión Humana y Sostenibilidad"/>
    <x v="0"/>
  </r>
  <r>
    <s v="RSacramentoL@agricolachira.com.pe"/>
    <x v="3"/>
    <n v="5"/>
    <s v="Agrícola"/>
    <x v="25"/>
  </r>
  <r>
    <s v="JMioA@agricolachira.com.pe"/>
    <x v="3"/>
    <n v="4"/>
    <s v="Agrícola"/>
    <x v="1"/>
  </r>
  <r>
    <s v="DAlbercaS@agricolachira.com.pe"/>
    <x v="3"/>
    <n v="4"/>
    <s v="Operaciones"/>
    <x v="19"/>
  </r>
  <r>
    <s v="JMogollonC@agricolachira.com.pe"/>
    <x v="3"/>
    <n v="4"/>
    <s v="Operaciones"/>
    <x v="8"/>
  </r>
  <r>
    <s v="adelchiradigitadorsv@agricolachira.com.pe"/>
    <x v="3"/>
    <n v="5"/>
    <s v="Agrícola"/>
    <x v="12"/>
  </r>
  <r>
    <s v="JBayonaG@agricolachira.com.pe"/>
    <x v="3"/>
    <n v="4"/>
    <s v="Administración y Finanzas"/>
    <x v="26"/>
  </r>
  <r>
    <s v="JIngaF@agricolachira.com.pe"/>
    <x v="3"/>
    <n v="5"/>
    <s v="Administración y Finanzas"/>
    <x v="14"/>
  </r>
  <r>
    <s v="NPizarroC@agricolachira.com.pe"/>
    <x v="3"/>
    <n v="5"/>
    <s v="Operaciones"/>
    <x v="27"/>
  </r>
  <r>
    <s v="MDilibertoS@agricolachira.com.pe"/>
    <x v="3"/>
    <n v="4"/>
    <s v="Agrícola"/>
    <x v="28"/>
  </r>
  <r>
    <s v="lsipiona@agricolachira.com.pe"/>
    <x v="3"/>
    <n v="5"/>
    <s v="Gestión Humana y Sostenibilidad"/>
    <x v="29"/>
  </r>
  <r>
    <s v="JOrdinolaZ@agricolachira.com.pe"/>
    <x v="3"/>
    <n v="4"/>
    <s v="Operaciones"/>
    <x v="19"/>
  </r>
  <r>
    <s v="cfreym@agricolachira.com.pe"/>
    <x v="3"/>
    <n v="5"/>
    <s v="Operaciones"/>
    <x v="30"/>
  </r>
  <r>
    <s v="MDiazTa@agricolachira.com.pe"/>
    <x v="3"/>
    <n v="5"/>
    <s v="Administración y Finanzas"/>
    <x v="6"/>
  </r>
  <r>
    <s v="JHidalgoS@agricolachira.com.pe"/>
    <x v="3"/>
    <n v="5"/>
    <s v="Administración y Finanzas"/>
    <x v="14"/>
  </r>
  <r>
    <s v="AGutierrezR@agricolachira.com.pe"/>
    <x v="3"/>
    <n v="4"/>
    <s v="Operaciones"/>
    <x v="30"/>
  </r>
  <r>
    <s v="GTavaraS@agricolachira.com.pe"/>
    <x v="3"/>
    <n v="5"/>
    <s v="Operaciones"/>
    <x v="11"/>
  </r>
  <r>
    <s v="HCruzA@agricolachira.com.pe"/>
    <x v="3"/>
    <n v="4"/>
    <s v="Operaciones"/>
    <x v="11"/>
  </r>
  <r>
    <s v="LRodriguezC@agricolachira.com.pe"/>
    <x v="3"/>
    <n v="5"/>
    <s v="Gestión Humana y Sostenibilidad"/>
    <x v="31"/>
  </r>
  <r>
    <s v="VVeraN@agricolachira.com.pe"/>
    <x v="3"/>
    <n v="4"/>
    <s v="Agrícola"/>
    <x v="23"/>
  </r>
  <r>
    <s v="JAquijeD@agricolachira.com.pe"/>
    <x v="3"/>
    <n v="4"/>
    <s v="Agrícola"/>
    <x v="22"/>
  </r>
  <r>
    <s v="PHernandezH@agricolachira.com.pe"/>
    <x v="3"/>
    <n v="5"/>
    <s v="Agrícola"/>
    <x v="25"/>
  </r>
  <r>
    <s v="YMoscolC@agricolachira.com.pe"/>
    <x v="3"/>
    <n v="5"/>
    <s v="Operaciones"/>
    <x v="30"/>
  </r>
  <r>
    <s v="GPenaP@agricolachira.com.pe"/>
    <x v="3"/>
    <n v="5"/>
    <s v="Agrícola"/>
    <x v="25"/>
  </r>
  <r>
    <s v="HMatiasZ@agricolachira.com.pe"/>
    <x v="3"/>
    <n v="5"/>
    <s v="Agrícola"/>
    <x v="32"/>
  </r>
  <r>
    <s v="NHansenG@agricolachira.com.pe"/>
    <x v="3"/>
    <n v="4"/>
    <s v="Agrícola"/>
    <x v="1"/>
  </r>
  <r>
    <s v="JMazaV@agricolachira.com.pe"/>
    <x v="3"/>
    <n v="4"/>
    <s v="Industrial y de Mantenimiento"/>
    <x v="33"/>
  </r>
  <r>
    <s v="DGameroS@agricolachira.com.pe"/>
    <x v="3"/>
    <s v="X"/>
    <s v="Industrial y de Mantenimiento"/>
    <x v="9"/>
  </r>
  <r>
    <s v="HBorjaT@agricolachira.com.pe"/>
    <x v="3"/>
    <s v="X"/>
    <s v="Industrial y de Mantenimiento"/>
    <x v="13"/>
  </r>
  <r>
    <s v="LPadillaSa@agricolachira.com.pe"/>
    <x v="3"/>
    <s v="X"/>
    <s v="Industrial y de Mantenimiento"/>
    <x v="9"/>
  </r>
  <r>
    <s v="LVillarF@agricolachira.com.pe"/>
    <x v="3"/>
    <n v="4"/>
    <s v="Industrial y de Mantenimiento"/>
    <x v="18"/>
  </r>
  <r>
    <s v="JMendozaG@agricolachira.com.pe"/>
    <x v="3"/>
    <n v="5"/>
    <s v="Gestión Humana y Sostenibilidad"/>
    <x v="0"/>
  </r>
  <r>
    <s v="AGuldenG@agricolachira.com.pe"/>
    <x v="3"/>
    <n v="5"/>
    <s v="Agrícola"/>
    <x v="25"/>
  </r>
  <r>
    <s v="jjimenezc@agricolachira.com.pe"/>
    <x v="3"/>
    <n v="5"/>
    <s v="Gestión Humana y Sostenibilidad"/>
    <x v="29"/>
  </r>
  <r>
    <s v="RVelazcoG@agricolachira.com.pe"/>
    <x v="3"/>
    <s v="X"/>
    <s v="Agrícola"/>
    <x v="1"/>
  </r>
  <r>
    <s v="PMarroquinR@agricolachira.com.pe"/>
    <x v="3"/>
    <n v="4"/>
    <s v="Agrícola"/>
    <x v="34"/>
  </r>
  <r>
    <s v="PArcelaC@agricolachira.com.pe"/>
    <x v="3"/>
    <n v="3"/>
    <s v="Operaciones"/>
    <x v="17"/>
  </r>
  <r>
    <s v="ABlancoE@agricolachira.com.pe"/>
    <x v="3"/>
    <n v="4"/>
    <s v="Operaciones"/>
    <x v="27"/>
  </r>
  <r>
    <s v="EAmesM@agricolachira.com.pe"/>
    <x v="3"/>
    <n v="4"/>
    <s v="Gestión Humana y Sostenibilidad"/>
    <x v="35"/>
  </r>
  <r>
    <s v="JSeminarioA@agricolachira.com.pe"/>
    <x v="3"/>
    <n v="2"/>
    <s v="Industrial y de Mantenimiento"/>
    <x v="9"/>
  </r>
  <r>
    <s v="JPichilinguP@agricolachira.com.pe"/>
    <x v="3"/>
    <n v="4"/>
    <s v="Operaciones"/>
    <x v="30"/>
  </r>
  <r>
    <s v="FRodriguezV@agricolachira.com.pe"/>
    <x v="3"/>
    <n v="5"/>
    <s v="Gestión Humana y Sostenibilidad"/>
    <x v="36"/>
  </r>
  <r>
    <s v="JHuamanRo@agricolachira.com.pe"/>
    <x v="3"/>
    <n v="3"/>
    <s v="Operaciones"/>
    <x v="17"/>
  </r>
  <r>
    <s v="YHermenegilA@agricolachira.com.pe"/>
    <x v="3"/>
    <n v="5"/>
    <s v="Gestión Humana y Sostenibilidad"/>
    <x v="35"/>
  </r>
  <r>
    <s v="CLupucheV@agricolachira.com.pe"/>
    <x v="3"/>
    <n v="5"/>
    <s v="Agrícola"/>
    <x v="25"/>
  </r>
  <r>
    <s v="MVegaY@agricolachira.com.pe"/>
    <x v="3"/>
    <n v="4"/>
    <s v="Operaciones"/>
    <x v="19"/>
  </r>
  <r>
    <s v="digitadorlb2@agricolachira.com.pe"/>
    <x v="3"/>
    <n v="5"/>
    <s v="Agrícola"/>
    <x v="25"/>
  </r>
  <r>
    <s v="digitadorlb1@agricolachira.com.pe"/>
    <x v="3"/>
    <n v="5"/>
    <s v="Agrícola"/>
    <x v="25"/>
  </r>
  <r>
    <s v="YMogollonG@agricolachira.com.pe"/>
    <x v="3"/>
    <n v="5"/>
    <s v="Operaciones"/>
    <x v="17"/>
  </r>
  <r>
    <s v="RMarceloY@agricolachira.com.pe"/>
    <x v="3"/>
    <n v="5"/>
    <s v="Operaciones"/>
    <x v="37"/>
  </r>
  <r>
    <s v="ALachiraP@agricolachira.com.pe"/>
    <x v="3"/>
    <n v="5"/>
    <s v="Operaciones"/>
    <x v="11"/>
  </r>
  <r>
    <s v="AColomaL@agricolachira.com.pe"/>
    <x v="3"/>
    <n v="4"/>
    <s v="Gestión Humana y Sostenibilidad"/>
    <x v="38"/>
  </r>
  <r>
    <s v="ovasquezp@agricolachira.com.pe"/>
    <x v="3"/>
    <n v="4"/>
    <s v="Agrícola"/>
    <x v="24"/>
  </r>
  <r>
    <s v="ptrigoso@agricolachira.com.pe"/>
    <x v="3"/>
    <n v="4"/>
    <s v="Operaciones"/>
    <x v="39"/>
  </r>
  <r>
    <s v="LOcanaP@agricolachira.com.pe"/>
    <x v="3"/>
    <n v="5"/>
    <s v="Administración y Finanzas"/>
    <x v="2"/>
  </r>
  <r>
    <s v="RLupucheQ@agricolachira.com.pe"/>
    <x v="3"/>
    <n v="4"/>
    <s v="Agrícola"/>
    <x v="23"/>
  </r>
  <r>
    <s v="seguridadhuaca_lobo@agricolachira.com.pe"/>
    <x v="3"/>
    <n v="3"/>
    <s v="Gestión Humana y Sostenibilidad"/>
    <x v="0"/>
  </r>
  <r>
    <s v="CVivancoM@agricolachira.com.pe"/>
    <x v="3"/>
    <n v="4"/>
    <s v="Administración y Finanzas"/>
    <x v="40"/>
  </r>
  <r>
    <s v="PSuncionZ@agricolachira.com.pe"/>
    <x v="3"/>
    <s v="X"/>
    <s v="Gestión Humana y Sostenibilidad"/>
    <x v="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1D838B-DB7B-47D0-8054-48555AB11976}" name="TablaDinámica11" cacheId="31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I12:J36" firstHeaderRow="1" firstDataRow="1" firstDataCol="1" rowPageCount="1" colPageCount="1"/>
  <pivotFields count="6">
    <pivotField showAll="0"/>
    <pivotField axis="axisRow" showAll="0">
      <items count="5">
        <item x="3"/>
        <item x="0"/>
        <item x="1"/>
        <item x="2"/>
        <item t="default"/>
      </items>
    </pivotField>
    <pivotField axis="axisRow" dataField="1" showAll="0">
      <items count="7">
        <item x="4"/>
        <item x="3"/>
        <item x="1"/>
        <item x="0"/>
        <item x="2"/>
        <item x="5"/>
        <item t="default"/>
      </items>
    </pivotField>
    <pivotField showAll="0">
      <items count="6">
        <item x="2"/>
        <item x="1"/>
        <item x="0"/>
        <item x="3"/>
        <item x="4"/>
        <item t="default"/>
      </items>
    </pivotField>
    <pivotField axis="axisPage" multipleItemSelectionAllowed="1" showAll="0">
      <items count="42">
        <item x="37"/>
        <item x="11"/>
        <item x="33"/>
        <item x="35"/>
        <item x="20"/>
        <item x="19"/>
        <item x="30"/>
        <item x="27"/>
        <item x="38"/>
        <item x="26"/>
        <item x="31"/>
        <item x="4"/>
        <item x="2"/>
        <item x="17"/>
        <item x="13"/>
        <item x="6"/>
        <item x="32"/>
        <item x="25"/>
        <item x="22"/>
        <item x="12"/>
        <item h="1" x="40"/>
        <item x="28"/>
        <item x="39"/>
        <item x="10"/>
        <item x="7"/>
        <item x="21"/>
        <item x="23"/>
        <item x="3"/>
        <item x="16"/>
        <item x="1"/>
        <item x="5"/>
        <item x="18"/>
        <item x="24"/>
        <item x="9"/>
        <item x="36"/>
        <item x="15"/>
        <item x="0"/>
        <item x="34"/>
        <item x="14"/>
        <item x="29"/>
        <item x="8"/>
        <item t="default"/>
      </items>
    </pivotField>
    <pivotField multipleItemSelectionAllowed="1" showAll="0">
      <items count="6">
        <item x="2"/>
        <item h="1" x="1"/>
        <item h="1" x="0"/>
        <item h="1" x="3"/>
        <item h="1" x="4"/>
        <item t="default"/>
      </items>
    </pivotField>
  </pivotFields>
  <rowFields count="2">
    <field x="1"/>
    <field x="2"/>
  </rowFields>
  <rowItems count="24">
    <i>
      <x/>
    </i>
    <i r="1">
      <x v="1"/>
    </i>
    <i r="1">
      <x v="2"/>
    </i>
    <i r="1">
      <x v="3"/>
    </i>
    <i r="1">
      <x v="4"/>
    </i>
    <i r="1">
      <x v="5"/>
    </i>
    <i>
      <x v="1"/>
    </i>
    <i r="1">
      <x/>
    </i>
    <i r="1">
      <x v="1"/>
    </i>
    <i r="1">
      <x v="2"/>
    </i>
    <i r="1">
      <x v="3"/>
    </i>
    <i r="1">
      <x v="4"/>
    </i>
    <i r="1">
      <x v="5"/>
    </i>
    <i>
      <x v="2"/>
    </i>
    <i r="1">
      <x v="2"/>
    </i>
    <i r="1">
      <x v="3"/>
    </i>
    <i r="1">
      <x v="4"/>
    </i>
    <i r="1">
      <x v="5"/>
    </i>
    <i>
      <x v="3"/>
    </i>
    <i r="1">
      <x v="2"/>
    </i>
    <i r="1">
      <x v="3"/>
    </i>
    <i r="1">
      <x v="4"/>
    </i>
    <i r="1">
      <x v="5"/>
    </i>
    <i t="grand">
      <x/>
    </i>
  </rowItems>
  <colItems count="1">
    <i/>
  </colItems>
  <pageFields count="1">
    <pageField fld="4" hier="-1"/>
  </pageFields>
  <dataFields count="1">
    <dataField name="Cuenta de Nro"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55E05F6-ED0F-4D2A-8FBE-A45193CF4397}" name="PivotTablaAutoevaluacion" cacheId="325" applyNumberFormats="0" applyBorderFormats="0" applyFontFormats="0" applyPatternFormats="0" applyAlignmentFormats="0" applyWidthHeightFormats="1" dataCaption="Valores" updatedVersion="8" minRefreshableVersion="3" showCalcMbrs="0" useAutoFormatting="1" itemPrintTitles="1" createdVersion="3" indent="0" outline="1" outlineData="1" multipleFieldFilters="0" chartFormat="1">
  <location ref="L36:M41" firstHeaderRow="1" firstDataRow="1" firstDataCol="1" rowPageCount="1" colPageCount="1"/>
  <pivotFields count="5">
    <pivotField showAll="0"/>
    <pivotField axis="axisRow" showAll="0">
      <items count="5">
        <item x="3"/>
        <item x="0"/>
        <item x="1"/>
        <item x="2"/>
        <item t="default"/>
      </items>
    </pivotField>
    <pivotField dataField="1" showAll="0" sortType="descending">
      <autoSortScope>
        <pivotArea dataOnly="0" outline="0" fieldPosition="0">
          <references count="1">
            <reference field="4294967294" count="1" selected="0">
              <x v="0"/>
            </reference>
          </references>
        </pivotArea>
      </autoSortScope>
    </pivotField>
    <pivotField showAll="0"/>
    <pivotField axis="axisPage" showAll="0">
      <items count="42">
        <item x="37"/>
        <item x="11"/>
        <item x="33"/>
        <item x="35"/>
        <item x="20"/>
        <item x="19"/>
        <item x="30"/>
        <item x="27"/>
        <item x="38"/>
        <item x="26"/>
        <item x="31"/>
        <item x="4"/>
        <item x="2"/>
        <item x="17"/>
        <item x="13"/>
        <item x="6"/>
        <item x="32"/>
        <item x="25"/>
        <item x="22"/>
        <item x="12"/>
        <item x="40"/>
        <item x="28"/>
        <item x="39"/>
        <item x="10"/>
        <item x="7"/>
        <item x="21"/>
        <item x="23"/>
        <item x="3"/>
        <item x="16"/>
        <item x="1"/>
        <item x="5"/>
        <item x="18"/>
        <item x="24"/>
        <item x="9"/>
        <item x="36"/>
        <item x="15"/>
        <item x="0"/>
        <item x="34"/>
        <item x="14"/>
        <item x="29"/>
        <item x="8"/>
        <item t="default"/>
      </items>
    </pivotField>
  </pivotFields>
  <rowFields count="1">
    <field x="1"/>
  </rowFields>
  <rowItems count="5">
    <i>
      <x/>
    </i>
    <i>
      <x v="1"/>
    </i>
    <i>
      <x v="2"/>
    </i>
    <i>
      <x v="3"/>
    </i>
    <i t="grand">
      <x/>
    </i>
  </rowItems>
  <colItems count="1">
    <i/>
  </colItems>
  <pageFields count="1">
    <pageField fld="4" item="20" hier="-1"/>
  </pageFields>
  <dataFields count="1">
    <dataField name="Promedio de Nro" fld="2" subtotal="average" baseField="0" baseItem="0" numFmtId="165"/>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5B5C06-50E1-4576-A72A-7B1AD9AE8ABB}" name="Tabla1" displayName="Tabla1" ref="A1:D201" totalsRowShown="0">
  <autoFilter ref="A1:D201" xr:uid="{F25B5C06-50E1-4576-A72A-7B1AD9AE8ABB}"/>
  <tableColumns count="4">
    <tableColumn id="1" xr3:uid="{720A747C-1F62-47CF-AC11-FB84A3DF224C}" name="Nombre"/>
    <tableColumn id="2" xr3:uid="{FA908287-2396-46B2-AC2C-DC2E40A2231B}" name="Correo"/>
    <tableColumn id="3" xr3:uid="{FFFBF048-D6A4-49EE-A410-F6BA532F0937}" name="Gerencia"/>
    <tableColumn id="4" xr3:uid="{43AFBEEB-41F4-4561-9798-278860926087}" name="Áre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16D553-420D-403B-A6B5-F2DB54AC4819}" name="TBL_ResulEncuestas" displayName="TBL_ResulEncuestas" ref="A3:J100" totalsRowShown="0">
  <autoFilter ref="A3:J100" xr:uid="{1F16D553-420D-403B-A6B5-F2DB54AC4819}"/>
  <tableColumns count="10">
    <tableColumn id="1" xr3:uid="{1D7301F7-A5A8-4948-BA3B-3EA1142A13B1}" name="ID"/>
    <tableColumn id="2" xr3:uid="{91336F11-3166-4E52-81E6-966A0C59F755}" name="Hora de inicio" dataDxfId="20"/>
    <tableColumn id="3" xr3:uid="{6D155D1C-A810-4331-B828-22018BEC115A}" name="Hora de finalización" dataDxfId="19"/>
    <tableColumn id="4" xr3:uid="{D19F7BCA-4203-4C4E-B5D9-86EDA05B7357}" name="Correo electrónico"/>
    <tableColumn id="5" xr3:uid="{C57A69BD-6F2D-4041-BA18-0BCD865DFD07}" name="Nombre"/>
    <tableColumn id="6" xr3:uid="{97D67E31-0D4E-4010-84E7-72F8C64C9315}" name="1"/>
    <tableColumn id="7" xr3:uid="{1B203BCC-DBAA-4D29-A4E6-C60D19EAD288}" name="2"/>
    <tableColumn id="8" xr3:uid="{D1C8484B-28D2-4B92-8073-0D75806C93D2}" name="3"/>
    <tableColumn id="9" xr3:uid="{C2F9345E-094A-4ADF-932A-9760D380F408}" name="4"/>
    <tableColumn id="10" xr3:uid="{245F0E20-8601-4716-9054-8F15FF80FFD1}" name="Agradecemos su participación en esta encuesta, si tuviera alguna sugerencia para mejorar el servicio, por favor escríbalo en el siguiente espacio."/>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ACD5B56-E115-4320-92D1-38D60374544B}" name="Resumen2" displayName="Resumen2" ref="A1:F389" totalsRowShown="0">
  <autoFilter ref="A1:F389" xr:uid="{5ACD5B56-E115-4320-92D1-38D60374544B}"/>
  <tableColumns count="6">
    <tableColumn id="1" xr3:uid="{8805207F-AB3E-4506-80E6-0F843F710457}" name="Correo electrónico" dataDxfId="1"/>
    <tableColumn id="2" xr3:uid="{39510DB6-FEF6-4D0B-9E12-3E2D53FC5B9B}" name="Servicios"/>
    <tableColumn id="3" xr3:uid="{1F9FC669-A4A8-46FD-B5B2-F7B8458CBF6C}" name="Nro" dataDxfId="0"/>
    <tableColumn id="4" xr3:uid="{1D0AD414-642B-4CD8-8DC3-94970ADFD327}" name="Gerencia">
      <calculatedColumnFormula>VLOOKUP(A2,DataUsuario!B:D,2,FALSE)</calculatedColumnFormula>
    </tableColumn>
    <tableColumn id="5" xr3:uid="{19068E20-4D63-41EA-A46B-D7F9BDB3AA53}" name="Area">
      <calculatedColumnFormula>VLOOKUP(A2,DataUsuario!B:D,3,FALSE)</calculatedColumnFormula>
    </tableColumn>
    <tableColumn id="6" xr3:uid="{715A91E4-5445-4EB4-B852-A441DE06C8F1}" name="Columna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FD1B74C-E38E-4F77-A58E-0184921283C6}" name="PivoteServicios" displayName="PivoteServicios" ref="A15:B19" totalsRowShown="0">
  <autoFilter ref="A15:B19" xr:uid="{DFD1B74C-E38E-4F77-A58E-0184921283C6}"/>
  <sortState xmlns:xlrd2="http://schemas.microsoft.com/office/spreadsheetml/2017/richdata2" ref="A16:B19">
    <sortCondition descending="1" ref="B15:B19"/>
  </sortState>
  <tableColumns count="2">
    <tableColumn id="1" xr3:uid="{E3113242-5409-4D4A-8D3F-E841D2406CBD}" name="Servicios"/>
    <tableColumn id="2" xr3:uid="{79EC9123-4E4A-41E3-84AC-5E7AA6B9ED8F}" name="Promedio"/>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0E01463-29A4-4C4B-9177-DAD2F0A60A99}" name="PivoteGerencias" displayName="PivoteGerencias" ref="L15:M20" totalsRowShown="0">
  <autoFilter ref="L15:M20" xr:uid="{B0E01463-29A4-4C4B-9177-DAD2F0A60A99}"/>
  <sortState xmlns:xlrd2="http://schemas.microsoft.com/office/spreadsheetml/2017/richdata2" ref="L16:M20">
    <sortCondition descending="1" ref="M15:M20"/>
  </sortState>
  <tableColumns count="2">
    <tableColumn id="1" xr3:uid="{C69D6E9F-7DB5-4986-A843-1063057BC1CF}" name="Gerencias"/>
    <tableColumn id="2" xr3:uid="{D5EEC477-D7E8-481B-B67F-95C7D0A32633}" name="Promedios"/>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mailto:frodriguezv@agricolachira.com.pe" TargetMode="Externa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ivotTable" Target="../pivotTables/pivotTable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B6861-7DE1-4F6E-A401-7CD104F22F7E}">
  <sheetPr codeName="Hoja2"/>
  <dimension ref="A1:D201"/>
  <sheetViews>
    <sheetView topLeftCell="A175" workbookViewId="0">
      <selection activeCell="D202" sqref="D202"/>
    </sheetView>
  </sheetViews>
  <sheetFormatPr baseColWidth="10" defaultRowHeight="14.4" x14ac:dyDescent="0.3"/>
  <cols>
    <col min="1" max="1" width="40.5546875" bestFit="1" customWidth="1"/>
    <col min="2" max="2" width="41.44140625" bestFit="1" customWidth="1"/>
    <col min="3" max="4" width="37.6640625" customWidth="1"/>
  </cols>
  <sheetData>
    <row r="1" spans="1:4" x14ac:dyDescent="0.3">
      <c r="A1" t="s">
        <v>57</v>
      </c>
      <c r="B1" t="s">
        <v>546</v>
      </c>
      <c r="C1" t="s">
        <v>58</v>
      </c>
      <c r="D1" t="s">
        <v>59</v>
      </c>
    </row>
    <row r="2" spans="1:4" x14ac:dyDescent="0.3">
      <c r="A2" s="4" t="s">
        <v>60</v>
      </c>
      <c r="B2" s="3" t="s">
        <v>61</v>
      </c>
      <c r="C2" s="3" t="s">
        <v>62</v>
      </c>
      <c r="D2" s="3" t="s">
        <v>63</v>
      </c>
    </row>
    <row r="3" spans="1:4" x14ac:dyDescent="0.3">
      <c r="A3" s="4" t="s">
        <v>68</v>
      </c>
      <c r="B3" s="4" t="s">
        <v>69</v>
      </c>
      <c r="C3" s="4" t="s">
        <v>70</v>
      </c>
      <c r="D3" s="4" t="s">
        <v>71</v>
      </c>
    </row>
    <row r="4" spans="1:4" x14ac:dyDescent="0.3">
      <c r="A4" s="2" t="s">
        <v>76</v>
      </c>
      <c r="B4" s="4" t="s">
        <v>77</v>
      </c>
      <c r="C4" s="4" t="s">
        <v>70</v>
      </c>
      <c r="D4" s="4" t="s">
        <v>78</v>
      </c>
    </row>
    <row r="5" spans="1:4" x14ac:dyDescent="0.3">
      <c r="A5" s="2" t="s">
        <v>81</v>
      </c>
      <c r="B5" s="4" t="s">
        <v>82</v>
      </c>
      <c r="C5" s="4" t="s">
        <v>74</v>
      </c>
      <c r="D5" s="4" t="s">
        <v>83</v>
      </c>
    </row>
    <row r="6" spans="1:4" x14ac:dyDescent="0.3">
      <c r="A6" s="4" t="s">
        <v>84</v>
      </c>
      <c r="B6" s="4" t="s">
        <v>85</v>
      </c>
      <c r="C6" s="4" t="s">
        <v>70</v>
      </c>
      <c r="D6" s="4" t="s">
        <v>86</v>
      </c>
    </row>
    <row r="7" spans="1:4" x14ac:dyDescent="0.3">
      <c r="A7" s="2" t="s">
        <v>87</v>
      </c>
      <c r="B7" s="4" t="s">
        <v>88</v>
      </c>
      <c r="C7" s="4" t="s">
        <v>89</v>
      </c>
      <c r="D7" s="4" t="s">
        <v>90</v>
      </c>
    </row>
    <row r="8" spans="1:4" x14ac:dyDescent="0.3">
      <c r="A8" s="2" t="s">
        <v>91</v>
      </c>
      <c r="B8" s="4" t="s">
        <v>92</v>
      </c>
      <c r="C8" s="4" t="s">
        <v>66</v>
      </c>
      <c r="D8" s="4" t="s">
        <v>93</v>
      </c>
    </row>
    <row r="9" spans="1:4" x14ac:dyDescent="0.3">
      <c r="A9" s="2" t="s">
        <v>94</v>
      </c>
      <c r="B9" s="4" t="s">
        <v>95</v>
      </c>
      <c r="C9" s="4" t="s">
        <v>66</v>
      </c>
      <c r="D9" s="4" t="s">
        <v>37</v>
      </c>
    </row>
    <row r="10" spans="1:4" x14ac:dyDescent="0.3">
      <c r="A10" s="2" t="s">
        <v>106</v>
      </c>
      <c r="B10" s="3" t="s">
        <v>107</v>
      </c>
      <c r="C10" s="3" t="s">
        <v>70</v>
      </c>
      <c r="D10" s="3" t="s">
        <v>108</v>
      </c>
    </row>
    <row r="11" spans="1:4" x14ac:dyDescent="0.3">
      <c r="A11" s="4" t="s">
        <v>265</v>
      </c>
      <c r="B11" s="4" t="s">
        <v>547</v>
      </c>
      <c r="C11" s="4" t="s">
        <v>70</v>
      </c>
      <c r="D11" s="4" t="s">
        <v>111</v>
      </c>
    </row>
    <row r="12" spans="1:4" x14ac:dyDescent="0.3">
      <c r="A12" s="2" t="s">
        <v>548</v>
      </c>
      <c r="B12" s="4" t="s">
        <v>549</v>
      </c>
      <c r="C12" s="4" t="s">
        <v>74</v>
      </c>
      <c r="D12" s="4" t="s">
        <v>75</v>
      </c>
    </row>
    <row r="13" spans="1:4" x14ac:dyDescent="0.3">
      <c r="A13" s="2" t="s">
        <v>114</v>
      </c>
      <c r="B13" s="4" t="s">
        <v>115</v>
      </c>
      <c r="C13" s="4" t="s">
        <v>74</v>
      </c>
      <c r="D13" s="4" t="s">
        <v>116</v>
      </c>
    </row>
    <row r="14" spans="1:4" x14ac:dyDescent="0.3">
      <c r="A14" s="4" t="s">
        <v>122</v>
      </c>
      <c r="B14" s="3" t="s">
        <v>123</v>
      </c>
      <c r="C14" s="3" t="s">
        <v>66</v>
      </c>
      <c r="D14" s="3" t="s">
        <v>124</v>
      </c>
    </row>
    <row r="15" spans="1:4" x14ac:dyDescent="0.3">
      <c r="A15" s="4" t="s">
        <v>127</v>
      </c>
      <c r="B15" s="4" t="s">
        <v>128</v>
      </c>
      <c r="C15" s="4" t="s">
        <v>89</v>
      </c>
      <c r="D15" s="4" t="s">
        <v>90</v>
      </c>
    </row>
    <row r="16" spans="1:4" x14ac:dyDescent="0.3">
      <c r="A16" s="2" t="s">
        <v>523</v>
      </c>
      <c r="B16" s="4" t="s">
        <v>539</v>
      </c>
      <c r="C16" s="4" t="s">
        <v>89</v>
      </c>
      <c r="D16" s="4" t="s">
        <v>131</v>
      </c>
    </row>
    <row r="17" spans="1:4" x14ac:dyDescent="0.3">
      <c r="A17" s="2" t="s">
        <v>132</v>
      </c>
      <c r="B17" s="3" t="s">
        <v>133</v>
      </c>
      <c r="C17" s="3" t="s">
        <v>74</v>
      </c>
      <c r="D17" s="3" t="s">
        <v>134</v>
      </c>
    </row>
    <row r="18" spans="1:4" x14ac:dyDescent="0.3">
      <c r="A18" s="4" t="s">
        <v>135</v>
      </c>
      <c r="B18" s="4" t="s">
        <v>136</v>
      </c>
      <c r="C18" s="4" t="s">
        <v>70</v>
      </c>
      <c r="D18" s="4" t="s">
        <v>86</v>
      </c>
    </row>
    <row r="19" spans="1:4" x14ac:dyDescent="0.3">
      <c r="A19" s="4" t="s">
        <v>137</v>
      </c>
      <c r="B19" s="3" t="s">
        <v>138</v>
      </c>
      <c r="C19" s="3" t="s">
        <v>62</v>
      </c>
      <c r="D19" s="3" t="s">
        <v>139</v>
      </c>
    </row>
    <row r="20" spans="1:4" x14ac:dyDescent="0.3">
      <c r="A20" s="2" t="s">
        <v>144</v>
      </c>
      <c r="B20" s="4" t="s">
        <v>145</v>
      </c>
      <c r="C20" s="4" t="s">
        <v>66</v>
      </c>
      <c r="D20" s="4" t="s">
        <v>37</v>
      </c>
    </row>
    <row r="21" spans="1:4" x14ac:dyDescent="0.3">
      <c r="A21" s="2" t="s">
        <v>266</v>
      </c>
      <c r="B21" s="4" t="s">
        <v>267</v>
      </c>
      <c r="C21" s="4" t="s">
        <v>62</v>
      </c>
      <c r="D21" s="4" t="s">
        <v>148</v>
      </c>
    </row>
    <row r="22" spans="1:4" x14ac:dyDescent="0.3">
      <c r="A22" s="2" t="s">
        <v>149</v>
      </c>
      <c r="B22" s="4" t="s">
        <v>150</v>
      </c>
      <c r="C22" s="4" t="s">
        <v>74</v>
      </c>
      <c r="D22" s="4" t="s">
        <v>83</v>
      </c>
    </row>
    <row r="23" spans="1:4" x14ac:dyDescent="0.3">
      <c r="A23" s="2" t="s">
        <v>153</v>
      </c>
      <c r="B23" s="4" t="s">
        <v>154</v>
      </c>
      <c r="C23" s="4" t="s">
        <v>74</v>
      </c>
      <c r="D23" s="4" t="s">
        <v>75</v>
      </c>
    </row>
    <row r="24" spans="1:4" x14ac:dyDescent="0.3">
      <c r="A24" s="2" t="s">
        <v>157</v>
      </c>
      <c r="B24" s="3" t="s">
        <v>158</v>
      </c>
      <c r="C24" s="3" t="s">
        <v>70</v>
      </c>
      <c r="D24" s="3" t="s">
        <v>18</v>
      </c>
    </row>
    <row r="25" spans="1:4" x14ac:dyDescent="0.3">
      <c r="A25" s="4" t="s">
        <v>163</v>
      </c>
      <c r="B25" s="3" t="s">
        <v>164</v>
      </c>
      <c r="C25" s="3" t="s">
        <v>89</v>
      </c>
      <c r="D25" s="3" t="s">
        <v>165</v>
      </c>
    </row>
    <row r="26" spans="1:4" x14ac:dyDescent="0.3">
      <c r="A26" s="2" t="s">
        <v>169</v>
      </c>
      <c r="B26" s="4" t="s">
        <v>170</v>
      </c>
      <c r="C26" s="4" t="s">
        <v>70</v>
      </c>
      <c r="D26" s="4" t="s">
        <v>105</v>
      </c>
    </row>
    <row r="27" spans="1:4" x14ac:dyDescent="0.3">
      <c r="A27" s="2" t="s">
        <v>182</v>
      </c>
      <c r="B27" s="4" t="s">
        <v>183</v>
      </c>
      <c r="C27" s="4" t="s">
        <v>89</v>
      </c>
      <c r="D27" s="4" t="s">
        <v>184</v>
      </c>
    </row>
    <row r="28" spans="1:4" x14ac:dyDescent="0.3">
      <c r="A28" s="2" t="s">
        <v>191</v>
      </c>
      <c r="B28" s="3" t="s">
        <v>192</v>
      </c>
      <c r="C28" s="3" t="s">
        <v>89</v>
      </c>
      <c r="D28" s="3" t="s">
        <v>131</v>
      </c>
    </row>
    <row r="29" spans="1:4" x14ac:dyDescent="0.3">
      <c r="A29" s="2" t="s">
        <v>197</v>
      </c>
      <c r="B29" s="3" t="s">
        <v>198</v>
      </c>
      <c r="C29" s="3" t="s">
        <v>89</v>
      </c>
      <c r="D29" s="3" t="s">
        <v>90</v>
      </c>
    </row>
    <row r="30" spans="1:4" x14ac:dyDescent="0.3">
      <c r="A30" s="2" t="s">
        <v>199</v>
      </c>
      <c r="B30" s="4" t="s">
        <v>200</v>
      </c>
      <c r="C30" s="4" t="s">
        <v>74</v>
      </c>
      <c r="D30" s="4" t="s">
        <v>134</v>
      </c>
    </row>
    <row r="31" spans="1:4" x14ac:dyDescent="0.3">
      <c r="A31" s="2" t="s">
        <v>201</v>
      </c>
      <c r="B31" s="4" t="s">
        <v>202</v>
      </c>
      <c r="C31" s="4" t="s">
        <v>89</v>
      </c>
      <c r="D31" s="4" t="s">
        <v>203</v>
      </c>
    </row>
    <row r="32" spans="1:4" x14ac:dyDescent="0.3">
      <c r="A32" s="2" t="s">
        <v>204</v>
      </c>
      <c r="B32" s="4" t="s">
        <v>205</v>
      </c>
      <c r="C32" s="4" t="s">
        <v>70</v>
      </c>
      <c r="D32" s="4" t="s">
        <v>71</v>
      </c>
    </row>
    <row r="33" spans="1:4" x14ac:dyDescent="0.3">
      <c r="A33" s="2" t="s">
        <v>212</v>
      </c>
      <c r="B33" s="4" t="s">
        <v>213</v>
      </c>
      <c r="C33" s="4" t="s">
        <v>62</v>
      </c>
      <c r="D33" s="4" t="s">
        <v>43</v>
      </c>
    </row>
    <row r="34" spans="1:4" x14ac:dyDescent="0.3">
      <c r="A34" s="2" t="s">
        <v>214</v>
      </c>
      <c r="B34" s="4" t="s">
        <v>215</v>
      </c>
      <c r="C34" s="4" t="s">
        <v>62</v>
      </c>
      <c r="D34" s="4" t="s">
        <v>43</v>
      </c>
    </row>
    <row r="35" spans="1:4" x14ac:dyDescent="0.3">
      <c r="A35" s="2" t="s">
        <v>220</v>
      </c>
      <c r="B35" s="4" t="s">
        <v>221</v>
      </c>
      <c r="C35" s="4" t="s">
        <v>66</v>
      </c>
      <c r="D35" s="4" t="s">
        <v>222</v>
      </c>
    </row>
    <row r="36" spans="1:4" x14ac:dyDescent="0.3">
      <c r="A36" s="2" t="s">
        <v>223</v>
      </c>
      <c r="B36" s="3" t="s">
        <v>224</v>
      </c>
      <c r="C36" s="3" t="s">
        <v>89</v>
      </c>
      <c r="D36" s="3" t="s">
        <v>225</v>
      </c>
    </row>
    <row r="37" spans="1:4" x14ac:dyDescent="0.3">
      <c r="A37" s="2" t="s">
        <v>226</v>
      </c>
      <c r="B37" s="4" t="s">
        <v>227</v>
      </c>
      <c r="C37" s="4" t="s">
        <v>62</v>
      </c>
      <c r="D37" s="4" t="s">
        <v>228</v>
      </c>
    </row>
    <row r="38" spans="1:4" x14ac:dyDescent="0.3">
      <c r="A38" s="2" t="s">
        <v>235</v>
      </c>
      <c r="B38" s="4" t="s">
        <v>236</v>
      </c>
      <c r="C38" s="4" t="s">
        <v>66</v>
      </c>
      <c r="D38" s="4" t="s">
        <v>222</v>
      </c>
    </row>
    <row r="39" spans="1:4" x14ac:dyDescent="0.3">
      <c r="A39" s="2" t="s">
        <v>237</v>
      </c>
      <c r="B39" s="4" t="s">
        <v>238</v>
      </c>
      <c r="C39" s="4" t="s">
        <v>74</v>
      </c>
      <c r="D39" s="4" t="s">
        <v>83</v>
      </c>
    </row>
    <row r="40" spans="1:4" x14ac:dyDescent="0.3">
      <c r="A40" s="2" t="s">
        <v>239</v>
      </c>
      <c r="B40" s="4" t="s">
        <v>240</v>
      </c>
      <c r="C40" s="4" t="s">
        <v>62</v>
      </c>
      <c r="D40" s="4" t="s">
        <v>43</v>
      </c>
    </row>
    <row r="41" spans="1:4" x14ac:dyDescent="0.3">
      <c r="A41" s="2" t="s">
        <v>241</v>
      </c>
      <c r="B41" s="4" t="s">
        <v>242</v>
      </c>
      <c r="C41" s="4" t="s">
        <v>89</v>
      </c>
      <c r="D41" s="4" t="s">
        <v>121</v>
      </c>
    </row>
    <row r="42" spans="1:4" x14ac:dyDescent="0.3">
      <c r="A42" s="2" t="s">
        <v>246</v>
      </c>
      <c r="B42" s="4" t="s">
        <v>247</v>
      </c>
      <c r="C42" s="4" t="s">
        <v>74</v>
      </c>
      <c r="D42" s="4" t="s">
        <v>75</v>
      </c>
    </row>
    <row r="43" spans="1:4" x14ac:dyDescent="0.3">
      <c r="A43" s="2" t="s">
        <v>250</v>
      </c>
      <c r="B43" s="4" t="s">
        <v>251</v>
      </c>
      <c r="C43" s="4" t="s">
        <v>74</v>
      </c>
      <c r="D43" s="4" t="s">
        <v>252</v>
      </c>
    </row>
    <row r="44" spans="1:4" x14ac:dyDescent="0.3">
      <c r="A44" s="2" t="s">
        <v>255</v>
      </c>
      <c r="B44" s="3" t="s">
        <v>256</v>
      </c>
      <c r="C44" s="3" t="s">
        <v>89</v>
      </c>
      <c r="D44" s="3" t="s">
        <v>121</v>
      </c>
    </row>
    <row r="45" spans="1:4" x14ac:dyDescent="0.3">
      <c r="A45" s="2" t="s">
        <v>257</v>
      </c>
      <c r="B45" s="4" t="s">
        <v>258</v>
      </c>
      <c r="C45" s="4" t="s">
        <v>70</v>
      </c>
      <c r="D45" s="4" t="s">
        <v>18</v>
      </c>
    </row>
    <row r="46" spans="1:4" x14ac:dyDescent="0.3">
      <c r="A46" s="2" t="s">
        <v>259</v>
      </c>
      <c r="B46" s="4" t="s">
        <v>260</v>
      </c>
      <c r="C46" s="4" t="s">
        <v>74</v>
      </c>
      <c r="D46" s="4" t="s">
        <v>83</v>
      </c>
    </row>
    <row r="47" spans="1:4" x14ac:dyDescent="0.3">
      <c r="A47" s="2" t="s">
        <v>270</v>
      </c>
      <c r="B47" s="4" t="s">
        <v>271</v>
      </c>
      <c r="C47" s="4" t="s">
        <v>70</v>
      </c>
      <c r="D47" s="4" t="s">
        <v>18</v>
      </c>
    </row>
    <row r="48" spans="1:4" x14ac:dyDescent="0.3">
      <c r="A48" s="2" t="s">
        <v>274</v>
      </c>
      <c r="B48" s="4" t="s">
        <v>275</v>
      </c>
      <c r="C48" s="4" t="s">
        <v>66</v>
      </c>
      <c r="D48" s="4" t="s">
        <v>44</v>
      </c>
    </row>
    <row r="49" spans="1:4" x14ac:dyDescent="0.3">
      <c r="A49" s="2" t="s">
        <v>278</v>
      </c>
      <c r="B49" s="3" t="s">
        <v>279</v>
      </c>
      <c r="C49" s="3" t="s">
        <v>70</v>
      </c>
      <c r="D49" s="3" t="s">
        <v>108</v>
      </c>
    </row>
    <row r="50" spans="1:4" x14ac:dyDescent="0.3">
      <c r="A50" s="2" t="s">
        <v>282</v>
      </c>
      <c r="B50" s="4" t="s">
        <v>283</v>
      </c>
      <c r="C50" s="4" t="s">
        <v>66</v>
      </c>
      <c r="D50" s="4" t="s">
        <v>222</v>
      </c>
    </row>
    <row r="51" spans="1:4" x14ac:dyDescent="0.3">
      <c r="A51" s="2" t="s">
        <v>284</v>
      </c>
      <c r="B51" s="4" t="s">
        <v>285</v>
      </c>
      <c r="C51" s="4" t="s">
        <v>70</v>
      </c>
      <c r="D51" s="4" t="s">
        <v>86</v>
      </c>
    </row>
    <row r="52" spans="1:4" x14ac:dyDescent="0.3">
      <c r="A52" s="4" t="s">
        <v>286</v>
      </c>
      <c r="B52" s="4" t="s">
        <v>287</v>
      </c>
      <c r="C52" s="4" t="s">
        <v>70</v>
      </c>
      <c r="D52" s="4" t="s">
        <v>18</v>
      </c>
    </row>
    <row r="53" spans="1:4" x14ac:dyDescent="0.3">
      <c r="A53" s="2" t="s">
        <v>288</v>
      </c>
      <c r="B53" s="4" t="s">
        <v>289</v>
      </c>
      <c r="C53" s="4" t="s">
        <v>89</v>
      </c>
      <c r="D53" s="4" t="s">
        <v>131</v>
      </c>
    </row>
    <row r="54" spans="1:4" x14ac:dyDescent="0.3">
      <c r="A54" s="2" t="s">
        <v>290</v>
      </c>
      <c r="B54" s="4" t="s">
        <v>291</v>
      </c>
      <c r="C54" s="4" t="s">
        <v>62</v>
      </c>
      <c r="D54" s="4" t="s">
        <v>292</v>
      </c>
    </row>
    <row r="55" spans="1:4" x14ac:dyDescent="0.3">
      <c r="A55" s="4" t="s">
        <v>296</v>
      </c>
      <c r="B55" s="3" t="s">
        <v>297</v>
      </c>
      <c r="C55" s="3" t="s">
        <v>70</v>
      </c>
      <c r="D55" s="3" t="s">
        <v>71</v>
      </c>
    </row>
    <row r="56" spans="1:4" x14ac:dyDescent="0.3">
      <c r="A56" s="2" t="s">
        <v>298</v>
      </c>
      <c r="B56" s="3" t="s">
        <v>299</v>
      </c>
      <c r="C56" s="3" t="s">
        <v>66</v>
      </c>
      <c r="D56" s="3" t="s">
        <v>37</v>
      </c>
    </row>
    <row r="57" spans="1:4" x14ac:dyDescent="0.3">
      <c r="A57" s="4" t="s">
        <v>302</v>
      </c>
      <c r="B57" s="4" t="s">
        <v>303</v>
      </c>
      <c r="C57" s="4" t="s">
        <v>66</v>
      </c>
      <c r="D57" s="4" t="s">
        <v>93</v>
      </c>
    </row>
    <row r="58" spans="1:4" x14ac:dyDescent="0.3">
      <c r="A58" s="2" t="s">
        <v>304</v>
      </c>
      <c r="B58" s="4" t="s">
        <v>305</v>
      </c>
      <c r="C58" s="4" t="s">
        <v>74</v>
      </c>
      <c r="D58" s="4" t="s">
        <v>83</v>
      </c>
    </row>
    <row r="59" spans="1:4" x14ac:dyDescent="0.3">
      <c r="A59" s="2" t="s">
        <v>306</v>
      </c>
      <c r="B59" s="4" t="s">
        <v>307</v>
      </c>
      <c r="C59" s="4" t="s">
        <v>62</v>
      </c>
      <c r="D59" s="4" t="s">
        <v>308</v>
      </c>
    </row>
    <row r="60" spans="1:4" x14ac:dyDescent="0.3">
      <c r="A60" s="2" t="s">
        <v>309</v>
      </c>
      <c r="B60" s="4" t="s">
        <v>310</v>
      </c>
      <c r="C60" s="4" t="s">
        <v>70</v>
      </c>
      <c r="D60" s="4" t="s">
        <v>105</v>
      </c>
    </row>
    <row r="61" spans="1:4" x14ac:dyDescent="0.3">
      <c r="A61" s="4" t="s">
        <v>311</v>
      </c>
      <c r="B61" s="4" t="s">
        <v>312</v>
      </c>
      <c r="C61" s="4" t="s">
        <v>70</v>
      </c>
      <c r="D61" s="4" t="s">
        <v>18</v>
      </c>
    </row>
    <row r="62" spans="1:4" x14ac:dyDescent="0.3">
      <c r="A62" s="4" t="s">
        <v>313</v>
      </c>
      <c r="B62" s="3" t="s">
        <v>314</v>
      </c>
      <c r="C62" s="3" t="s">
        <v>74</v>
      </c>
      <c r="D62" s="3" t="s">
        <v>75</v>
      </c>
    </row>
    <row r="63" spans="1:4" x14ac:dyDescent="0.3">
      <c r="A63" s="2" t="s">
        <v>317</v>
      </c>
      <c r="B63" s="3" t="s">
        <v>318</v>
      </c>
      <c r="C63" s="3" t="s">
        <v>70</v>
      </c>
      <c r="D63" s="3" t="s">
        <v>111</v>
      </c>
    </row>
    <row r="64" spans="1:4" x14ac:dyDescent="0.3">
      <c r="A64" s="4" t="s">
        <v>319</v>
      </c>
      <c r="B64" s="4" t="s">
        <v>320</v>
      </c>
      <c r="C64" s="4" t="s">
        <v>62</v>
      </c>
      <c r="D64" s="4" t="s">
        <v>148</v>
      </c>
    </row>
    <row r="65" spans="1:4" x14ac:dyDescent="0.3">
      <c r="A65" s="2" t="s">
        <v>321</v>
      </c>
      <c r="B65" s="4" t="s">
        <v>322</v>
      </c>
      <c r="C65" s="4" t="s">
        <v>66</v>
      </c>
      <c r="D65" s="4" t="s">
        <v>67</v>
      </c>
    </row>
    <row r="66" spans="1:4" x14ac:dyDescent="0.3">
      <c r="A66" s="2" t="s">
        <v>325</v>
      </c>
      <c r="B66" s="4" t="s">
        <v>326</v>
      </c>
      <c r="C66" s="4" t="s">
        <v>70</v>
      </c>
      <c r="D66" s="4" t="s">
        <v>18</v>
      </c>
    </row>
    <row r="67" spans="1:4" x14ac:dyDescent="0.3">
      <c r="A67" s="2" t="s">
        <v>331</v>
      </c>
      <c r="B67" s="4" t="s">
        <v>332</v>
      </c>
      <c r="C67" s="4" t="s">
        <v>89</v>
      </c>
      <c r="D67" s="4" t="s">
        <v>333</v>
      </c>
    </row>
    <row r="68" spans="1:4" x14ac:dyDescent="0.3">
      <c r="A68" s="2" t="s">
        <v>336</v>
      </c>
      <c r="B68" s="4" t="s">
        <v>337</v>
      </c>
      <c r="C68" s="4" t="s">
        <v>89</v>
      </c>
      <c r="D68" s="4" t="s">
        <v>165</v>
      </c>
    </row>
    <row r="69" spans="1:4" x14ac:dyDescent="0.3">
      <c r="A69" s="2" t="s">
        <v>340</v>
      </c>
      <c r="B69" s="4" t="s">
        <v>341</v>
      </c>
      <c r="C69" s="4" t="s">
        <v>66</v>
      </c>
      <c r="D69" s="4" t="s">
        <v>15</v>
      </c>
    </row>
    <row r="70" spans="1:4" x14ac:dyDescent="0.3">
      <c r="A70" s="2" t="s">
        <v>342</v>
      </c>
      <c r="B70" s="4" t="s">
        <v>343</v>
      </c>
      <c r="C70" s="4" t="s">
        <v>70</v>
      </c>
      <c r="D70" s="4" t="s">
        <v>78</v>
      </c>
    </row>
    <row r="71" spans="1:4" x14ac:dyDescent="0.3">
      <c r="A71" s="2" t="s">
        <v>344</v>
      </c>
      <c r="B71" s="4" t="s">
        <v>345</v>
      </c>
      <c r="C71" s="4" t="s">
        <v>89</v>
      </c>
      <c r="D71" s="4" t="s">
        <v>131</v>
      </c>
    </row>
    <row r="72" spans="1:4" x14ac:dyDescent="0.3">
      <c r="A72" s="2" t="s">
        <v>349</v>
      </c>
      <c r="B72" s="4" t="s">
        <v>350</v>
      </c>
      <c r="C72" s="4" t="s">
        <v>89</v>
      </c>
      <c r="D72" s="4" t="s">
        <v>184</v>
      </c>
    </row>
    <row r="73" spans="1:4" x14ac:dyDescent="0.3">
      <c r="A73" s="2" t="s">
        <v>351</v>
      </c>
      <c r="B73" s="4" t="s">
        <v>352</v>
      </c>
      <c r="C73" s="4" t="s">
        <v>62</v>
      </c>
      <c r="D73" s="4" t="s">
        <v>63</v>
      </c>
    </row>
    <row r="74" spans="1:4" x14ac:dyDescent="0.3">
      <c r="A74" s="2" t="s">
        <v>361</v>
      </c>
      <c r="B74" s="4" t="s">
        <v>362</v>
      </c>
      <c r="C74" s="4" t="s">
        <v>89</v>
      </c>
      <c r="D74" s="4" t="s">
        <v>90</v>
      </c>
    </row>
    <row r="75" spans="1:4" x14ac:dyDescent="0.3">
      <c r="A75" s="2" t="s">
        <v>364</v>
      </c>
      <c r="B75" s="4" t="s">
        <v>365</v>
      </c>
      <c r="C75" s="4" t="s">
        <v>70</v>
      </c>
      <c r="D75" s="4" t="s">
        <v>111</v>
      </c>
    </row>
    <row r="76" spans="1:4" x14ac:dyDescent="0.3">
      <c r="A76" s="2" t="s">
        <v>368</v>
      </c>
      <c r="B76" s="4" t="s">
        <v>369</v>
      </c>
      <c r="C76" s="4" t="s">
        <v>89</v>
      </c>
      <c r="D76" s="4" t="s">
        <v>370</v>
      </c>
    </row>
    <row r="77" spans="1:4" x14ac:dyDescent="0.3">
      <c r="A77" s="2" t="s">
        <v>371</v>
      </c>
      <c r="B77" t="s">
        <v>372</v>
      </c>
      <c r="C77" t="s">
        <v>89</v>
      </c>
      <c r="D77" t="s">
        <v>225</v>
      </c>
    </row>
    <row r="78" spans="1:4" x14ac:dyDescent="0.3">
      <c r="A78" s="2" t="s">
        <v>373</v>
      </c>
      <c r="B78" s="4" t="s">
        <v>374</v>
      </c>
      <c r="C78" s="4" t="s">
        <v>89</v>
      </c>
      <c r="D78" s="4" t="s">
        <v>131</v>
      </c>
    </row>
    <row r="79" spans="1:4" x14ac:dyDescent="0.3">
      <c r="A79" s="2" t="s">
        <v>375</v>
      </c>
      <c r="B79" s="4" t="s">
        <v>376</v>
      </c>
      <c r="C79" s="4" t="s">
        <v>66</v>
      </c>
      <c r="D79" s="4" t="s">
        <v>93</v>
      </c>
    </row>
    <row r="80" spans="1:4" x14ac:dyDescent="0.3">
      <c r="A80" s="2" t="s">
        <v>377</v>
      </c>
      <c r="B80" s="4" t="s">
        <v>378</v>
      </c>
      <c r="C80" s="4" t="s">
        <v>74</v>
      </c>
      <c r="D80" s="4" t="s">
        <v>379</v>
      </c>
    </row>
    <row r="81" spans="1:4" x14ac:dyDescent="0.3">
      <c r="A81" s="2" t="s">
        <v>382</v>
      </c>
      <c r="B81" s="4" t="s">
        <v>383</v>
      </c>
      <c r="C81" s="4" t="s">
        <v>89</v>
      </c>
      <c r="D81" s="4" t="s">
        <v>90</v>
      </c>
    </row>
    <row r="82" spans="1:4" x14ac:dyDescent="0.3">
      <c r="A82" s="4" t="s">
        <v>384</v>
      </c>
      <c r="B82" s="4" t="s">
        <v>385</v>
      </c>
      <c r="C82" s="4" t="s">
        <v>89</v>
      </c>
      <c r="D82" s="4" t="s">
        <v>121</v>
      </c>
    </row>
    <row r="83" spans="1:4" x14ac:dyDescent="0.3">
      <c r="A83" s="2" t="s">
        <v>398</v>
      </c>
      <c r="B83" s="4" t="s">
        <v>399</v>
      </c>
      <c r="C83" s="4" t="s">
        <v>62</v>
      </c>
      <c r="D83" s="4" t="s">
        <v>43</v>
      </c>
    </row>
    <row r="84" spans="1:4" x14ac:dyDescent="0.3">
      <c r="A84" s="2" t="s">
        <v>400</v>
      </c>
      <c r="B84" s="4" t="s">
        <v>401</v>
      </c>
      <c r="C84" s="4" t="s">
        <v>62</v>
      </c>
      <c r="D84" s="4" t="s">
        <v>43</v>
      </c>
    </row>
    <row r="85" spans="1:4" x14ac:dyDescent="0.3">
      <c r="A85" s="2" t="s">
        <v>406</v>
      </c>
      <c r="B85" s="3" t="s">
        <v>407</v>
      </c>
      <c r="C85" s="3" t="s">
        <v>89</v>
      </c>
      <c r="D85" s="3" t="s">
        <v>225</v>
      </c>
    </row>
    <row r="86" spans="1:4" x14ac:dyDescent="0.3">
      <c r="A86" s="2" t="s">
        <v>410</v>
      </c>
      <c r="B86" t="s">
        <v>411</v>
      </c>
      <c r="C86" t="s">
        <v>89</v>
      </c>
      <c r="D86" t="s">
        <v>165</v>
      </c>
    </row>
    <row r="87" spans="1:4" x14ac:dyDescent="0.3">
      <c r="A87" s="2" t="s">
        <v>418</v>
      </c>
      <c r="B87" t="s">
        <v>419</v>
      </c>
      <c r="C87" t="s">
        <v>62</v>
      </c>
      <c r="D87" t="s">
        <v>100</v>
      </c>
    </row>
    <row r="88" spans="1:4" x14ac:dyDescent="0.3">
      <c r="A88" s="4" t="s">
        <v>422</v>
      </c>
      <c r="B88" s="3" t="s">
        <v>423</v>
      </c>
      <c r="C88" s="3" t="s">
        <v>74</v>
      </c>
      <c r="D88" s="3" t="s">
        <v>83</v>
      </c>
    </row>
    <row r="89" spans="1:4" x14ac:dyDescent="0.3">
      <c r="A89" s="4" t="s">
        <v>430</v>
      </c>
      <c r="B89" s="3" t="s">
        <v>431</v>
      </c>
      <c r="C89" s="134" t="s">
        <v>89</v>
      </c>
      <c r="D89" s="134" t="s">
        <v>165</v>
      </c>
    </row>
    <row r="90" spans="1:4" x14ac:dyDescent="0.3">
      <c r="A90" s="4" t="s">
        <v>432</v>
      </c>
      <c r="B90" s="4" t="s">
        <v>433</v>
      </c>
      <c r="C90" s="5" t="s">
        <v>62</v>
      </c>
      <c r="D90" s="5" t="s">
        <v>43</v>
      </c>
    </row>
    <row r="91" spans="1:4" x14ac:dyDescent="0.3">
      <c r="A91" s="4" t="s">
        <v>434</v>
      </c>
      <c r="B91" s="4" t="s">
        <v>435</v>
      </c>
      <c r="C91" s="5" t="s">
        <v>70</v>
      </c>
      <c r="D91" s="5" t="s">
        <v>71</v>
      </c>
    </row>
    <row r="92" spans="1:4" x14ac:dyDescent="0.3">
      <c r="A92" s="4" t="s">
        <v>438</v>
      </c>
      <c r="B92" s="4" t="s">
        <v>439</v>
      </c>
      <c r="C92" s="5" t="s">
        <v>70</v>
      </c>
      <c r="D92" s="5" t="s">
        <v>86</v>
      </c>
    </row>
    <row r="93" spans="1:4" x14ac:dyDescent="0.3">
      <c r="A93" s="2" t="s">
        <v>175</v>
      </c>
      <c r="B93" s="4" t="s">
        <v>176</v>
      </c>
      <c r="C93" s="5" t="s">
        <v>66</v>
      </c>
      <c r="D93" s="5" t="s">
        <v>177</v>
      </c>
    </row>
    <row r="94" spans="1:4" x14ac:dyDescent="0.3">
      <c r="A94" s="4" t="s">
        <v>206</v>
      </c>
      <c r="B94" s="4" t="s">
        <v>207</v>
      </c>
      <c r="C94" s="5" t="s">
        <v>66</v>
      </c>
      <c r="D94" s="5" t="s">
        <v>208</v>
      </c>
    </row>
    <row r="95" spans="1:4" x14ac:dyDescent="0.3">
      <c r="A95" s="4" t="s">
        <v>358</v>
      </c>
      <c r="B95" s="4" t="s">
        <v>359</v>
      </c>
      <c r="C95" s="5" t="s">
        <v>70</v>
      </c>
      <c r="D95" s="5" t="s">
        <v>360</v>
      </c>
    </row>
    <row r="96" spans="1:4" x14ac:dyDescent="0.3">
      <c r="A96" s="4" t="s">
        <v>323</v>
      </c>
      <c r="B96" s="4" t="s">
        <v>324</v>
      </c>
      <c r="C96" s="5" t="s">
        <v>66</v>
      </c>
      <c r="D96" s="5" t="s">
        <v>67</v>
      </c>
    </row>
    <row r="97" spans="1:4" x14ac:dyDescent="0.3">
      <c r="A97" s="4" t="s">
        <v>195</v>
      </c>
      <c r="B97" s="4" t="s">
        <v>196</v>
      </c>
      <c r="C97" s="5" t="s">
        <v>89</v>
      </c>
      <c r="D97" s="5" t="s">
        <v>131</v>
      </c>
    </row>
    <row r="98" spans="1:4" x14ac:dyDescent="0.3">
      <c r="A98" s="4" t="s">
        <v>334</v>
      </c>
      <c r="B98" s="4" t="s">
        <v>335</v>
      </c>
      <c r="C98" s="5" t="s">
        <v>70</v>
      </c>
      <c r="D98" s="5" t="s">
        <v>71</v>
      </c>
    </row>
    <row r="99" spans="1:4" x14ac:dyDescent="0.3">
      <c r="A99" s="4" t="s">
        <v>193</v>
      </c>
      <c r="B99" s="4" t="s">
        <v>194</v>
      </c>
      <c r="C99" s="5" t="s">
        <v>70</v>
      </c>
      <c r="D99" s="5" t="s">
        <v>71</v>
      </c>
    </row>
    <row r="100" spans="1:4" x14ac:dyDescent="0.3">
      <c r="A100" s="4" t="s">
        <v>424</v>
      </c>
      <c r="B100" s="4" t="s">
        <v>425</v>
      </c>
      <c r="C100" s="5" t="s">
        <v>66</v>
      </c>
      <c r="D100" s="5" t="s">
        <v>222</v>
      </c>
    </row>
    <row r="101" spans="1:4" x14ac:dyDescent="0.3">
      <c r="A101" s="4" t="s">
        <v>293</v>
      </c>
      <c r="B101" s="4" t="s">
        <v>294</v>
      </c>
      <c r="C101" s="5" t="s">
        <v>66</v>
      </c>
      <c r="D101" s="5" t="s">
        <v>222</v>
      </c>
    </row>
    <row r="102" spans="1:4" x14ac:dyDescent="0.3">
      <c r="A102" s="4" t="s">
        <v>363</v>
      </c>
      <c r="B102" s="4" t="s">
        <v>550</v>
      </c>
      <c r="C102" s="5" t="s">
        <v>70</v>
      </c>
      <c r="D102" s="5" t="s">
        <v>105</v>
      </c>
    </row>
    <row r="103" spans="1:4" x14ac:dyDescent="0.3">
      <c r="A103" s="4" t="s">
        <v>551</v>
      </c>
      <c r="B103" s="4" t="s">
        <v>552</v>
      </c>
      <c r="C103" s="5" t="s">
        <v>89</v>
      </c>
      <c r="D103" s="5" t="s">
        <v>131</v>
      </c>
    </row>
    <row r="104" spans="1:4" x14ac:dyDescent="0.3">
      <c r="A104" s="4" t="s">
        <v>276</v>
      </c>
      <c r="B104" s="4" t="s">
        <v>277</v>
      </c>
      <c r="C104" s="5" t="s">
        <v>62</v>
      </c>
      <c r="D104" s="5" t="s">
        <v>43</v>
      </c>
    </row>
    <row r="105" spans="1:4" x14ac:dyDescent="0.3">
      <c r="A105" s="4" t="s">
        <v>168</v>
      </c>
      <c r="B105" s="4" t="s">
        <v>553</v>
      </c>
      <c r="C105" s="5" t="s">
        <v>62</v>
      </c>
      <c r="D105" s="5" t="s">
        <v>43</v>
      </c>
    </row>
    <row r="106" spans="1:4" x14ac:dyDescent="0.3">
      <c r="A106" s="4" t="s">
        <v>525</v>
      </c>
      <c r="B106" s="4" t="s">
        <v>541</v>
      </c>
      <c r="C106" s="5" t="s">
        <v>62</v>
      </c>
      <c r="D106" s="5" t="s">
        <v>228</v>
      </c>
    </row>
    <row r="107" spans="1:4" x14ac:dyDescent="0.3">
      <c r="A107" s="4" t="s">
        <v>151</v>
      </c>
      <c r="B107" s="3" t="s">
        <v>152</v>
      </c>
      <c r="C107" s="3" t="s">
        <v>70</v>
      </c>
      <c r="D107" s="3" t="s">
        <v>71</v>
      </c>
    </row>
    <row r="108" spans="1:4" x14ac:dyDescent="0.3">
      <c r="A108" s="4" t="s">
        <v>263</v>
      </c>
      <c r="B108" s="3" t="s">
        <v>264</v>
      </c>
      <c r="C108" s="3" t="s">
        <v>74</v>
      </c>
      <c r="D108" s="3" t="s">
        <v>83</v>
      </c>
    </row>
    <row r="109" spans="1:4" x14ac:dyDescent="0.3">
      <c r="A109" s="4" t="s">
        <v>392</v>
      </c>
      <c r="B109" s="4" t="s">
        <v>393</v>
      </c>
      <c r="C109" s="3" t="s">
        <v>89</v>
      </c>
      <c r="D109" s="3" t="s">
        <v>370</v>
      </c>
    </row>
    <row r="110" spans="1:4" x14ac:dyDescent="0.3">
      <c r="A110" s="4" t="s">
        <v>426</v>
      </c>
      <c r="B110" s="4" t="s">
        <v>427</v>
      </c>
      <c r="C110" s="3" t="s">
        <v>74</v>
      </c>
      <c r="D110" s="3" t="s">
        <v>83</v>
      </c>
    </row>
    <row r="111" spans="1:4" x14ac:dyDescent="0.3">
      <c r="A111" s="4" t="s">
        <v>187</v>
      </c>
      <c r="B111" s="4" t="s">
        <v>188</v>
      </c>
      <c r="C111" s="3" t="s">
        <v>74</v>
      </c>
      <c r="D111" s="3" t="s">
        <v>75</v>
      </c>
    </row>
    <row r="112" spans="1:4" x14ac:dyDescent="0.3">
      <c r="A112" s="4" t="s">
        <v>218</v>
      </c>
      <c r="B112" s="4" t="s">
        <v>219</v>
      </c>
      <c r="C112" s="3" t="s">
        <v>89</v>
      </c>
      <c r="D112" s="3" t="s">
        <v>121</v>
      </c>
    </row>
    <row r="113" spans="1:4" x14ac:dyDescent="0.3">
      <c r="A113" s="4" t="s">
        <v>355</v>
      </c>
      <c r="B113" s="4" t="s">
        <v>356</v>
      </c>
      <c r="C113" s="3" t="s">
        <v>70</v>
      </c>
      <c r="D113" s="3" t="s">
        <v>111</v>
      </c>
    </row>
    <row r="114" spans="1:4" x14ac:dyDescent="0.3">
      <c r="A114" s="4" t="s">
        <v>416</v>
      </c>
      <c r="B114" s="4" t="s">
        <v>417</v>
      </c>
      <c r="C114" s="3" t="s">
        <v>74</v>
      </c>
      <c r="D114" s="3" t="s">
        <v>211</v>
      </c>
    </row>
    <row r="115" spans="1:4" x14ac:dyDescent="0.3">
      <c r="A115" s="4" t="s">
        <v>420</v>
      </c>
      <c r="B115" s="4" t="s">
        <v>421</v>
      </c>
      <c r="C115" s="3" t="s">
        <v>70</v>
      </c>
      <c r="D115" s="3" t="s">
        <v>111</v>
      </c>
    </row>
    <row r="116" spans="1:4" x14ac:dyDescent="0.3">
      <c r="A116" s="4" t="s">
        <v>554</v>
      </c>
      <c r="B116" s="4" t="s">
        <v>555</v>
      </c>
      <c r="C116" s="3" t="s">
        <v>70</v>
      </c>
      <c r="D116" s="3" t="s">
        <v>556</v>
      </c>
    </row>
    <row r="117" spans="1:4" x14ac:dyDescent="0.3">
      <c r="A117" s="4" t="s">
        <v>557</v>
      </c>
      <c r="B117" s="4" t="s">
        <v>558</v>
      </c>
      <c r="C117" s="3" t="s">
        <v>70</v>
      </c>
      <c r="D117" s="3" t="s">
        <v>556</v>
      </c>
    </row>
    <row r="118" spans="1:4" x14ac:dyDescent="0.3">
      <c r="A118" s="4" t="s">
        <v>233</v>
      </c>
      <c r="B118" s="4" t="s">
        <v>234</v>
      </c>
      <c r="C118" s="3" t="s">
        <v>66</v>
      </c>
      <c r="D118" s="3" t="s">
        <v>44</v>
      </c>
    </row>
    <row r="119" spans="1:4" x14ac:dyDescent="0.3">
      <c r="A119" s="4" t="s">
        <v>357</v>
      </c>
      <c r="B119" s="4" t="s">
        <v>559</v>
      </c>
      <c r="C119" s="3" t="s">
        <v>66</v>
      </c>
      <c r="D119" s="3" t="s">
        <v>44</v>
      </c>
    </row>
    <row r="120" spans="1:4" x14ac:dyDescent="0.3">
      <c r="A120" s="4" t="s">
        <v>295</v>
      </c>
      <c r="B120" s="4" t="s">
        <v>560</v>
      </c>
      <c r="C120" s="3" t="s">
        <v>66</v>
      </c>
      <c r="D120" s="3" t="s">
        <v>44</v>
      </c>
    </row>
    <row r="121" spans="1:4" x14ac:dyDescent="0.3">
      <c r="A121" s="4" t="s">
        <v>561</v>
      </c>
      <c r="B121" s="4" t="s">
        <v>562</v>
      </c>
      <c r="C121" s="3" t="s">
        <v>74</v>
      </c>
      <c r="D121" s="3" t="s">
        <v>211</v>
      </c>
    </row>
    <row r="122" spans="1:4" x14ac:dyDescent="0.3">
      <c r="A122" s="4" t="s">
        <v>522</v>
      </c>
      <c r="B122" s="4" t="s">
        <v>227</v>
      </c>
      <c r="C122" s="3" t="s">
        <v>62</v>
      </c>
      <c r="D122" s="3" t="s">
        <v>563</v>
      </c>
    </row>
    <row r="123" spans="1:4" x14ac:dyDescent="0.3">
      <c r="A123" s="4" t="s">
        <v>189</v>
      </c>
      <c r="B123" s="4" t="s">
        <v>534</v>
      </c>
      <c r="C123" s="3" t="s">
        <v>62</v>
      </c>
      <c r="D123" s="3" t="s">
        <v>563</v>
      </c>
    </row>
    <row r="124" spans="1:4" x14ac:dyDescent="0.3">
      <c r="A124" s="4" t="s">
        <v>564</v>
      </c>
      <c r="B124" s="4" t="s">
        <v>359</v>
      </c>
      <c r="C124" s="3" t="s">
        <v>70</v>
      </c>
      <c r="D124" s="3" t="s">
        <v>70</v>
      </c>
    </row>
    <row r="125" spans="1:4" x14ac:dyDescent="0.3">
      <c r="A125" s="4" t="s">
        <v>565</v>
      </c>
      <c r="B125" s="3" t="s">
        <v>533</v>
      </c>
      <c r="C125" s="3" t="s">
        <v>66</v>
      </c>
      <c r="D125" s="3" t="s">
        <v>37</v>
      </c>
    </row>
    <row r="126" spans="1:4" x14ac:dyDescent="0.3">
      <c r="A126" s="4" t="s">
        <v>566</v>
      </c>
      <c r="B126" s="4" t="s">
        <v>567</v>
      </c>
      <c r="C126" s="3" t="s">
        <v>66</v>
      </c>
      <c r="D126" s="3" t="s">
        <v>37</v>
      </c>
    </row>
    <row r="127" spans="1:4" x14ac:dyDescent="0.3">
      <c r="A127" s="4" t="s">
        <v>568</v>
      </c>
      <c r="B127" s="3" t="s">
        <v>569</v>
      </c>
      <c r="C127" s="3" t="s">
        <v>74</v>
      </c>
      <c r="D127" s="3" t="s">
        <v>252</v>
      </c>
    </row>
    <row r="128" spans="1:4" x14ac:dyDescent="0.3">
      <c r="A128" s="4" t="s">
        <v>570</v>
      </c>
      <c r="B128" s="4" t="s">
        <v>73</v>
      </c>
      <c r="C128" s="3" t="s">
        <v>74</v>
      </c>
      <c r="D128" s="3" t="s">
        <v>75</v>
      </c>
    </row>
    <row r="129" spans="1:4" x14ac:dyDescent="0.3">
      <c r="A129" s="4" t="s">
        <v>428</v>
      </c>
      <c r="B129" s="4" t="s">
        <v>429</v>
      </c>
      <c r="C129" s="3" t="s">
        <v>74</v>
      </c>
      <c r="D129" s="3" t="s">
        <v>83</v>
      </c>
    </row>
    <row r="130" spans="1:4" x14ac:dyDescent="0.3">
      <c r="A130" s="4" t="s">
        <v>72</v>
      </c>
      <c r="B130" s="4" t="s">
        <v>73</v>
      </c>
      <c r="C130" s="4" t="s">
        <v>74</v>
      </c>
      <c r="D130" s="4" t="s">
        <v>75</v>
      </c>
    </row>
    <row r="131" spans="1:4" x14ac:dyDescent="0.3">
      <c r="A131" s="4" t="s">
        <v>103</v>
      </c>
      <c r="B131" t="s">
        <v>104</v>
      </c>
      <c r="C131" t="s">
        <v>70</v>
      </c>
      <c r="D131" t="s">
        <v>105</v>
      </c>
    </row>
    <row r="132" spans="1:4" x14ac:dyDescent="0.3">
      <c r="A132" s="4" t="s">
        <v>119</v>
      </c>
      <c r="B132" s="4" t="s">
        <v>120</v>
      </c>
      <c r="C132" s="4" t="s">
        <v>89</v>
      </c>
      <c r="D132" s="4" t="s">
        <v>121</v>
      </c>
    </row>
    <row r="133" spans="1:4" x14ac:dyDescent="0.3">
      <c r="A133" s="4" t="s">
        <v>253</v>
      </c>
      <c r="B133" s="4" t="s">
        <v>254</v>
      </c>
      <c r="C133" s="4" t="s">
        <v>66</v>
      </c>
      <c r="D133" s="4" t="s">
        <v>7</v>
      </c>
    </row>
    <row r="134" spans="1:4" x14ac:dyDescent="0.3">
      <c r="A134" s="4" t="s">
        <v>280</v>
      </c>
      <c r="B134" s="4" t="s">
        <v>281</v>
      </c>
      <c r="C134" s="4" t="s">
        <v>74</v>
      </c>
      <c r="D134" s="4" t="s">
        <v>75</v>
      </c>
    </row>
    <row r="135" spans="1:4" x14ac:dyDescent="0.3">
      <c r="A135" s="4" t="s">
        <v>112</v>
      </c>
      <c r="B135" s="4" t="s">
        <v>113</v>
      </c>
      <c r="C135" s="4" t="s">
        <v>74</v>
      </c>
      <c r="D135" s="4" t="s">
        <v>75</v>
      </c>
    </row>
    <row r="136" spans="1:4" x14ac:dyDescent="0.3">
      <c r="A136" s="4" t="s">
        <v>117</v>
      </c>
      <c r="B136" s="4" t="s">
        <v>118</v>
      </c>
      <c r="C136" s="4" t="s">
        <v>89</v>
      </c>
      <c r="D136" s="4" t="s">
        <v>90</v>
      </c>
    </row>
    <row r="137" spans="1:4" x14ac:dyDescent="0.3">
      <c r="A137" s="4" t="s">
        <v>129</v>
      </c>
      <c r="B137" s="4" t="s">
        <v>130</v>
      </c>
      <c r="C137" s="4" t="s">
        <v>89</v>
      </c>
      <c r="D137" s="4" t="s">
        <v>131</v>
      </c>
    </row>
    <row r="138" spans="1:4" x14ac:dyDescent="0.3">
      <c r="A138" s="4" t="s">
        <v>146</v>
      </c>
      <c r="B138" s="4" t="s">
        <v>147</v>
      </c>
      <c r="C138" s="4" t="s">
        <v>62</v>
      </c>
      <c r="D138" s="4" t="s">
        <v>148</v>
      </c>
    </row>
    <row r="139" spans="1:4" x14ac:dyDescent="0.3">
      <c r="A139" s="4" t="s">
        <v>272</v>
      </c>
      <c r="B139" s="4" t="s">
        <v>273</v>
      </c>
      <c r="C139" s="4" t="s">
        <v>74</v>
      </c>
      <c r="D139" s="4" t="s">
        <v>75</v>
      </c>
    </row>
    <row r="140" spans="1:4" x14ac:dyDescent="0.3">
      <c r="A140" s="4" t="s">
        <v>394</v>
      </c>
      <c r="B140" s="4" t="s">
        <v>395</v>
      </c>
      <c r="C140" s="4" t="s">
        <v>70</v>
      </c>
      <c r="D140" s="4" t="s">
        <v>105</v>
      </c>
    </row>
    <row r="141" spans="1:4" x14ac:dyDescent="0.3">
      <c r="A141" s="4" t="s">
        <v>414</v>
      </c>
      <c r="B141" s="4" t="s">
        <v>415</v>
      </c>
      <c r="C141" s="4" t="s">
        <v>66</v>
      </c>
      <c r="D141" s="4" t="s">
        <v>7</v>
      </c>
    </row>
    <row r="142" spans="1:4" x14ac:dyDescent="0.3">
      <c r="A142" s="4" t="s">
        <v>436</v>
      </c>
      <c r="B142" s="4" t="s">
        <v>437</v>
      </c>
      <c r="C142" s="4" t="s">
        <v>62</v>
      </c>
      <c r="D142" s="4" t="s">
        <v>63</v>
      </c>
    </row>
    <row r="143" spans="1:4" x14ac:dyDescent="0.3">
      <c r="A143" s="4" t="s">
        <v>386</v>
      </c>
      <c r="B143" s="3" t="s">
        <v>387</v>
      </c>
      <c r="C143" s="5" t="s">
        <v>66</v>
      </c>
      <c r="D143" s="4" t="s">
        <v>15</v>
      </c>
    </row>
    <row r="144" spans="1:4" x14ac:dyDescent="0.3">
      <c r="A144" s="4" t="s">
        <v>327</v>
      </c>
      <c r="B144" s="4" t="s">
        <v>328</v>
      </c>
      <c r="C144" s="4" t="s">
        <v>66</v>
      </c>
      <c r="D144" s="4" t="s">
        <v>7</v>
      </c>
    </row>
    <row r="145" spans="1:4" x14ac:dyDescent="0.3">
      <c r="A145" s="4" t="s">
        <v>348</v>
      </c>
      <c r="B145" s="4" t="s">
        <v>571</v>
      </c>
      <c r="C145" s="4" t="s">
        <v>70</v>
      </c>
      <c r="D145" s="4" t="s">
        <v>86</v>
      </c>
    </row>
    <row r="146" spans="1:4" x14ac:dyDescent="0.3">
      <c r="A146" s="4" t="s">
        <v>96</v>
      </c>
      <c r="B146" s="3" t="s">
        <v>97</v>
      </c>
      <c r="C146" s="3" t="s">
        <v>62</v>
      </c>
      <c r="D146" s="3" t="s">
        <v>63</v>
      </c>
    </row>
    <row r="147" spans="1:4" x14ac:dyDescent="0.3">
      <c r="A147" s="4" t="s">
        <v>180</v>
      </c>
      <c r="B147" s="4" t="s">
        <v>181</v>
      </c>
      <c r="C147" s="4" t="s">
        <v>62</v>
      </c>
      <c r="D147" s="4" t="s">
        <v>63</v>
      </c>
    </row>
    <row r="148" spans="1:4" x14ac:dyDescent="0.3">
      <c r="A148" s="4" t="s">
        <v>248</v>
      </c>
      <c r="B148" s="4" t="s">
        <v>249</v>
      </c>
      <c r="C148" s="4" t="s">
        <v>66</v>
      </c>
      <c r="D148" s="4" t="s">
        <v>44</v>
      </c>
    </row>
    <row r="149" spans="1:4" x14ac:dyDescent="0.3">
      <c r="A149" s="4" t="s">
        <v>315</v>
      </c>
      <c r="B149" s="3" t="s">
        <v>316</v>
      </c>
      <c r="C149" s="3" t="s">
        <v>66</v>
      </c>
      <c r="D149" s="3" t="s">
        <v>44</v>
      </c>
    </row>
    <row r="150" spans="1:4" x14ac:dyDescent="0.3">
      <c r="A150" s="4" t="s">
        <v>79</v>
      </c>
      <c r="B150" s="4" t="s">
        <v>80</v>
      </c>
      <c r="C150" s="4" t="s">
        <v>66</v>
      </c>
      <c r="D150" s="4" t="s">
        <v>44</v>
      </c>
    </row>
    <row r="151" spans="1:4" x14ac:dyDescent="0.3">
      <c r="A151" s="4" t="s">
        <v>155</v>
      </c>
      <c r="B151" s="3" t="s">
        <v>156</v>
      </c>
      <c r="C151" s="3" t="s">
        <v>66</v>
      </c>
      <c r="D151" s="3" t="s">
        <v>44</v>
      </c>
    </row>
    <row r="152" spans="1:4" x14ac:dyDescent="0.3">
      <c r="A152" s="4" t="s">
        <v>300</v>
      </c>
      <c r="B152" s="4" t="s">
        <v>301</v>
      </c>
      <c r="C152" s="4" t="s">
        <v>66</v>
      </c>
      <c r="D152" s="4" t="s">
        <v>15</v>
      </c>
    </row>
    <row r="153" spans="1:4" x14ac:dyDescent="0.3">
      <c r="A153" s="4" t="s">
        <v>412</v>
      </c>
      <c r="B153" s="4" t="s">
        <v>413</v>
      </c>
      <c r="C153" s="4" t="s">
        <v>66</v>
      </c>
      <c r="D153" s="4" t="s">
        <v>15</v>
      </c>
    </row>
    <row r="154" spans="1:4" x14ac:dyDescent="0.3">
      <c r="A154" s="4" t="s">
        <v>388</v>
      </c>
      <c r="B154" s="4" t="s">
        <v>389</v>
      </c>
      <c r="C154" s="4" t="s">
        <v>66</v>
      </c>
      <c r="D154" s="4" t="s">
        <v>15</v>
      </c>
    </row>
    <row r="155" spans="1:4" x14ac:dyDescent="0.3">
      <c r="A155" s="4" t="s">
        <v>390</v>
      </c>
      <c r="B155" s="4" t="s">
        <v>391</v>
      </c>
      <c r="C155" s="4" t="s">
        <v>66</v>
      </c>
      <c r="D155" s="4" t="s">
        <v>67</v>
      </c>
    </row>
    <row r="156" spans="1:4" x14ac:dyDescent="0.3">
      <c r="A156" s="4" t="s">
        <v>402</v>
      </c>
      <c r="B156" s="4" t="s">
        <v>403</v>
      </c>
      <c r="C156" s="4" t="s">
        <v>66</v>
      </c>
      <c r="D156" s="4" t="s">
        <v>93</v>
      </c>
    </row>
    <row r="157" spans="1:4" x14ac:dyDescent="0.3">
      <c r="A157" s="4" t="s">
        <v>396</v>
      </c>
      <c r="B157" s="3" t="s">
        <v>397</v>
      </c>
      <c r="C157" s="3" t="s">
        <v>66</v>
      </c>
      <c r="D157" s="3" t="s">
        <v>93</v>
      </c>
    </row>
    <row r="158" spans="1:4" x14ac:dyDescent="0.3">
      <c r="A158" s="4" t="s">
        <v>140</v>
      </c>
      <c r="B158" s="4" t="s">
        <v>141</v>
      </c>
      <c r="C158" s="4" t="s">
        <v>66</v>
      </c>
      <c r="D158" s="4" t="s">
        <v>93</v>
      </c>
    </row>
    <row r="159" spans="1:4" x14ac:dyDescent="0.3">
      <c r="A159" s="4" t="s">
        <v>64</v>
      </c>
      <c r="B159" s="3" t="s">
        <v>65</v>
      </c>
      <c r="C159" s="3" t="s">
        <v>66</v>
      </c>
      <c r="D159" s="3" t="s">
        <v>67</v>
      </c>
    </row>
    <row r="160" spans="1:4" x14ac:dyDescent="0.3">
      <c r="A160" s="4" t="s">
        <v>404</v>
      </c>
      <c r="B160" s="4" t="s">
        <v>405</v>
      </c>
      <c r="C160" s="4" t="s">
        <v>66</v>
      </c>
      <c r="D160" s="4" t="s">
        <v>67</v>
      </c>
    </row>
    <row r="161" spans="1:4" x14ac:dyDescent="0.3">
      <c r="A161" s="4" t="s">
        <v>216</v>
      </c>
      <c r="B161" s="3" t="s">
        <v>217</v>
      </c>
      <c r="C161" s="3" t="s">
        <v>89</v>
      </c>
      <c r="D161" s="3" t="s">
        <v>131</v>
      </c>
    </row>
    <row r="162" spans="1:4" x14ac:dyDescent="0.3">
      <c r="A162" s="4" t="s">
        <v>209</v>
      </c>
      <c r="B162" s="3" t="s">
        <v>210</v>
      </c>
      <c r="C162" s="3" t="s">
        <v>74</v>
      </c>
      <c r="D162" s="3" t="s">
        <v>211</v>
      </c>
    </row>
    <row r="163" spans="1:4" x14ac:dyDescent="0.3">
      <c r="A163" s="4" t="s">
        <v>161</v>
      </c>
      <c r="B163" s="4" t="s">
        <v>162</v>
      </c>
      <c r="C163" s="4" t="s">
        <v>89</v>
      </c>
      <c r="D163" s="4" t="s">
        <v>90</v>
      </c>
    </row>
    <row r="164" spans="1:4" x14ac:dyDescent="0.3">
      <c r="A164" s="4" t="s">
        <v>166</v>
      </c>
      <c r="B164" s="4" t="s">
        <v>167</v>
      </c>
      <c r="C164" s="4" t="s">
        <v>89</v>
      </c>
      <c r="D164" s="4" t="s">
        <v>121</v>
      </c>
    </row>
    <row r="165" spans="1:4" x14ac:dyDescent="0.3">
      <c r="A165" s="4" t="s">
        <v>243</v>
      </c>
      <c r="B165" s="4" t="s">
        <v>572</v>
      </c>
      <c r="C165" s="4" t="s">
        <v>62</v>
      </c>
      <c r="D165" s="4" t="s">
        <v>190</v>
      </c>
    </row>
    <row r="166" spans="1:4" x14ac:dyDescent="0.3">
      <c r="A166" s="4" t="s">
        <v>229</v>
      </c>
      <c r="B166" s="4" t="s">
        <v>230</v>
      </c>
      <c r="C166" s="4" t="s">
        <v>89</v>
      </c>
      <c r="D166" s="4" t="s">
        <v>90</v>
      </c>
    </row>
    <row r="167" spans="1:4" x14ac:dyDescent="0.3">
      <c r="A167" s="4" t="s">
        <v>244</v>
      </c>
      <c r="B167" s="4" t="s">
        <v>245</v>
      </c>
      <c r="C167" s="4" t="s">
        <v>62</v>
      </c>
      <c r="D167" s="4" t="s">
        <v>63</v>
      </c>
    </row>
    <row r="168" spans="1:4" x14ac:dyDescent="0.3">
      <c r="A168" s="4" t="s">
        <v>408</v>
      </c>
      <c r="B168" s="4" t="s">
        <v>409</v>
      </c>
      <c r="C168" s="4" t="s">
        <v>89</v>
      </c>
      <c r="D168" s="4" t="s">
        <v>90</v>
      </c>
    </row>
    <row r="169" spans="1:4" x14ac:dyDescent="0.3">
      <c r="A169" s="4" t="s">
        <v>159</v>
      </c>
      <c r="B169" s="4" t="s">
        <v>160</v>
      </c>
      <c r="C169" s="4" t="s">
        <v>89</v>
      </c>
      <c r="D169" s="4" t="s">
        <v>90</v>
      </c>
    </row>
    <row r="170" spans="1:4" x14ac:dyDescent="0.3">
      <c r="A170" s="4" t="s">
        <v>98</v>
      </c>
      <c r="B170" s="4" t="s">
        <v>99</v>
      </c>
      <c r="C170" s="4" t="s">
        <v>62</v>
      </c>
      <c r="D170" s="4" t="s">
        <v>100</v>
      </c>
    </row>
    <row r="171" spans="1:4" x14ac:dyDescent="0.3">
      <c r="A171" s="4" t="s">
        <v>329</v>
      </c>
      <c r="B171" s="4" t="s">
        <v>330</v>
      </c>
      <c r="C171" s="4" t="s">
        <v>62</v>
      </c>
      <c r="D171" s="4" t="s">
        <v>190</v>
      </c>
    </row>
    <row r="172" spans="1:4" x14ac:dyDescent="0.3">
      <c r="A172" s="4" t="s">
        <v>109</v>
      </c>
      <c r="B172" s="4" t="s">
        <v>110</v>
      </c>
      <c r="C172" s="4" t="s">
        <v>70</v>
      </c>
      <c r="D172" s="4" t="s">
        <v>111</v>
      </c>
    </row>
    <row r="173" spans="1:4" x14ac:dyDescent="0.3">
      <c r="A173" s="2" t="s">
        <v>171</v>
      </c>
      <c r="B173" t="s">
        <v>172</v>
      </c>
      <c r="C173" t="s">
        <v>62</v>
      </c>
      <c r="D173" t="s">
        <v>100</v>
      </c>
    </row>
    <row r="174" spans="1:4" x14ac:dyDescent="0.3">
      <c r="A174" s="4" t="s">
        <v>353</v>
      </c>
      <c r="B174" s="3" t="s">
        <v>354</v>
      </c>
      <c r="C174" s="3" t="s">
        <v>70</v>
      </c>
      <c r="D174" s="3" t="s">
        <v>18</v>
      </c>
    </row>
    <row r="175" spans="1:4" x14ac:dyDescent="0.3">
      <c r="A175" s="4" t="s">
        <v>173</v>
      </c>
      <c r="B175" s="3" t="s">
        <v>174</v>
      </c>
      <c r="C175" s="3" t="s">
        <v>62</v>
      </c>
      <c r="D175" s="3" t="s">
        <v>100</v>
      </c>
    </row>
    <row r="176" spans="1:4" x14ac:dyDescent="0.3">
      <c r="A176" s="4" t="s">
        <v>185</v>
      </c>
      <c r="B176" s="4" t="s">
        <v>186</v>
      </c>
      <c r="C176" s="5" t="s">
        <v>70</v>
      </c>
      <c r="D176" s="5" t="s">
        <v>18</v>
      </c>
    </row>
    <row r="177" spans="1:4" x14ac:dyDescent="0.3">
      <c r="A177" s="4" t="s">
        <v>178</v>
      </c>
      <c r="B177" s="4" t="s">
        <v>179</v>
      </c>
      <c r="C177" s="5" t="s">
        <v>89</v>
      </c>
      <c r="D177" s="5" t="s">
        <v>121</v>
      </c>
    </row>
    <row r="178" spans="1:4" x14ac:dyDescent="0.3">
      <c r="A178" s="4" t="s">
        <v>125</v>
      </c>
      <c r="B178" s="4" t="s">
        <v>126</v>
      </c>
      <c r="C178" s="5" t="s">
        <v>89</v>
      </c>
      <c r="D178" s="5" t="s">
        <v>121</v>
      </c>
    </row>
    <row r="179" spans="1:4" x14ac:dyDescent="0.3">
      <c r="A179" s="4" t="s">
        <v>261</v>
      </c>
      <c r="B179" s="4" t="s">
        <v>262</v>
      </c>
      <c r="C179" s="5" t="s">
        <v>89</v>
      </c>
      <c r="D179" s="5" t="s">
        <v>90</v>
      </c>
    </row>
    <row r="180" spans="1:4" x14ac:dyDescent="0.3">
      <c r="A180" s="4" t="s">
        <v>338</v>
      </c>
      <c r="B180" s="4" t="s">
        <v>339</v>
      </c>
      <c r="C180" s="5" t="s">
        <v>89</v>
      </c>
      <c r="D180" s="5" t="s">
        <v>165</v>
      </c>
    </row>
    <row r="181" spans="1:4" x14ac:dyDescent="0.3">
      <c r="A181" s="4" t="s">
        <v>268</v>
      </c>
      <c r="B181" s="4" t="s">
        <v>269</v>
      </c>
      <c r="C181" s="5" t="s">
        <v>70</v>
      </c>
      <c r="D181" s="5" t="s">
        <v>111</v>
      </c>
    </row>
    <row r="182" spans="1:4" x14ac:dyDescent="0.3">
      <c r="A182" s="4" t="s">
        <v>380</v>
      </c>
      <c r="B182" s="4" t="s">
        <v>381</v>
      </c>
      <c r="C182" s="5" t="s">
        <v>89</v>
      </c>
      <c r="D182" s="5" t="s">
        <v>370</v>
      </c>
    </row>
    <row r="183" spans="1:4" x14ac:dyDescent="0.3">
      <c r="A183" s="4" t="s">
        <v>366</v>
      </c>
      <c r="B183" s="4" t="s">
        <v>367</v>
      </c>
      <c r="C183" s="5" t="s">
        <v>70</v>
      </c>
      <c r="D183" s="5" t="s">
        <v>18</v>
      </c>
    </row>
    <row r="184" spans="1:4" x14ac:dyDescent="0.3">
      <c r="A184" s="4" t="s">
        <v>440</v>
      </c>
      <c r="B184" s="4" t="s">
        <v>441</v>
      </c>
      <c r="C184" s="5" t="s">
        <v>89</v>
      </c>
      <c r="D184" s="5" t="s">
        <v>370</v>
      </c>
    </row>
    <row r="185" spans="1:4" x14ac:dyDescent="0.3">
      <c r="A185" s="2" t="s">
        <v>524</v>
      </c>
      <c r="B185" s="4" t="s">
        <v>535</v>
      </c>
      <c r="C185" s="4" t="s">
        <v>62</v>
      </c>
      <c r="D185" s="4" t="s">
        <v>100</v>
      </c>
    </row>
    <row r="186" spans="1:4" x14ac:dyDescent="0.3">
      <c r="A186" s="2" t="s">
        <v>531</v>
      </c>
      <c r="B186" s="3" t="s">
        <v>536</v>
      </c>
      <c r="C186" s="3" t="s">
        <v>66</v>
      </c>
      <c r="D186" s="3" t="s">
        <v>15</v>
      </c>
    </row>
    <row r="187" spans="1:4" x14ac:dyDescent="0.3">
      <c r="A187" s="2" t="s">
        <v>142</v>
      </c>
      <c r="B187" s="4" t="s">
        <v>143</v>
      </c>
      <c r="C187" s="4" t="s">
        <v>70</v>
      </c>
      <c r="D187" s="4" t="s">
        <v>108</v>
      </c>
    </row>
    <row r="188" spans="1:4" x14ac:dyDescent="0.3">
      <c r="A188" s="2" t="s">
        <v>529</v>
      </c>
      <c r="B188" s="4" t="s">
        <v>537</v>
      </c>
      <c r="C188" s="4" t="s">
        <v>70</v>
      </c>
      <c r="D188" s="4" t="s">
        <v>71</v>
      </c>
    </row>
    <row r="189" spans="1:4" x14ac:dyDescent="0.3">
      <c r="A189" s="4" t="s">
        <v>528</v>
      </c>
      <c r="B189" s="3" t="s">
        <v>538</v>
      </c>
      <c r="C189" s="3" t="s">
        <v>70</v>
      </c>
      <c r="D189" s="3" t="s">
        <v>71</v>
      </c>
    </row>
    <row r="190" spans="1:4" x14ac:dyDescent="0.3">
      <c r="A190" s="2" t="s">
        <v>520</v>
      </c>
      <c r="B190" s="4" t="s">
        <v>573</v>
      </c>
      <c r="C190" s="4" t="s">
        <v>70</v>
      </c>
      <c r="D190" s="4" t="s">
        <v>71</v>
      </c>
    </row>
    <row r="191" spans="1:4" x14ac:dyDescent="0.3">
      <c r="A191" s="4" t="s">
        <v>101</v>
      </c>
      <c r="B191" s="4" t="s">
        <v>102</v>
      </c>
      <c r="C191" s="4" t="s">
        <v>70</v>
      </c>
      <c r="D191" s="4" t="s">
        <v>71</v>
      </c>
    </row>
    <row r="192" spans="1:4" x14ac:dyDescent="0.3">
      <c r="A192" s="2" t="s">
        <v>231</v>
      </c>
      <c r="B192" s="3" t="s">
        <v>232</v>
      </c>
      <c r="C192" s="3" t="s">
        <v>89</v>
      </c>
      <c r="D192" s="3" t="s">
        <v>131</v>
      </c>
    </row>
    <row r="193" spans="1:4" x14ac:dyDescent="0.3">
      <c r="A193" s="4" t="s">
        <v>530</v>
      </c>
      <c r="B193" s="3" t="s">
        <v>540</v>
      </c>
      <c r="C193" s="3" t="s">
        <v>62</v>
      </c>
      <c r="D193" s="3" t="s">
        <v>190</v>
      </c>
    </row>
    <row r="194" spans="1:4" x14ac:dyDescent="0.3">
      <c r="A194" s="4" t="s">
        <v>346</v>
      </c>
      <c r="B194" s="3" t="s">
        <v>347</v>
      </c>
      <c r="C194" s="3" t="s">
        <v>70</v>
      </c>
      <c r="D194" s="3" t="s">
        <v>71</v>
      </c>
    </row>
    <row r="195" spans="1:4" x14ac:dyDescent="0.3">
      <c r="A195" s="4" t="s">
        <v>526</v>
      </c>
      <c r="B195" s="3" t="s">
        <v>542</v>
      </c>
      <c r="C195" s="3" t="s">
        <v>74</v>
      </c>
      <c r="D195" s="3" t="s">
        <v>83</v>
      </c>
    </row>
    <row r="196" spans="1:4" x14ac:dyDescent="0.3">
      <c r="A196" s="4" t="s">
        <v>527</v>
      </c>
      <c r="B196" s="3" t="s">
        <v>543</v>
      </c>
      <c r="C196" s="3" t="s">
        <v>62</v>
      </c>
      <c r="D196" s="3" t="s">
        <v>574</v>
      </c>
    </row>
    <row r="197" spans="1:4" x14ac:dyDescent="0.3">
      <c r="A197" s="2" t="s">
        <v>521</v>
      </c>
      <c r="B197" s="3" t="s">
        <v>544</v>
      </c>
      <c r="C197" s="3" t="s">
        <v>70</v>
      </c>
      <c r="D197" s="3" t="s">
        <v>111</v>
      </c>
    </row>
    <row r="198" spans="1:4" x14ac:dyDescent="0.3">
      <c r="A198" t="s">
        <v>575</v>
      </c>
      <c r="B198" t="s">
        <v>576</v>
      </c>
      <c r="C198" t="s">
        <v>74</v>
      </c>
      <c r="D198" t="s">
        <v>75</v>
      </c>
    </row>
    <row r="199" spans="1:4" x14ac:dyDescent="0.3">
      <c r="A199" t="s">
        <v>577</v>
      </c>
      <c r="B199" t="s">
        <v>578</v>
      </c>
      <c r="C199" t="s">
        <v>66</v>
      </c>
      <c r="D199" t="s">
        <v>67</v>
      </c>
    </row>
    <row r="200" spans="1:4" x14ac:dyDescent="0.3">
      <c r="A200" t="s">
        <v>545</v>
      </c>
      <c r="B200" t="s">
        <v>519</v>
      </c>
      <c r="C200" t="s">
        <v>66</v>
      </c>
      <c r="D200" t="s">
        <v>15</v>
      </c>
    </row>
    <row r="201" spans="1:4" x14ac:dyDescent="0.3">
      <c r="A201" t="s">
        <v>579</v>
      </c>
      <c r="B201" s="145" t="s">
        <v>580</v>
      </c>
      <c r="C201" t="s">
        <v>62</v>
      </c>
      <c r="D201" t="s">
        <v>190</v>
      </c>
    </row>
  </sheetData>
  <hyperlinks>
    <hyperlink ref="B201" r:id="rId1" xr:uid="{4639259E-7F68-4588-B695-4C7A249AEA4C}"/>
  </hyperlinks>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4296C-ACEB-4DF5-87A8-56ED95F712D8}">
  <sheetPr codeName="Hoja7"/>
  <dimension ref="A1:E65"/>
  <sheetViews>
    <sheetView workbookViewId="0">
      <selection activeCell="B25" sqref="B25"/>
    </sheetView>
  </sheetViews>
  <sheetFormatPr baseColWidth="10" defaultRowHeight="14.4" x14ac:dyDescent="0.3"/>
  <cols>
    <col min="1" max="1" width="25.77734375" bestFit="1" customWidth="1"/>
    <col min="2" max="2" width="109.6640625" bestFit="1" customWidth="1"/>
  </cols>
  <sheetData>
    <row r="1" spans="1:2" ht="15" thickBot="1" x14ac:dyDescent="0.35">
      <c r="A1" s="41" t="s">
        <v>5</v>
      </c>
      <c r="B1" s="40" t="s">
        <v>6</v>
      </c>
    </row>
    <row r="2" spans="1:2" x14ac:dyDescent="0.3">
      <c r="A2" s="126" t="s">
        <v>442</v>
      </c>
      <c r="B2" s="123" t="s">
        <v>0</v>
      </c>
    </row>
    <row r="3" spans="1:2" x14ac:dyDescent="0.3">
      <c r="A3" s="127" t="s">
        <v>442</v>
      </c>
      <c r="B3" s="123" t="s">
        <v>1</v>
      </c>
    </row>
    <row r="4" spans="1:2" x14ac:dyDescent="0.3">
      <c r="A4" s="127" t="s">
        <v>442</v>
      </c>
      <c r="B4" s="123" t="s">
        <v>2</v>
      </c>
    </row>
    <row r="5" spans="1:2" x14ac:dyDescent="0.3">
      <c r="A5" s="127" t="s">
        <v>442</v>
      </c>
      <c r="B5" s="123" t="s">
        <v>3</v>
      </c>
    </row>
    <row r="6" spans="1:2" ht="15" thickBot="1" x14ac:dyDescent="0.35">
      <c r="A6" s="128" t="s">
        <v>442</v>
      </c>
      <c r="B6" s="129" t="s">
        <v>4</v>
      </c>
    </row>
    <row r="7" spans="1:2" x14ac:dyDescent="0.3">
      <c r="A7" s="127" t="s">
        <v>7</v>
      </c>
      <c r="B7" s="123" t="s">
        <v>8</v>
      </c>
    </row>
    <row r="8" spans="1:2" x14ac:dyDescent="0.3">
      <c r="A8" s="127" t="s">
        <v>7</v>
      </c>
      <c r="B8" s="123" t="s">
        <v>9</v>
      </c>
    </row>
    <row r="9" spans="1:2" x14ac:dyDescent="0.3">
      <c r="A9" s="127" t="s">
        <v>7</v>
      </c>
      <c r="B9" s="123" t="s">
        <v>10</v>
      </c>
    </row>
    <row r="10" spans="1:2" ht="15" thickBot="1" x14ac:dyDescent="0.35">
      <c r="A10" s="143" t="s">
        <v>7</v>
      </c>
      <c r="B10" s="129" t="s">
        <v>11</v>
      </c>
    </row>
    <row r="11" spans="1:2" x14ac:dyDescent="0.3">
      <c r="A11" s="126" t="s">
        <v>12</v>
      </c>
      <c r="B11" s="121" t="s">
        <v>13</v>
      </c>
    </row>
    <row r="12" spans="1:2" x14ac:dyDescent="0.3">
      <c r="A12" s="127" t="s">
        <v>12</v>
      </c>
      <c r="B12" s="123" t="s">
        <v>14</v>
      </c>
    </row>
    <row r="13" spans="1:2" x14ac:dyDescent="0.3">
      <c r="A13" s="127" t="s">
        <v>12</v>
      </c>
      <c r="B13" s="123" t="s">
        <v>15</v>
      </c>
    </row>
    <row r="14" spans="1:2" x14ac:dyDescent="0.3">
      <c r="A14" s="127" t="s">
        <v>12</v>
      </c>
      <c r="B14" s="123" t="s">
        <v>16</v>
      </c>
    </row>
    <row r="15" spans="1:2" ht="15" thickBot="1" x14ac:dyDescent="0.35">
      <c r="A15" s="143" t="s">
        <v>12</v>
      </c>
      <c r="B15" s="129" t="s">
        <v>17</v>
      </c>
    </row>
    <row r="16" spans="1:2" x14ac:dyDescent="0.3">
      <c r="A16" s="126" t="s">
        <v>18</v>
      </c>
      <c r="B16" s="25" t="s">
        <v>19</v>
      </c>
    </row>
    <row r="17" spans="1:2" x14ac:dyDescent="0.3">
      <c r="A17" s="127" t="s">
        <v>18</v>
      </c>
      <c r="B17" s="12" t="s">
        <v>20</v>
      </c>
    </row>
    <row r="18" spans="1:2" x14ac:dyDescent="0.3">
      <c r="A18" s="127" t="s">
        <v>18</v>
      </c>
      <c r="B18" s="12" t="s">
        <v>21</v>
      </c>
    </row>
    <row r="19" spans="1:2" x14ac:dyDescent="0.3">
      <c r="A19" s="127" t="s">
        <v>18</v>
      </c>
      <c r="B19" s="12" t="s">
        <v>22</v>
      </c>
    </row>
    <row r="20" spans="1:2" x14ac:dyDescent="0.3">
      <c r="A20" s="127" t="s">
        <v>18</v>
      </c>
      <c r="B20" s="12" t="s">
        <v>23</v>
      </c>
    </row>
    <row r="21" spans="1:2" x14ac:dyDescent="0.3">
      <c r="A21" s="127" t="s">
        <v>18</v>
      </c>
      <c r="B21" s="12" t="s">
        <v>463</v>
      </c>
    </row>
    <row r="22" spans="1:2" x14ac:dyDescent="0.3">
      <c r="A22" s="127" t="s">
        <v>18</v>
      </c>
      <c r="B22" s="12" t="s">
        <v>464</v>
      </c>
    </row>
    <row r="23" spans="1:2" x14ac:dyDescent="0.3">
      <c r="A23" s="127" t="s">
        <v>18</v>
      </c>
      <c r="B23" s="12" t="s">
        <v>465</v>
      </c>
    </row>
    <row r="24" spans="1:2" ht="15" thickBot="1" x14ac:dyDescent="0.35">
      <c r="A24" s="127" t="s">
        <v>18</v>
      </c>
      <c r="B24" s="32" t="s">
        <v>466</v>
      </c>
    </row>
    <row r="25" spans="1:2" x14ac:dyDescent="0.3">
      <c r="A25" s="126" t="s">
        <v>24</v>
      </c>
      <c r="B25" s="121" t="s">
        <v>25</v>
      </c>
    </row>
    <row r="26" spans="1:2" x14ac:dyDescent="0.3">
      <c r="A26" s="127" t="s">
        <v>24</v>
      </c>
      <c r="B26" s="123" t="s">
        <v>26</v>
      </c>
    </row>
    <row r="27" spans="1:2" x14ac:dyDescent="0.3">
      <c r="A27" s="127" t="s">
        <v>24</v>
      </c>
      <c r="B27" s="123" t="s">
        <v>27</v>
      </c>
    </row>
    <row r="28" spans="1:2" x14ac:dyDescent="0.3">
      <c r="A28" s="127" t="s">
        <v>24</v>
      </c>
      <c r="B28" s="123" t="s">
        <v>28</v>
      </c>
    </row>
    <row r="29" spans="1:2" ht="15" thickBot="1" x14ac:dyDescent="0.35">
      <c r="A29" s="143" t="s">
        <v>24</v>
      </c>
      <c r="B29" s="123" t="s">
        <v>458</v>
      </c>
    </row>
    <row r="30" spans="1:2" x14ac:dyDescent="0.3">
      <c r="A30" s="120" t="s">
        <v>29</v>
      </c>
      <c r="B30" s="121" t="s">
        <v>30</v>
      </c>
    </row>
    <row r="31" spans="1:2" x14ac:dyDescent="0.3">
      <c r="A31" s="122" t="s">
        <v>29</v>
      </c>
      <c r="B31" s="123" t="s">
        <v>31</v>
      </c>
    </row>
    <row r="32" spans="1:2" ht="15" thickBot="1" x14ac:dyDescent="0.35">
      <c r="A32" s="122" t="s">
        <v>29</v>
      </c>
      <c r="B32" s="123" t="s">
        <v>532</v>
      </c>
    </row>
    <row r="33" spans="1:5" x14ac:dyDescent="0.3">
      <c r="A33" s="120" t="s">
        <v>32</v>
      </c>
      <c r="B33" s="121" t="s">
        <v>33</v>
      </c>
    </row>
    <row r="34" spans="1:5" x14ac:dyDescent="0.3">
      <c r="A34" s="122" t="s">
        <v>32</v>
      </c>
      <c r="B34" s="123" t="s">
        <v>34</v>
      </c>
    </row>
    <row r="35" spans="1:5" x14ac:dyDescent="0.3">
      <c r="A35" s="122" t="s">
        <v>32</v>
      </c>
      <c r="B35" s="123" t="s">
        <v>35</v>
      </c>
    </row>
    <row r="36" spans="1:5" ht="15" thickBot="1" x14ac:dyDescent="0.35">
      <c r="A36" s="144" t="s">
        <v>32</v>
      </c>
      <c r="B36" s="129" t="s">
        <v>36</v>
      </c>
    </row>
    <row r="37" spans="1:5" x14ac:dyDescent="0.3">
      <c r="A37" s="122" t="s">
        <v>37</v>
      </c>
      <c r="B37" s="121" t="s">
        <v>38</v>
      </c>
    </row>
    <row r="38" spans="1:5" x14ac:dyDescent="0.3">
      <c r="A38" s="122" t="s">
        <v>37</v>
      </c>
      <c r="B38" s="123" t="s">
        <v>39</v>
      </c>
    </row>
    <row r="39" spans="1:5" x14ac:dyDescent="0.3">
      <c r="A39" s="122" t="s">
        <v>37</v>
      </c>
      <c r="B39" s="123" t="s">
        <v>40</v>
      </c>
    </row>
    <row r="40" spans="1:5" x14ac:dyDescent="0.3">
      <c r="A40" s="122" t="s">
        <v>37</v>
      </c>
      <c r="B40" s="123" t="s">
        <v>41</v>
      </c>
    </row>
    <row r="41" spans="1:5" ht="15" thickBot="1" x14ac:dyDescent="0.35">
      <c r="A41" s="144" t="s">
        <v>37</v>
      </c>
      <c r="B41" s="129" t="s">
        <v>42</v>
      </c>
    </row>
    <row r="42" spans="1:5" x14ac:dyDescent="0.3">
      <c r="A42" s="120" t="s">
        <v>43</v>
      </c>
      <c r="B42" s="148" t="s">
        <v>47</v>
      </c>
    </row>
    <row r="43" spans="1:5" x14ac:dyDescent="0.3">
      <c r="A43" s="122" t="s">
        <v>43</v>
      </c>
      <c r="B43" s="149" t="s">
        <v>46</v>
      </c>
    </row>
    <row r="44" spans="1:5" x14ac:dyDescent="0.3">
      <c r="A44" s="122" t="s">
        <v>43</v>
      </c>
      <c r="B44" s="149" t="s">
        <v>48</v>
      </c>
    </row>
    <row r="45" spans="1:5" x14ac:dyDescent="0.3">
      <c r="A45" s="122" t="s">
        <v>43</v>
      </c>
      <c r="B45" s="149" t="s">
        <v>455</v>
      </c>
      <c r="E45" s="1"/>
    </row>
    <row r="46" spans="1:5" x14ac:dyDescent="0.3">
      <c r="A46" s="122" t="s">
        <v>43</v>
      </c>
      <c r="B46" s="149" t="s">
        <v>49</v>
      </c>
      <c r="E46" s="1"/>
    </row>
    <row r="47" spans="1:5" x14ac:dyDescent="0.3">
      <c r="A47" s="122" t="s">
        <v>43</v>
      </c>
      <c r="B47" s="149" t="s">
        <v>50</v>
      </c>
      <c r="E47" s="1"/>
    </row>
    <row r="48" spans="1:5" x14ac:dyDescent="0.3">
      <c r="A48" s="122" t="s">
        <v>43</v>
      </c>
      <c r="B48" s="149" t="s">
        <v>51</v>
      </c>
      <c r="E48" s="1"/>
    </row>
    <row r="49" spans="1:5" x14ac:dyDescent="0.3">
      <c r="A49" s="150" t="s">
        <v>43</v>
      </c>
      <c r="B49" s="151" t="s">
        <v>52</v>
      </c>
      <c r="E49" s="1"/>
    </row>
    <row r="50" spans="1:5" x14ac:dyDescent="0.3">
      <c r="A50" s="150" t="s">
        <v>43</v>
      </c>
      <c r="B50" s="151" t="s">
        <v>460</v>
      </c>
      <c r="E50" s="1"/>
    </row>
    <row r="51" spans="1:5" x14ac:dyDescent="0.3">
      <c r="A51" s="150" t="s">
        <v>43</v>
      </c>
      <c r="B51" s="151" t="s">
        <v>461</v>
      </c>
      <c r="E51" s="1"/>
    </row>
    <row r="52" spans="1:5" ht="15" thickBot="1" x14ac:dyDescent="0.35">
      <c r="A52" s="150" t="s">
        <v>43</v>
      </c>
      <c r="B52" s="152" t="s">
        <v>462</v>
      </c>
      <c r="E52" s="1"/>
    </row>
    <row r="53" spans="1:5" x14ac:dyDescent="0.3">
      <c r="A53" s="120" t="s">
        <v>44</v>
      </c>
      <c r="B53" s="148" t="s">
        <v>443</v>
      </c>
      <c r="E53" s="1"/>
    </row>
    <row r="54" spans="1:5" x14ac:dyDescent="0.3">
      <c r="A54" s="122" t="s">
        <v>44</v>
      </c>
      <c r="B54" s="149" t="s">
        <v>444</v>
      </c>
      <c r="E54" s="1"/>
    </row>
    <row r="55" spans="1:5" x14ac:dyDescent="0.3">
      <c r="A55" s="122" t="s">
        <v>44</v>
      </c>
      <c r="B55" s="149" t="s">
        <v>445</v>
      </c>
      <c r="E55" s="1"/>
    </row>
    <row r="56" spans="1:5" x14ac:dyDescent="0.3">
      <c r="A56" s="122" t="s">
        <v>44</v>
      </c>
      <c r="B56" s="149" t="s">
        <v>446</v>
      </c>
      <c r="E56" s="1"/>
    </row>
    <row r="57" spans="1:5" x14ac:dyDescent="0.3">
      <c r="A57" s="122" t="s">
        <v>44</v>
      </c>
      <c r="B57" s="149" t="s">
        <v>447</v>
      </c>
      <c r="E57" s="1"/>
    </row>
    <row r="58" spans="1:5" x14ac:dyDescent="0.3">
      <c r="A58" s="122" t="s">
        <v>44</v>
      </c>
      <c r="B58" s="149" t="s">
        <v>448</v>
      </c>
      <c r="E58" s="1"/>
    </row>
    <row r="59" spans="1:5" ht="15" thickBot="1" x14ac:dyDescent="0.35">
      <c r="A59" s="144" t="s">
        <v>44</v>
      </c>
      <c r="B59" s="153" t="s">
        <v>449</v>
      </c>
    </row>
    <row r="60" spans="1:5" x14ac:dyDescent="0.3">
      <c r="A60" s="120" t="s">
        <v>45</v>
      </c>
      <c r="B60" s="148" t="s">
        <v>450</v>
      </c>
    </row>
    <row r="61" spans="1:5" x14ac:dyDescent="0.3">
      <c r="A61" s="122" t="s">
        <v>45</v>
      </c>
      <c r="B61" s="149" t="s">
        <v>53</v>
      </c>
    </row>
    <row r="62" spans="1:5" x14ac:dyDescent="0.3">
      <c r="A62" s="122" t="s">
        <v>45</v>
      </c>
      <c r="B62" s="149" t="s">
        <v>54</v>
      </c>
    </row>
    <row r="63" spans="1:5" x14ac:dyDescent="0.3">
      <c r="A63" s="122" t="s">
        <v>45</v>
      </c>
      <c r="B63" s="149" t="s">
        <v>55</v>
      </c>
    </row>
    <row r="64" spans="1:5" ht="15" thickBot="1" x14ac:dyDescent="0.35">
      <c r="A64" s="144" t="s">
        <v>45</v>
      </c>
      <c r="B64" s="153" t="s">
        <v>56</v>
      </c>
    </row>
    <row r="65" spans="1:1" x14ac:dyDescent="0.3">
      <c r="A65"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99713-F407-40FB-B87A-481201E47398}">
  <sheetPr codeName="Hoja14"/>
  <dimension ref="A1:Q90"/>
  <sheetViews>
    <sheetView topLeftCell="B1" zoomScale="85" zoomScaleNormal="85" workbookViewId="0">
      <selection activeCell="F3" sqref="B3:F3"/>
    </sheetView>
  </sheetViews>
  <sheetFormatPr baseColWidth="10" defaultRowHeight="14.4" x14ac:dyDescent="0.3"/>
  <cols>
    <col min="1" max="1" width="30.77734375" bestFit="1" customWidth="1"/>
    <col min="2" max="2" width="113.44140625" bestFit="1" customWidth="1"/>
    <col min="3" max="4" width="12.5546875" bestFit="1" customWidth="1"/>
    <col min="10" max="10" width="24.5546875" bestFit="1" customWidth="1"/>
    <col min="11" max="11" width="20.88671875" bestFit="1" customWidth="1"/>
    <col min="12" max="12" width="12.5546875" bestFit="1" customWidth="1"/>
    <col min="16" max="16" width="15.109375" customWidth="1"/>
  </cols>
  <sheetData>
    <row r="1" spans="1:17" x14ac:dyDescent="0.3">
      <c r="A1" s="10" t="s">
        <v>5</v>
      </c>
      <c r="B1" s="10">
        <v>2021</v>
      </c>
      <c r="C1" s="10">
        <v>2022</v>
      </c>
      <c r="D1" s="11">
        <v>2023</v>
      </c>
      <c r="E1" s="11" t="s">
        <v>454</v>
      </c>
      <c r="F1" s="10" t="s">
        <v>459</v>
      </c>
      <c r="K1" s="178"/>
      <c r="L1" s="178"/>
      <c r="M1" s="178"/>
      <c r="N1" s="178"/>
      <c r="O1" s="178"/>
      <c r="P1" s="178"/>
      <c r="Q1" s="43"/>
    </row>
    <row r="2" spans="1:17" x14ac:dyDescent="0.3">
      <c r="A2" t="s">
        <v>442</v>
      </c>
      <c r="B2" s="33">
        <v>4.08</v>
      </c>
      <c r="C2" s="16">
        <v>4.2089999999999996</v>
      </c>
      <c r="D2" s="16">
        <v>4.1479269326947801</v>
      </c>
      <c r="E2" s="17">
        <v>4.459961334961335</v>
      </c>
      <c r="F2" s="107" t="s">
        <v>505</v>
      </c>
      <c r="K2" s="178"/>
      <c r="L2" s="178"/>
      <c r="M2" s="178"/>
      <c r="N2" s="178"/>
      <c r="O2" s="178"/>
      <c r="P2" s="178"/>
    </row>
    <row r="3" spans="1:17" x14ac:dyDescent="0.3">
      <c r="A3" s="7" t="s">
        <v>7</v>
      </c>
      <c r="B3" s="35">
        <v>4.04</v>
      </c>
      <c r="C3" s="17">
        <v>4.0017261950955501</v>
      </c>
      <c r="D3" s="15">
        <v>4.0752781320728761</v>
      </c>
      <c r="E3" s="17">
        <v>4.2711554050489013</v>
      </c>
      <c r="F3" s="6">
        <v>4.2629999999999999</v>
      </c>
    </row>
    <row r="4" spans="1:17" x14ac:dyDescent="0.3">
      <c r="A4" s="6" t="s">
        <v>12</v>
      </c>
      <c r="B4" s="17">
        <v>4.04</v>
      </c>
      <c r="C4" s="16">
        <v>4.0279999999999996</v>
      </c>
      <c r="D4" s="16">
        <v>4.1596872565260501</v>
      </c>
      <c r="E4" s="17">
        <v>4.1929999999999996</v>
      </c>
      <c r="F4" s="6" t="s">
        <v>505</v>
      </c>
    </row>
    <row r="5" spans="1:17" x14ac:dyDescent="0.3">
      <c r="A5" s="6" t="s">
        <v>18</v>
      </c>
      <c r="B5" s="17">
        <v>4.04</v>
      </c>
      <c r="C5" s="16">
        <v>3.9769999999999999</v>
      </c>
      <c r="D5" s="16">
        <v>3.9620000000000002</v>
      </c>
      <c r="E5" s="17">
        <v>4.0529999999999999</v>
      </c>
      <c r="F5" s="6" t="s">
        <v>505</v>
      </c>
    </row>
    <row r="6" spans="1:17" x14ac:dyDescent="0.3">
      <c r="A6" s="6" t="s">
        <v>24</v>
      </c>
      <c r="B6" s="15">
        <v>3.79</v>
      </c>
      <c r="C6" s="16">
        <v>3.992</v>
      </c>
      <c r="D6" s="16">
        <v>3.7909999999999999</v>
      </c>
      <c r="E6" s="17">
        <v>4.0410000000000004</v>
      </c>
      <c r="F6" s="6" t="s">
        <v>505</v>
      </c>
      <c r="K6" t="s">
        <v>506</v>
      </c>
      <c r="M6" s="177" t="s">
        <v>509</v>
      </c>
      <c r="N6" s="177"/>
      <c r="O6" s="177"/>
      <c r="P6" s="177"/>
    </row>
    <row r="7" spans="1:17" x14ac:dyDescent="0.3">
      <c r="A7" s="42" t="s">
        <v>29</v>
      </c>
      <c r="B7" s="13"/>
      <c r="C7" s="9"/>
      <c r="D7" s="16">
        <v>4.1672365050659206</v>
      </c>
      <c r="E7" s="17">
        <v>4.2439999999999998</v>
      </c>
      <c r="F7" s="6" t="s">
        <v>505</v>
      </c>
      <c r="K7" s="110">
        <f>COUNT(B2:J2)+2</f>
        <v>6</v>
      </c>
      <c r="L7" s="108" t="s">
        <v>507</v>
      </c>
      <c r="M7" t="s">
        <v>508</v>
      </c>
    </row>
    <row r="8" spans="1:17" x14ac:dyDescent="0.3">
      <c r="A8" s="42" t="s">
        <v>32</v>
      </c>
      <c r="B8" s="13"/>
      <c r="C8" s="14"/>
      <c r="D8" s="16">
        <v>4.2511088144452396</v>
      </c>
      <c r="E8" s="17">
        <v>4.407</v>
      </c>
      <c r="F8" s="6" t="s">
        <v>505</v>
      </c>
      <c r="M8" t="s">
        <v>515</v>
      </c>
    </row>
    <row r="9" spans="1:17" x14ac:dyDescent="0.3">
      <c r="A9" s="8" t="s">
        <v>37</v>
      </c>
      <c r="B9" s="15">
        <v>4.05</v>
      </c>
      <c r="C9" s="16">
        <v>4.0069999999999997</v>
      </c>
      <c r="D9" s="16">
        <v>4.2982698234860868</v>
      </c>
      <c r="E9" s="17">
        <v>4.5289999999999999</v>
      </c>
      <c r="F9" s="6" t="s">
        <v>505</v>
      </c>
    </row>
    <row r="10" spans="1:17" x14ac:dyDescent="0.3">
      <c r="A10" s="8" t="s">
        <v>43</v>
      </c>
      <c r="B10" s="15">
        <v>3.95</v>
      </c>
      <c r="C10" s="17">
        <v>3.94</v>
      </c>
      <c r="D10" s="16">
        <v>4.0357264843108247</v>
      </c>
      <c r="E10" s="17">
        <v>4.1500000000000004</v>
      </c>
      <c r="F10" s="6" t="s">
        <v>505</v>
      </c>
    </row>
    <row r="11" spans="1:17" x14ac:dyDescent="0.3">
      <c r="A11" s="8" t="s">
        <v>44</v>
      </c>
      <c r="B11" s="15">
        <v>3.31</v>
      </c>
      <c r="C11" s="36">
        <v>2.956</v>
      </c>
      <c r="D11" s="37">
        <v>3.4390229852995589</v>
      </c>
      <c r="E11" s="17">
        <v>3.5390000000000001</v>
      </c>
      <c r="F11" s="6" t="s">
        <v>505</v>
      </c>
    </row>
    <row r="12" spans="1:17" x14ac:dyDescent="0.3">
      <c r="A12" s="42" t="s">
        <v>45</v>
      </c>
      <c r="B12" s="15">
        <v>3.78</v>
      </c>
      <c r="C12" s="16">
        <v>3.8526097324413793</v>
      </c>
      <c r="D12" s="16">
        <v>3.8410000000000002</v>
      </c>
      <c r="E12" s="17">
        <v>4.1269999999999998</v>
      </c>
      <c r="F12" s="6" t="s">
        <v>505</v>
      </c>
      <c r="M12" s="43" t="s">
        <v>510</v>
      </c>
    </row>
    <row r="13" spans="1:17" x14ac:dyDescent="0.3">
      <c r="M13" s="43" t="s">
        <v>511</v>
      </c>
    </row>
    <row r="14" spans="1:17" x14ac:dyDescent="0.3">
      <c r="M14" s="43" t="s">
        <v>512</v>
      </c>
    </row>
    <row r="16" spans="1:17" x14ac:dyDescent="0.3">
      <c r="K16" s="109" t="s">
        <v>505</v>
      </c>
      <c r="L16" s="108" t="s">
        <v>514</v>
      </c>
      <c r="M16" t="s">
        <v>513</v>
      </c>
    </row>
    <row r="18" spans="1:16" x14ac:dyDescent="0.3">
      <c r="B18" s="176" t="s">
        <v>456</v>
      </c>
    </row>
    <row r="19" spans="1:16" x14ac:dyDescent="0.3">
      <c r="B19" s="176"/>
    </row>
    <row r="26" spans="1:16" x14ac:dyDescent="0.3">
      <c r="K26" t="s">
        <v>506</v>
      </c>
      <c r="M26" s="177" t="s">
        <v>509</v>
      </c>
      <c r="N26" s="177"/>
      <c r="O26" s="177"/>
      <c r="P26" s="177"/>
    </row>
    <row r="27" spans="1:16" ht="15" thickBot="1" x14ac:dyDescent="0.35">
      <c r="A27" s="20" t="s">
        <v>5</v>
      </c>
      <c r="B27" s="20" t="s">
        <v>452</v>
      </c>
      <c r="C27" s="21">
        <v>2022</v>
      </c>
      <c r="D27" s="22">
        <v>2023</v>
      </c>
      <c r="E27" s="22" t="s">
        <v>454</v>
      </c>
      <c r="F27" s="20" t="s">
        <v>459</v>
      </c>
      <c r="K27" s="110">
        <f>COUNT(C28:J28)+2</f>
        <v>4</v>
      </c>
      <c r="L27" s="108" t="s">
        <v>507</v>
      </c>
      <c r="M27" t="s">
        <v>508</v>
      </c>
    </row>
    <row r="28" spans="1:16" x14ac:dyDescent="0.3">
      <c r="A28" s="12" t="s">
        <v>12</v>
      </c>
      <c r="B28" s="12" t="s">
        <v>13</v>
      </c>
      <c r="C28" s="12"/>
      <c r="D28" s="27">
        <v>4.1764705882352944</v>
      </c>
      <c r="E28" s="25">
        <v>4.2169999999999996</v>
      </c>
      <c r="F28" s="19" t="s">
        <v>505</v>
      </c>
      <c r="M28" t="s">
        <v>515</v>
      </c>
    </row>
    <row r="29" spans="1:16" x14ac:dyDescent="0.3">
      <c r="A29" s="12" t="s">
        <v>12</v>
      </c>
      <c r="B29" s="12" t="s">
        <v>14</v>
      </c>
      <c r="C29" s="31">
        <v>4.0340909090909092</v>
      </c>
      <c r="D29" s="27">
        <v>4.1862170087976542</v>
      </c>
      <c r="E29" s="12">
        <v>4.2370000000000001</v>
      </c>
      <c r="F29" t="s">
        <v>505</v>
      </c>
    </row>
    <row r="30" spans="1:16" x14ac:dyDescent="0.3">
      <c r="A30" s="12" t="s">
        <v>12</v>
      </c>
      <c r="B30" s="12" t="s">
        <v>15</v>
      </c>
      <c r="C30" s="31">
        <v>4.2320945945945949</v>
      </c>
      <c r="D30" s="27">
        <v>4.3283208020050132</v>
      </c>
      <c r="E30" s="27">
        <v>4.32</v>
      </c>
      <c r="F30" t="s">
        <v>505</v>
      </c>
    </row>
    <row r="31" spans="1:16" x14ac:dyDescent="0.3">
      <c r="A31" s="12" t="s">
        <v>12</v>
      </c>
      <c r="B31" s="12" t="s">
        <v>16</v>
      </c>
      <c r="C31" s="31">
        <v>3.8463438735177862</v>
      </c>
      <c r="D31" s="27">
        <v>4.0620192307692307</v>
      </c>
      <c r="E31" s="12">
        <v>4.0940000000000003</v>
      </c>
      <c r="F31" t="s">
        <v>505</v>
      </c>
    </row>
    <row r="32" spans="1:16" ht="15" thickBot="1" x14ac:dyDescent="0.35">
      <c r="A32" s="32" t="s">
        <v>12</v>
      </c>
      <c r="B32" s="32" t="s">
        <v>17</v>
      </c>
      <c r="C32" s="34">
        <v>3.9649122807017543</v>
      </c>
      <c r="D32" s="29">
        <v>4.0443037974683538</v>
      </c>
      <c r="E32" s="32">
        <v>4.0949999999999998</v>
      </c>
      <c r="F32" s="18" t="s">
        <v>505</v>
      </c>
    </row>
    <row r="33" spans="1:6" x14ac:dyDescent="0.3">
      <c r="A33" s="25" t="s">
        <v>18</v>
      </c>
      <c r="B33" s="25" t="s">
        <v>19</v>
      </c>
      <c r="C33" s="30">
        <v>4.140625</v>
      </c>
      <c r="D33" s="24">
        <v>4.2910256410256409</v>
      </c>
      <c r="E33" s="25">
        <v>4.2220000000000004</v>
      </c>
      <c r="F33" s="19" t="s">
        <v>505</v>
      </c>
    </row>
    <row r="34" spans="1:6" x14ac:dyDescent="0.3">
      <c r="A34" s="12" t="s">
        <v>18</v>
      </c>
      <c r="B34" s="12" t="s">
        <v>20</v>
      </c>
      <c r="C34" s="31">
        <v>3.959090909090909</v>
      </c>
      <c r="D34" s="27">
        <v>4.0384068278805119</v>
      </c>
      <c r="E34" s="12">
        <v>3.9769999999999999</v>
      </c>
      <c r="F34" t="s">
        <v>505</v>
      </c>
    </row>
    <row r="35" spans="1:6" x14ac:dyDescent="0.3">
      <c r="A35" s="12" t="s">
        <v>18</v>
      </c>
      <c r="B35" s="12" t="s">
        <v>21</v>
      </c>
      <c r="C35" s="31">
        <v>4.0330086580086579</v>
      </c>
      <c r="D35" s="27">
        <v>4.125</v>
      </c>
      <c r="E35" s="27">
        <v>4.1500000000000004</v>
      </c>
      <c r="F35" t="s">
        <v>505</v>
      </c>
    </row>
    <row r="36" spans="1:6" x14ac:dyDescent="0.3">
      <c r="A36" s="12" t="s">
        <v>18</v>
      </c>
      <c r="B36" s="12" t="s">
        <v>22</v>
      </c>
      <c r="C36" s="108"/>
      <c r="D36" s="108"/>
      <c r="E36" s="12">
        <v>4.133</v>
      </c>
      <c r="F36" t="s">
        <v>505</v>
      </c>
    </row>
    <row r="37" spans="1:6" x14ac:dyDescent="0.3">
      <c r="A37" s="12" t="s">
        <v>18</v>
      </c>
      <c r="B37" s="12" t="s">
        <v>23</v>
      </c>
      <c r="C37" s="108"/>
      <c r="E37" s="12">
        <v>3.8969999999999998</v>
      </c>
      <c r="F37" t="s">
        <v>505</v>
      </c>
    </row>
    <row r="38" spans="1:6" x14ac:dyDescent="0.3">
      <c r="A38" s="12" t="s">
        <v>18</v>
      </c>
      <c r="B38" s="12" t="s">
        <v>463</v>
      </c>
      <c r="C38" s="108"/>
      <c r="D38" s="108"/>
      <c r="E38" s="12">
        <v>4.1609999999999996</v>
      </c>
      <c r="F38" t="s">
        <v>505</v>
      </c>
    </row>
    <row r="39" spans="1:6" x14ac:dyDescent="0.3">
      <c r="A39" s="12" t="s">
        <v>18</v>
      </c>
      <c r="B39" s="12" t="s">
        <v>464</v>
      </c>
      <c r="C39" s="108"/>
      <c r="D39" s="108"/>
      <c r="E39" s="108"/>
      <c r="F39" t="s">
        <v>505</v>
      </c>
    </row>
    <row r="40" spans="1:6" x14ac:dyDescent="0.3">
      <c r="A40" s="12" t="s">
        <v>18</v>
      </c>
      <c r="B40" s="12" t="s">
        <v>465</v>
      </c>
      <c r="C40" s="108"/>
      <c r="D40" s="108"/>
      <c r="E40" s="108"/>
      <c r="F40" t="s">
        <v>505</v>
      </c>
    </row>
    <row r="41" spans="1:6" ht="15" thickBot="1" x14ac:dyDescent="0.35">
      <c r="A41" s="32" t="s">
        <v>18</v>
      </c>
      <c r="B41" s="32" t="s">
        <v>466</v>
      </c>
      <c r="C41" s="111"/>
      <c r="D41" s="111"/>
      <c r="E41" s="111"/>
      <c r="F41" s="18" t="s">
        <v>505</v>
      </c>
    </row>
    <row r="42" spans="1:6" x14ac:dyDescent="0.3">
      <c r="A42" s="12" t="s">
        <v>442</v>
      </c>
      <c r="B42" s="12" t="s">
        <v>0</v>
      </c>
      <c r="C42" s="31">
        <v>4.2670668953687825</v>
      </c>
      <c r="D42" s="27">
        <v>4.1010101010101003</v>
      </c>
      <c r="E42" s="25">
        <v>4.4809999999999999</v>
      </c>
      <c r="F42" s="19" t="s">
        <v>505</v>
      </c>
    </row>
    <row r="43" spans="1:6" x14ac:dyDescent="0.3">
      <c r="A43" s="12" t="s">
        <v>442</v>
      </c>
      <c r="B43" s="12" t="s">
        <v>1</v>
      </c>
      <c r="C43" s="31">
        <v>3.9935141509433962</v>
      </c>
      <c r="D43" s="27">
        <v>4.2103174603174605</v>
      </c>
      <c r="E43" s="12">
        <v>4.4820000000000002</v>
      </c>
      <c r="F43" t="s">
        <v>505</v>
      </c>
    </row>
    <row r="44" spans="1:6" x14ac:dyDescent="0.3">
      <c r="A44" s="12" t="s">
        <v>442</v>
      </c>
      <c r="B44" s="12" t="s">
        <v>2</v>
      </c>
      <c r="C44" s="31">
        <v>3.9239926739926738</v>
      </c>
      <c r="D44" s="27">
        <v>4.1768632753084329</v>
      </c>
      <c r="E44" s="12">
        <v>4.4720000000000004</v>
      </c>
      <c r="F44" t="s">
        <v>505</v>
      </c>
    </row>
    <row r="45" spans="1:6" x14ac:dyDescent="0.3">
      <c r="A45" s="12" t="s">
        <v>442</v>
      </c>
      <c r="B45" s="12" t="s">
        <v>3</v>
      </c>
      <c r="C45" s="31">
        <v>3.7519181585677748</v>
      </c>
      <c r="D45" s="27">
        <v>4.0061094819159333</v>
      </c>
      <c r="E45" s="12">
        <v>4.327</v>
      </c>
      <c r="F45" t="s">
        <v>505</v>
      </c>
    </row>
    <row r="46" spans="1:6" ht="15" thickBot="1" x14ac:dyDescent="0.35">
      <c r="A46" s="32" t="s">
        <v>442</v>
      </c>
      <c r="B46" s="32" t="s">
        <v>4</v>
      </c>
      <c r="C46" s="34">
        <v>3.7218693284936482</v>
      </c>
      <c r="D46" s="29">
        <v>4.246031746031746</v>
      </c>
      <c r="E46" s="32">
        <v>4.5369999999999999</v>
      </c>
      <c r="F46" s="18" t="s">
        <v>505</v>
      </c>
    </row>
    <row r="47" spans="1:6" x14ac:dyDescent="0.3">
      <c r="A47" s="25" t="s">
        <v>24</v>
      </c>
      <c r="B47" s="25" t="s">
        <v>25</v>
      </c>
      <c r="C47" s="30">
        <v>3.7090077410274453</v>
      </c>
      <c r="D47" s="24">
        <v>3.5793749999999998</v>
      </c>
      <c r="E47" s="24">
        <v>4.3849999999999998</v>
      </c>
      <c r="F47" s="19" t="s">
        <v>505</v>
      </c>
    </row>
    <row r="48" spans="1:6" x14ac:dyDescent="0.3">
      <c r="A48" s="12" t="s">
        <v>24</v>
      </c>
      <c r="B48" s="12" t="s">
        <v>26</v>
      </c>
      <c r="C48" s="31">
        <v>3.8807977736549164</v>
      </c>
      <c r="D48" s="27">
        <v>3.8450226244343888</v>
      </c>
      <c r="E48" s="27">
        <v>4.2720000000000002</v>
      </c>
      <c r="F48" t="s">
        <v>505</v>
      </c>
    </row>
    <row r="49" spans="1:6" x14ac:dyDescent="0.3">
      <c r="A49" s="12" t="s">
        <v>24</v>
      </c>
      <c r="B49" s="12" t="s">
        <v>27</v>
      </c>
      <c r="C49" s="108"/>
      <c r="D49" s="27">
        <v>3.8673076923076923</v>
      </c>
      <c r="E49" s="27">
        <v>4.1879999999999997</v>
      </c>
      <c r="F49" t="s">
        <v>505</v>
      </c>
    </row>
    <row r="50" spans="1:6" x14ac:dyDescent="0.3">
      <c r="A50" s="12" t="s">
        <v>24</v>
      </c>
      <c r="B50" s="12" t="s">
        <v>28</v>
      </c>
      <c r="C50" s="108"/>
      <c r="D50" s="27">
        <v>3.875</v>
      </c>
      <c r="E50" s="27">
        <v>4.1589999999999998</v>
      </c>
      <c r="F50" t="s">
        <v>505</v>
      </c>
    </row>
    <row r="51" spans="1:6" ht="15" thickBot="1" x14ac:dyDescent="0.35">
      <c r="A51" s="32" t="s">
        <v>24</v>
      </c>
      <c r="B51" s="32" t="s">
        <v>458</v>
      </c>
      <c r="C51" s="111"/>
      <c r="D51" s="29"/>
      <c r="E51" s="29"/>
      <c r="F51" s="18"/>
    </row>
    <row r="52" spans="1:6" x14ac:dyDescent="0.3">
      <c r="A52" s="124" t="s">
        <v>29</v>
      </c>
      <c r="B52" s="12" t="s">
        <v>30</v>
      </c>
      <c r="C52" s="12"/>
      <c r="D52" s="27">
        <v>4.2166666666666668</v>
      </c>
      <c r="E52" s="27">
        <v>4.4042553191489358</v>
      </c>
      <c r="F52" t="s">
        <v>505</v>
      </c>
    </row>
    <row r="53" spans="1:6" x14ac:dyDescent="0.3">
      <c r="A53" s="124" t="s">
        <v>29</v>
      </c>
      <c r="B53" s="12" t="s">
        <v>31</v>
      </c>
      <c r="C53" s="12"/>
      <c r="D53" s="27">
        <v>4.2857142857142856</v>
      </c>
      <c r="E53" s="27">
        <v>4.3493975903614457</v>
      </c>
      <c r="F53" t="s">
        <v>505</v>
      </c>
    </row>
    <row r="54" spans="1:6" ht="15" thickBot="1" x14ac:dyDescent="0.35">
      <c r="A54" s="125" t="s">
        <v>29</v>
      </c>
      <c r="B54" s="32" t="s">
        <v>532</v>
      </c>
      <c r="C54" s="32"/>
      <c r="D54" s="29"/>
      <c r="E54" s="32"/>
      <c r="F54" s="18" t="s">
        <v>505</v>
      </c>
    </row>
    <row r="55" spans="1:6" x14ac:dyDescent="0.3">
      <c r="A55" s="139" t="s">
        <v>32</v>
      </c>
      <c r="B55" s="12" t="s">
        <v>33</v>
      </c>
      <c r="D55" s="27">
        <v>4.2350000000000003</v>
      </c>
      <c r="E55" s="12">
        <v>4.625</v>
      </c>
      <c r="F55" t="s">
        <v>505</v>
      </c>
    </row>
    <row r="56" spans="1:6" x14ac:dyDescent="0.3">
      <c r="A56" s="124" t="s">
        <v>32</v>
      </c>
      <c r="B56" s="12" t="s">
        <v>34</v>
      </c>
      <c r="D56" s="27">
        <v>4.2069999999999999</v>
      </c>
      <c r="E56" s="12">
        <v>4.4619999999999997</v>
      </c>
      <c r="F56" t="s">
        <v>505</v>
      </c>
    </row>
    <row r="57" spans="1:6" x14ac:dyDescent="0.3">
      <c r="A57" s="124" t="s">
        <v>32</v>
      </c>
      <c r="B57" s="12" t="s">
        <v>35</v>
      </c>
      <c r="D57" s="27">
        <v>4.173</v>
      </c>
      <c r="E57" s="12">
        <v>4.556</v>
      </c>
      <c r="F57" t="s">
        <v>505</v>
      </c>
    </row>
    <row r="58" spans="1:6" ht="15" thickBot="1" x14ac:dyDescent="0.35">
      <c r="A58" s="125" t="s">
        <v>32</v>
      </c>
      <c r="B58" s="32" t="s">
        <v>36</v>
      </c>
      <c r="D58" s="29">
        <v>4.3879999999999999</v>
      </c>
      <c r="E58" s="32">
        <v>4.5410000000000004</v>
      </c>
      <c r="F58" s="18" t="s">
        <v>505</v>
      </c>
    </row>
    <row r="59" spans="1:6" x14ac:dyDescent="0.3">
      <c r="A59" s="139" t="s">
        <v>37</v>
      </c>
      <c r="B59" s="25" t="s">
        <v>38</v>
      </c>
      <c r="C59" s="30">
        <v>3.9591836734693877</v>
      </c>
      <c r="D59" s="24">
        <v>4.3045609548167096</v>
      </c>
      <c r="E59" s="27">
        <v>4.218</v>
      </c>
      <c r="F59" t="s">
        <v>505</v>
      </c>
    </row>
    <row r="60" spans="1:6" x14ac:dyDescent="0.3">
      <c r="A60" s="124" t="s">
        <v>37</v>
      </c>
      <c r="B60" s="12" t="s">
        <v>39</v>
      </c>
      <c r="C60" s="31">
        <v>4.0238095238095202</v>
      </c>
      <c r="D60" s="27">
        <v>4.2397558849171748</v>
      </c>
      <c r="E60" s="27">
        <v>4.3570000000000002</v>
      </c>
      <c r="F60" t="s">
        <v>505</v>
      </c>
    </row>
    <row r="61" spans="1:6" x14ac:dyDescent="0.3">
      <c r="A61" s="124" t="s">
        <v>37</v>
      </c>
      <c r="B61" s="12" t="s">
        <v>40</v>
      </c>
      <c r="C61" s="31">
        <v>3.9565217391304346</v>
      </c>
      <c r="D61" s="27">
        <v>4.2905263157894744</v>
      </c>
      <c r="E61" s="27">
        <v>4.2910000000000004</v>
      </c>
      <c r="F61" t="s">
        <v>505</v>
      </c>
    </row>
    <row r="62" spans="1:6" x14ac:dyDescent="0.3">
      <c r="A62" s="124" t="s">
        <v>37</v>
      </c>
      <c r="B62" s="12" t="s">
        <v>41</v>
      </c>
      <c r="C62" s="31">
        <v>4.0548885077186965</v>
      </c>
      <c r="D62" s="27">
        <v>4.3040816326530607</v>
      </c>
      <c r="E62" s="27">
        <v>4.218</v>
      </c>
      <c r="F62" t="s">
        <v>505</v>
      </c>
    </row>
    <row r="63" spans="1:6" ht="15" thickBot="1" x14ac:dyDescent="0.35">
      <c r="A63" s="125" t="s">
        <v>37</v>
      </c>
      <c r="B63" s="32" t="s">
        <v>42</v>
      </c>
      <c r="C63" s="34">
        <v>4.0400962309542905</v>
      </c>
      <c r="D63" s="29">
        <v>4.3516057585825028</v>
      </c>
      <c r="E63" s="32">
        <v>4.1829999999999998</v>
      </c>
      <c r="F63" s="18" t="s">
        <v>505</v>
      </c>
    </row>
    <row r="64" spans="1:6" x14ac:dyDescent="0.3">
      <c r="A64" s="25" t="s">
        <v>7</v>
      </c>
      <c r="B64" s="25" t="s">
        <v>8</v>
      </c>
      <c r="C64" s="30">
        <v>3.888157894736842</v>
      </c>
      <c r="D64" s="27">
        <v>4.0772154906153482</v>
      </c>
      <c r="E64" s="12">
        <v>4.2249999999999996</v>
      </c>
      <c r="F64">
        <v>4.1159999999999997</v>
      </c>
    </row>
    <row r="65" spans="1:6" x14ac:dyDescent="0.3">
      <c r="A65" s="12" t="s">
        <v>7</v>
      </c>
      <c r="B65" s="12" t="s">
        <v>9</v>
      </c>
      <c r="C65" s="31">
        <v>4.0453003875968996</v>
      </c>
      <c r="D65" s="27">
        <v>4.1752631578947366</v>
      </c>
      <c r="E65" s="28">
        <v>4.0380000000000003</v>
      </c>
      <c r="F65">
        <v>4.3280000000000003</v>
      </c>
    </row>
    <row r="66" spans="1:6" x14ac:dyDescent="0.3">
      <c r="A66" s="12" t="s">
        <v>7</v>
      </c>
      <c r="B66" s="12" t="s">
        <v>10</v>
      </c>
      <c r="C66" s="31">
        <v>4.1660628019323669</v>
      </c>
      <c r="D66" s="27">
        <v>4.0894298996819183</v>
      </c>
      <c r="E66" s="12">
        <v>4.0380000000000003</v>
      </c>
      <c r="F66">
        <v>4.3330000000000002</v>
      </c>
    </row>
    <row r="67" spans="1:6" ht="15" thickBot="1" x14ac:dyDescent="0.35">
      <c r="A67" s="32" t="s">
        <v>7</v>
      </c>
      <c r="B67" s="32" t="s">
        <v>11</v>
      </c>
      <c r="C67" s="34">
        <v>3.9073836961160904</v>
      </c>
      <c r="D67" s="29">
        <v>3.9592039800995025</v>
      </c>
      <c r="E67" s="32">
        <v>4.1959999999999997</v>
      </c>
      <c r="F67" s="18">
        <v>4.2759999999999998</v>
      </c>
    </row>
    <row r="68" spans="1:6" x14ac:dyDescent="0.3">
      <c r="A68" s="139" t="s">
        <v>43</v>
      </c>
      <c r="B68" s="139" t="s">
        <v>47</v>
      </c>
      <c r="C68" s="23">
        <v>3.9333333333333336</v>
      </c>
      <c r="D68" s="24">
        <v>4.070832279281559</v>
      </c>
      <c r="E68" s="27">
        <v>4.2</v>
      </c>
      <c r="F68" t="s">
        <v>505</v>
      </c>
    </row>
    <row r="69" spans="1:6" x14ac:dyDescent="0.3">
      <c r="A69" s="124" t="s">
        <v>43</v>
      </c>
      <c r="B69" s="124" t="s">
        <v>46</v>
      </c>
      <c r="C69" s="26">
        <v>4.1205837173579107</v>
      </c>
      <c r="D69" s="27">
        <v>4.0563909774436091</v>
      </c>
      <c r="E69" s="12">
        <v>4.1189999999999998</v>
      </c>
      <c r="F69" t="s">
        <v>505</v>
      </c>
    </row>
    <row r="70" spans="1:6" x14ac:dyDescent="0.3">
      <c r="A70" s="124" t="s">
        <v>43</v>
      </c>
      <c r="B70" s="124" t="s">
        <v>48</v>
      </c>
      <c r="C70" s="26">
        <v>3.7540983606557377</v>
      </c>
      <c r="D70" s="27">
        <v>3.9581736909323118</v>
      </c>
      <c r="E70" s="27">
        <v>4.2</v>
      </c>
      <c r="F70" t="s">
        <v>505</v>
      </c>
    </row>
    <row r="71" spans="1:6" x14ac:dyDescent="0.3">
      <c r="A71" s="124" t="s">
        <v>43</v>
      </c>
      <c r="B71" s="124" t="s">
        <v>455</v>
      </c>
      <c r="C71" s="26">
        <v>3.9379310344827587</v>
      </c>
      <c r="D71" s="27">
        <v>3.9106263194933146</v>
      </c>
      <c r="E71" s="108"/>
      <c r="F71" t="s">
        <v>505</v>
      </c>
    </row>
    <row r="72" spans="1:6" x14ac:dyDescent="0.3">
      <c r="A72" s="124" t="s">
        <v>43</v>
      </c>
      <c r="B72" s="124" t="s">
        <v>49</v>
      </c>
      <c r="C72" s="26">
        <v>4.0824999999999996</v>
      </c>
      <c r="D72" s="27">
        <v>4.0674269707883157</v>
      </c>
      <c r="E72" s="108"/>
      <c r="F72" t="s">
        <v>505</v>
      </c>
    </row>
    <row r="73" spans="1:6" x14ac:dyDescent="0.3">
      <c r="A73" s="124" t="s">
        <v>43</v>
      </c>
      <c r="B73" s="124" t="s">
        <v>50</v>
      </c>
      <c r="C73" s="26">
        <v>4.0769230769230766</v>
      </c>
      <c r="D73" s="27">
        <v>4.1345029239766085</v>
      </c>
      <c r="E73" s="108"/>
      <c r="F73" t="s">
        <v>505</v>
      </c>
    </row>
    <row r="74" spans="1:6" x14ac:dyDescent="0.3">
      <c r="A74" s="124" t="s">
        <v>43</v>
      </c>
      <c r="B74" s="124" t="s">
        <v>51</v>
      </c>
      <c r="C74" s="26">
        <v>3.9017996870109548</v>
      </c>
      <c r="D74" s="27">
        <v>4.045528017241379</v>
      </c>
      <c r="E74" s="12">
        <v>3.4470000000000001</v>
      </c>
      <c r="F74" t="s">
        <v>505</v>
      </c>
    </row>
    <row r="75" spans="1:6" x14ac:dyDescent="0.3">
      <c r="A75" s="124" t="s">
        <v>43</v>
      </c>
      <c r="B75" s="124" t="s">
        <v>52</v>
      </c>
      <c r="C75" s="26">
        <v>3.83</v>
      </c>
      <c r="D75" s="27">
        <v>4.0379677182685256</v>
      </c>
      <c r="E75" s="12">
        <v>3.9220000000000002</v>
      </c>
      <c r="F75" t="s">
        <v>505</v>
      </c>
    </row>
    <row r="76" spans="1:6" x14ac:dyDescent="0.3">
      <c r="A76" s="124" t="s">
        <v>43</v>
      </c>
      <c r="B76" s="124" t="s">
        <v>460</v>
      </c>
      <c r="C76" s="108"/>
      <c r="D76" s="108"/>
      <c r="E76" s="12">
        <v>3.3140000000000001</v>
      </c>
      <c r="F76" t="s">
        <v>505</v>
      </c>
    </row>
    <row r="77" spans="1:6" x14ac:dyDescent="0.3">
      <c r="A77" s="124" t="s">
        <v>43</v>
      </c>
      <c r="B77" s="124" t="s">
        <v>461</v>
      </c>
      <c r="C77" s="108"/>
      <c r="D77" s="108"/>
      <c r="E77" s="12">
        <v>3.3140000000000001</v>
      </c>
      <c r="F77" t="s">
        <v>505</v>
      </c>
    </row>
    <row r="78" spans="1:6" ht="15" thickBot="1" x14ac:dyDescent="0.35">
      <c r="A78" s="124" t="s">
        <v>43</v>
      </c>
      <c r="B78" s="124" t="s">
        <v>462</v>
      </c>
      <c r="C78" s="108"/>
      <c r="D78" s="108"/>
      <c r="E78" s="32">
        <v>3.706</v>
      </c>
      <c r="F78" s="18" t="s">
        <v>505</v>
      </c>
    </row>
    <row r="79" spans="1:6" x14ac:dyDescent="0.3">
      <c r="A79" s="139" t="s">
        <v>44</v>
      </c>
      <c r="B79" s="139" t="s">
        <v>443</v>
      </c>
      <c r="C79" s="38">
        <v>2.8540000000000001</v>
      </c>
      <c r="D79" s="24">
        <v>3.407</v>
      </c>
      <c r="E79" s="12">
        <v>3.6459999999999999</v>
      </c>
      <c r="F79" t="s">
        <v>505</v>
      </c>
    </row>
    <row r="80" spans="1:6" x14ac:dyDescent="0.3">
      <c r="A80" s="124" t="s">
        <v>44</v>
      </c>
      <c r="B80" s="124" t="s">
        <v>444</v>
      </c>
      <c r="C80" s="108"/>
      <c r="D80" s="27">
        <v>3.7454507857733663</v>
      </c>
      <c r="E80" s="12">
        <v>3.4289999999999998</v>
      </c>
      <c r="F80" t="s">
        <v>505</v>
      </c>
    </row>
    <row r="81" spans="1:6" x14ac:dyDescent="0.3">
      <c r="A81" s="124" t="s">
        <v>44</v>
      </c>
      <c r="B81" s="124" t="s">
        <v>445</v>
      </c>
      <c r="C81" s="108"/>
      <c r="D81" s="108"/>
      <c r="E81" s="12">
        <v>4.157</v>
      </c>
      <c r="F81" t="s">
        <v>505</v>
      </c>
    </row>
    <row r="82" spans="1:6" x14ac:dyDescent="0.3">
      <c r="A82" s="124" t="s">
        <v>44</v>
      </c>
      <c r="B82" s="124" t="s">
        <v>446</v>
      </c>
      <c r="C82" s="39">
        <v>2.9533542976939202</v>
      </c>
      <c r="D82" s="27">
        <v>3.3125</v>
      </c>
      <c r="E82" s="12">
        <v>3.9860000000000002</v>
      </c>
      <c r="F82" t="s">
        <v>505</v>
      </c>
    </row>
    <row r="83" spans="1:6" x14ac:dyDescent="0.3">
      <c r="A83" s="124" t="s">
        <v>44</v>
      </c>
      <c r="B83" s="124" t="s">
        <v>447</v>
      </c>
      <c r="C83" s="108"/>
      <c r="D83" s="27">
        <v>3.4391771019677995</v>
      </c>
      <c r="E83" s="12">
        <v>4.3970000000000002</v>
      </c>
      <c r="F83" t="s">
        <v>505</v>
      </c>
    </row>
    <row r="84" spans="1:6" x14ac:dyDescent="0.3">
      <c r="A84" s="124" t="s">
        <v>44</v>
      </c>
      <c r="B84" s="124" t="s">
        <v>448</v>
      </c>
      <c r="C84" s="39">
        <v>3.108228511530398</v>
      </c>
      <c r="D84" s="27">
        <v>3.4620151939224311</v>
      </c>
      <c r="E84" s="12">
        <v>3.9830000000000001</v>
      </c>
      <c r="F84" t="s">
        <v>505</v>
      </c>
    </row>
    <row r="85" spans="1:6" ht="15" thickBot="1" x14ac:dyDescent="0.35">
      <c r="A85" s="125" t="s">
        <v>44</v>
      </c>
      <c r="B85" s="125" t="s">
        <v>449</v>
      </c>
      <c r="C85" s="108"/>
      <c r="D85" s="29">
        <v>3.6451612903225805</v>
      </c>
      <c r="E85" s="32">
        <v>4.1109999999999998</v>
      </c>
      <c r="F85" s="18" t="s">
        <v>505</v>
      </c>
    </row>
    <row r="86" spans="1:6" x14ac:dyDescent="0.3">
      <c r="A86" s="124" t="s">
        <v>45</v>
      </c>
      <c r="B86" s="139" t="s">
        <v>450</v>
      </c>
      <c r="C86" s="30">
        <v>3.9935141509433962</v>
      </c>
      <c r="D86" s="24">
        <v>3.8653846153846154</v>
      </c>
      <c r="E86" s="108"/>
      <c r="F86" t="s">
        <v>505</v>
      </c>
    </row>
    <row r="87" spans="1:6" x14ac:dyDescent="0.3">
      <c r="A87" s="124" t="s">
        <v>45</v>
      </c>
      <c r="B87" s="124" t="s">
        <v>53</v>
      </c>
      <c r="C87" s="108"/>
      <c r="D87" s="12">
        <v>3.7320000000000002</v>
      </c>
      <c r="E87" s="108"/>
      <c r="F87" t="s">
        <v>505</v>
      </c>
    </row>
    <row r="88" spans="1:6" x14ac:dyDescent="0.3">
      <c r="A88" s="124" t="s">
        <v>45</v>
      </c>
      <c r="B88" s="124" t="s">
        <v>54</v>
      </c>
      <c r="C88" s="31">
        <v>4.0812082574377655</v>
      </c>
      <c r="D88" s="27">
        <v>3.9607843137254903</v>
      </c>
      <c r="E88" s="108"/>
      <c r="F88" t="s">
        <v>505</v>
      </c>
    </row>
    <row r="89" spans="1:6" x14ac:dyDescent="0.3">
      <c r="A89" s="124" t="s">
        <v>45</v>
      </c>
      <c r="B89" s="124" t="s">
        <v>55</v>
      </c>
      <c r="F89" t="s">
        <v>505</v>
      </c>
    </row>
    <row r="90" spans="1:6" ht="15" thickBot="1" x14ac:dyDescent="0.35">
      <c r="A90" s="125" t="s">
        <v>45</v>
      </c>
      <c r="B90" s="125" t="s">
        <v>56</v>
      </c>
      <c r="C90" s="18"/>
      <c r="D90" s="18"/>
      <c r="E90" s="18"/>
      <c r="F90" s="18" t="s">
        <v>505</v>
      </c>
    </row>
  </sheetData>
  <mergeCells count="4">
    <mergeCell ref="B18:B19"/>
    <mergeCell ref="M6:P6"/>
    <mergeCell ref="K1:P2"/>
    <mergeCell ref="M26:P2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20283-6102-4514-808F-CF37A361AA8E}">
  <sheetPr codeName="Hoja13"/>
  <dimension ref="A1:F12"/>
  <sheetViews>
    <sheetView workbookViewId="0">
      <selection activeCell="A8" sqref="A8"/>
    </sheetView>
  </sheetViews>
  <sheetFormatPr baseColWidth="10" defaultRowHeight="14.4" x14ac:dyDescent="0.3"/>
  <cols>
    <col min="1" max="1" width="24.5546875" bestFit="1" customWidth="1"/>
    <col min="3" max="3" width="29.77734375" bestFit="1" customWidth="1"/>
  </cols>
  <sheetData>
    <row r="1" spans="1:6" x14ac:dyDescent="0.3">
      <c r="A1" s="10" t="s">
        <v>5</v>
      </c>
      <c r="B1" s="10" t="s">
        <v>451</v>
      </c>
      <c r="C1" s="10" t="s">
        <v>453</v>
      </c>
    </row>
    <row r="2" spans="1:6" x14ac:dyDescent="0.3">
      <c r="A2" s="112" t="s">
        <v>442</v>
      </c>
      <c r="B2" s="112">
        <v>128</v>
      </c>
      <c r="C2" s="113" t="s">
        <v>222</v>
      </c>
    </row>
    <row r="3" spans="1:6" x14ac:dyDescent="0.3">
      <c r="A3" s="142" t="s">
        <v>7</v>
      </c>
      <c r="B3" s="112">
        <v>105</v>
      </c>
      <c r="C3" s="142" t="s">
        <v>124</v>
      </c>
    </row>
    <row r="4" spans="1:6" x14ac:dyDescent="0.3">
      <c r="A4" s="112" t="s">
        <v>12</v>
      </c>
      <c r="B4" s="112">
        <v>93</v>
      </c>
      <c r="C4" s="115" t="s">
        <v>15</v>
      </c>
    </row>
    <row r="5" spans="1:6" x14ac:dyDescent="0.3">
      <c r="A5" s="112" t="s">
        <v>18</v>
      </c>
      <c r="B5" s="112">
        <v>70</v>
      </c>
      <c r="C5" s="115" t="s">
        <v>18</v>
      </c>
      <c r="F5" s="12" t="s">
        <v>457</v>
      </c>
    </row>
    <row r="6" spans="1:6" x14ac:dyDescent="0.3">
      <c r="A6" s="112" t="s">
        <v>24</v>
      </c>
      <c r="B6" s="112">
        <v>66</v>
      </c>
      <c r="C6" s="113" t="s">
        <v>67</v>
      </c>
    </row>
    <row r="7" spans="1:6" x14ac:dyDescent="0.3">
      <c r="A7" s="114" t="s">
        <v>29</v>
      </c>
      <c r="B7" s="112">
        <v>78</v>
      </c>
      <c r="C7" s="115" t="s">
        <v>208</v>
      </c>
    </row>
    <row r="8" spans="1:6" x14ac:dyDescent="0.3">
      <c r="A8" s="114" t="s">
        <v>32</v>
      </c>
      <c r="B8" s="112">
        <v>105</v>
      </c>
      <c r="C8" s="115" t="s">
        <v>93</v>
      </c>
    </row>
    <row r="9" spans="1:6" x14ac:dyDescent="0.3">
      <c r="A9" s="115" t="s">
        <v>37</v>
      </c>
      <c r="B9" s="112">
        <v>56</v>
      </c>
      <c r="C9" s="115" t="s">
        <v>37</v>
      </c>
    </row>
    <row r="10" spans="1:6" x14ac:dyDescent="0.3">
      <c r="A10" s="115" t="s">
        <v>43</v>
      </c>
      <c r="B10" s="112">
        <v>73</v>
      </c>
      <c r="C10" s="115" t="s">
        <v>43</v>
      </c>
    </row>
    <row r="11" spans="1:6" x14ac:dyDescent="0.3">
      <c r="A11" s="115" t="s">
        <v>44</v>
      </c>
      <c r="B11" s="112">
        <v>77</v>
      </c>
      <c r="C11" s="115" t="s">
        <v>44</v>
      </c>
    </row>
    <row r="12" spans="1:6" x14ac:dyDescent="0.3">
      <c r="A12" s="147" t="s">
        <v>45</v>
      </c>
      <c r="B12" s="112">
        <v>97</v>
      </c>
      <c r="C12" s="115" t="s">
        <v>370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148FB-3A16-4B54-9F24-20E6352280B2}">
  <sheetPr codeName="Hoja8"/>
  <dimension ref="A1:L100"/>
  <sheetViews>
    <sheetView workbookViewId="0">
      <pane ySplit="1" topLeftCell="A4" activePane="bottomLeft" state="frozenSplit"/>
      <selection pane="bottomLeft" sqref="A1:L98"/>
    </sheetView>
  </sheetViews>
  <sheetFormatPr baseColWidth="10" defaultRowHeight="14.4" x14ac:dyDescent="0.3"/>
  <cols>
    <col min="2" max="2" width="14.33203125" customWidth="1"/>
    <col min="3" max="3" width="19.33203125" customWidth="1"/>
    <col min="4" max="4" width="18.33203125" customWidth="1"/>
    <col min="6" max="10" width="9.21875" customWidth="1"/>
  </cols>
  <sheetData>
    <row r="1" spans="1:12" ht="15.6" x14ac:dyDescent="0.3">
      <c r="A1" s="179" t="s">
        <v>656</v>
      </c>
      <c r="B1" s="179"/>
      <c r="C1" s="179"/>
      <c r="D1" s="179"/>
      <c r="E1" s="179"/>
      <c r="F1" s="179"/>
      <c r="G1" s="179"/>
      <c r="H1" s="179"/>
      <c r="I1" s="179"/>
      <c r="J1" s="179"/>
      <c r="K1" s="179"/>
      <c r="L1" s="179"/>
    </row>
    <row r="3" spans="1:12" x14ac:dyDescent="0.3">
      <c r="A3" t="s">
        <v>583</v>
      </c>
      <c r="B3" t="s">
        <v>584</v>
      </c>
      <c r="C3" t="s">
        <v>585</v>
      </c>
      <c r="D3" t="s">
        <v>586</v>
      </c>
      <c r="E3" t="s">
        <v>57</v>
      </c>
      <c r="F3" s="108" t="s">
        <v>587</v>
      </c>
      <c r="G3" s="108" t="s">
        <v>588</v>
      </c>
      <c r="H3" s="108" t="s">
        <v>589</v>
      </c>
      <c r="I3" s="108" t="s">
        <v>590</v>
      </c>
      <c r="J3" t="s">
        <v>591</v>
      </c>
    </row>
    <row r="4" spans="1:12" x14ac:dyDescent="0.3">
      <c r="A4">
        <v>419</v>
      </c>
      <c r="B4" s="155">
        <v>45636.441932870403</v>
      </c>
      <c r="C4" s="155">
        <v>45636.442916666703</v>
      </c>
      <c r="D4" t="s">
        <v>592</v>
      </c>
      <c r="E4" t="s">
        <v>239</v>
      </c>
      <c r="F4" t="s">
        <v>467</v>
      </c>
      <c r="G4" t="s">
        <v>468</v>
      </c>
      <c r="H4" t="s">
        <v>468</v>
      </c>
      <c r="I4" t="s">
        <v>468</v>
      </c>
    </row>
    <row r="5" spans="1:12" x14ac:dyDescent="0.3">
      <c r="A5">
        <v>420</v>
      </c>
      <c r="B5" s="155">
        <v>45636.442638888897</v>
      </c>
      <c r="C5" s="155">
        <v>45636.4430671296</v>
      </c>
      <c r="D5" t="s">
        <v>192</v>
      </c>
      <c r="E5" t="s">
        <v>191</v>
      </c>
      <c r="F5" t="s">
        <v>469</v>
      </c>
      <c r="G5" t="s">
        <v>593</v>
      </c>
      <c r="H5" t="s">
        <v>467</v>
      </c>
      <c r="I5" t="s">
        <v>467</v>
      </c>
    </row>
    <row r="6" spans="1:12" x14ac:dyDescent="0.3">
      <c r="A6">
        <v>421</v>
      </c>
      <c r="B6" s="155">
        <v>45636.439918981501</v>
      </c>
      <c r="C6" s="155">
        <v>45636.443599537</v>
      </c>
      <c r="D6" t="s">
        <v>92</v>
      </c>
      <c r="E6" t="s">
        <v>91</v>
      </c>
      <c r="F6" t="s">
        <v>468</v>
      </c>
      <c r="G6" t="s">
        <v>593</v>
      </c>
      <c r="H6" t="s">
        <v>468</v>
      </c>
      <c r="I6" t="s">
        <v>468</v>
      </c>
      <c r="J6" t="s">
        <v>594</v>
      </c>
    </row>
    <row r="7" spans="1:12" x14ac:dyDescent="0.3">
      <c r="A7">
        <v>422</v>
      </c>
      <c r="B7" s="155">
        <v>45636.443877314799</v>
      </c>
      <c r="C7" s="155">
        <v>45636.444421296299</v>
      </c>
      <c r="D7" t="s">
        <v>145</v>
      </c>
      <c r="E7" t="s">
        <v>144</v>
      </c>
      <c r="F7" t="s">
        <v>467</v>
      </c>
      <c r="G7" t="s">
        <v>593</v>
      </c>
      <c r="H7" t="s">
        <v>468</v>
      </c>
      <c r="I7" t="s">
        <v>593</v>
      </c>
    </row>
    <row r="8" spans="1:12" x14ac:dyDescent="0.3">
      <c r="A8">
        <v>423</v>
      </c>
      <c r="B8" s="155">
        <v>45636.450011574103</v>
      </c>
      <c r="C8" s="155">
        <v>45636.450358796297</v>
      </c>
      <c r="D8" t="s">
        <v>341</v>
      </c>
      <c r="E8" t="s">
        <v>340</v>
      </c>
      <c r="F8" t="s">
        <v>468</v>
      </c>
      <c r="G8" t="s">
        <v>593</v>
      </c>
      <c r="H8" t="s">
        <v>468</v>
      </c>
      <c r="I8" t="s">
        <v>468</v>
      </c>
    </row>
    <row r="9" spans="1:12" x14ac:dyDescent="0.3">
      <c r="A9">
        <v>424</v>
      </c>
      <c r="B9" s="155">
        <v>45636.452800925901</v>
      </c>
      <c r="C9" s="155">
        <v>45636.453287037002</v>
      </c>
      <c r="D9" t="s">
        <v>115</v>
      </c>
      <c r="E9" t="s">
        <v>114</v>
      </c>
      <c r="F9" t="s">
        <v>467</v>
      </c>
      <c r="G9" t="s">
        <v>467</v>
      </c>
      <c r="H9" t="s">
        <v>467</v>
      </c>
      <c r="I9" t="s">
        <v>467</v>
      </c>
    </row>
    <row r="10" spans="1:12" x14ac:dyDescent="0.3">
      <c r="A10">
        <v>425</v>
      </c>
      <c r="B10" s="155">
        <v>45636.441076388903</v>
      </c>
      <c r="C10" s="155">
        <v>45636.458449074104</v>
      </c>
      <c r="D10" t="s">
        <v>299</v>
      </c>
      <c r="E10" t="s">
        <v>298</v>
      </c>
      <c r="F10" t="s">
        <v>467</v>
      </c>
      <c r="G10" t="s">
        <v>593</v>
      </c>
      <c r="H10" t="s">
        <v>469</v>
      </c>
      <c r="I10" t="s">
        <v>467</v>
      </c>
    </row>
    <row r="11" spans="1:12" x14ac:dyDescent="0.3">
      <c r="A11">
        <v>426</v>
      </c>
      <c r="B11" s="155">
        <v>45636.458599537</v>
      </c>
      <c r="C11" s="155">
        <v>45636.458680555603</v>
      </c>
      <c r="D11" t="s">
        <v>322</v>
      </c>
      <c r="E11" t="s">
        <v>321</v>
      </c>
      <c r="F11" t="s">
        <v>467</v>
      </c>
      <c r="G11" t="s">
        <v>467</v>
      </c>
      <c r="H11" t="s">
        <v>467</v>
      </c>
      <c r="I11" t="s">
        <v>467</v>
      </c>
    </row>
    <row r="12" spans="1:12" x14ac:dyDescent="0.3">
      <c r="A12">
        <v>427</v>
      </c>
      <c r="B12" s="155">
        <v>45636.465138888903</v>
      </c>
      <c r="C12" s="155">
        <v>45636.465370370403</v>
      </c>
      <c r="D12" t="s">
        <v>138</v>
      </c>
      <c r="E12" t="s">
        <v>137</v>
      </c>
      <c r="F12" t="s">
        <v>467</v>
      </c>
      <c r="G12" t="s">
        <v>467</v>
      </c>
      <c r="H12" t="s">
        <v>467</v>
      </c>
      <c r="I12" t="s">
        <v>467</v>
      </c>
    </row>
    <row r="13" spans="1:12" x14ac:dyDescent="0.3">
      <c r="A13">
        <v>428</v>
      </c>
      <c r="B13" s="155">
        <v>45636.465509259302</v>
      </c>
      <c r="C13" s="155">
        <v>45636.466759259303</v>
      </c>
      <c r="D13" t="s">
        <v>595</v>
      </c>
      <c r="E13" t="s">
        <v>106</v>
      </c>
      <c r="F13" t="s">
        <v>467</v>
      </c>
      <c r="G13" t="s">
        <v>467</v>
      </c>
      <c r="H13" t="s">
        <v>467</v>
      </c>
      <c r="I13" t="s">
        <v>467</v>
      </c>
    </row>
    <row r="14" spans="1:12" x14ac:dyDescent="0.3">
      <c r="A14">
        <v>429</v>
      </c>
      <c r="B14" s="155">
        <v>45636.465983796297</v>
      </c>
      <c r="C14" s="155">
        <v>45636.467141203699</v>
      </c>
      <c r="D14" t="s">
        <v>82</v>
      </c>
      <c r="E14" t="s">
        <v>81</v>
      </c>
      <c r="F14" t="s">
        <v>467</v>
      </c>
      <c r="G14" t="s">
        <v>593</v>
      </c>
      <c r="H14" t="s">
        <v>467</v>
      </c>
      <c r="I14" t="s">
        <v>467</v>
      </c>
    </row>
    <row r="15" spans="1:12" x14ac:dyDescent="0.3">
      <c r="A15">
        <v>430</v>
      </c>
      <c r="B15" s="155">
        <v>45636.470451388901</v>
      </c>
      <c r="C15" s="155">
        <v>45636.4777777778</v>
      </c>
      <c r="D15" t="s">
        <v>378</v>
      </c>
      <c r="E15" t="s">
        <v>596</v>
      </c>
      <c r="F15" t="s">
        <v>467</v>
      </c>
      <c r="G15" t="s">
        <v>593</v>
      </c>
      <c r="H15" t="s">
        <v>469</v>
      </c>
      <c r="I15" t="s">
        <v>469</v>
      </c>
    </row>
    <row r="16" spans="1:12" x14ac:dyDescent="0.3">
      <c r="A16">
        <v>431</v>
      </c>
      <c r="B16" s="155">
        <v>45636.4477430556</v>
      </c>
      <c r="C16" s="155">
        <v>45636.479571759301</v>
      </c>
      <c r="D16" t="s">
        <v>435</v>
      </c>
      <c r="E16" t="s">
        <v>434</v>
      </c>
      <c r="F16" t="s">
        <v>468</v>
      </c>
      <c r="G16" t="s">
        <v>469</v>
      </c>
      <c r="H16" t="s">
        <v>469</v>
      </c>
      <c r="I16" t="s">
        <v>469</v>
      </c>
    </row>
    <row r="17" spans="1:10" x14ac:dyDescent="0.3">
      <c r="A17">
        <v>432</v>
      </c>
      <c r="B17" s="155">
        <v>45636.480358796303</v>
      </c>
      <c r="C17" s="155">
        <v>45636.482164351903</v>
      </c>
      <c r="D17" t="s">
        <v>431</v>
      </c>
      <c r="E17" t="s">
        <v>430</v>
      </c>
      <c r="F17" t="s">
        <v>467</v>
      </c>
      <c r="G17" t="s">
        <v>593</v>
      </c>
      <c r="H17" t="s">
        <v>467</v>
      </c>
      <c r="I17" t="s">
        <v>470</v>
      </c>
      <c r="J17" t="s">
        <v>597</v>
      </c>
    </row>
    <row r="18" spans="1:10" x14ac:dyDescent="0.3">
      <c r="A18">
        <v>433</v>
      </c>
      <c r="B18" s="155">
        <v>45636.475833333301</v>
      </c>
      <c r="C18" s="155">
        <v>45636.4859490741</v>
      </c>
      <c r="D18" t="s">
        <v>133</v>
      </c>
      <c r="E18" t="s">
        <v>132</v>
      </c>
      <c r="F18" t="s">
        <v>467</v>
      </c>
      <c r="G18" t="s">
        <v>468</v>
      </c>
      <c r="H18" t="s">
        <v>469</v>
      </c>
      <c r="I18" t="s">
        <v>469</v>
      </c>
    </row>
    <row r="19" spans="1:10" x14ac:dyDescent="0.3">
      <c r="A19">
        <v>434</v>
      </c>
      <c r="B19" s="155">
        <v>45636.489618055602</v>
      </c>
      <c r="C19" s="155">
        <v>45636.498182870397</v>
      </c>
      <c r="D19" t="s">
        <v>598</v>
      </c>
      <c r="E19" t="s">
        <v>599</v>
      </c>
      <c r="F19" t="s">
        <v>467</v>
      </c>
      <c r="G19" t="s">
        <v>467</v>
      </c>
      <c r="H19" t="s">
        <v>467</v>
      </c>
      <c r="I19" t="s">
        <v>469</v>
      </c>
    </row>
    <row r="20" spans="1:10" x14ac:dyDescent="0.3">
      <c r="A20">
        <v>435</v>
      </c>
      <c r="B20" s="155">
        <v>45636.518541666701</v>
      </c>
      <c r="C20" s="155">
        <v>45636.519386574102</v>
      </c>
      <c r="D20" t="s">
        <v>221</v>
      </c>
      <c r="E20" t="s">
        <v>600</v>
      </c>
      <c r="F20" t="s">
        <v>468</v>
      </c>
      <c r="G20" t="s">
        <v>468</v>
      </c>
      <c r="H20" t="s">
        <v>468</v>
      </c>
      <c r="I20" t="s">
        <v>468</v>
      </c>
      <c r="J20" t="s">
        <v>601</v>
      </c>
    </row>
    <row r="21" spans="1:10" x14ac:dyDescent="0.3">
      <c r="A21">
        <v>436</v>
      </c>
      <c r="B21" s="155">
        <v>45636.521087963003</v>
      </c>
      <c r="C21" s="155">
        <v>45636.521377314799</v>
      </c>
      <c r="D21" t="s">
        <v>376</v>
      </c>
      <c r="E21" t="s">
        <v>375</v>
      </c>
      <c r="F21" t="s">
        <v>468</v>
      </c>
      <c r="G21" t="s">
        <v>593</v>
      </c>
      <c r="H21" t="s">
        <v>593</v>
      </c>
      <c r="I21" t="s">
        <v>468</v>
      </c>
    </row>
    <row r="22" spans="1:10" x14ac:dyDescent="0.3">
      <c r="A22">
        <v>437</v>
      </c>
      <c r="B22" s="155">
        <v>45636.536192129599</v>
      </c>
      <c r="C22" s="155">
        <v>45636.5374421296</v>
      </c>
      <c r="D22" t="s">
        <v>207</v>
      </c>
      <c r="E22" t="s">
        <v>206</v>
      </c>
      <c r="F22" t="s">
        <v>467</v>
      </c>
      <c r="G22" t="s">
        <v>467</v>
      </c>
      <c r="H22" t="s">
        <v>467</v>
      </c>
      <c r="I22" t="s">
        <v>467</v>
      </c>
      <c r="J22" t="s">
        <v>602</v>
      </c>
    </row>
    <row r="23" spans="1:10" x14ac:dyDescent="0.3">
      <c r="A23">
        <v>438</v>
      </c>
      <c r="B23" s="155">
        <v>45636.5542824074</v>
      </c>
      <c r="C23" s="155">
        <v>45636.554745370398</v>
      </c>
      <c r="D23" t="s">
        <v>170</v>
      </c>
      <c r="E23" t="s">
        <v>169</v>
      </c>
      <c r="F23" t="s">
        <v>467</v>
      </c>
      <c r="G23" t="s">
        <v>468</v>
      </c>
      <c r="H23" t="s">
        <v>467</v>
      </c>
      <c r="I23" t="s">
        <v>467</v>
      </c>
    </row>
    <row r="24" spans="1:10" x14ac:dyDescent="0.3">
      <c r="A24">
        <v>439</v>
      </c>
      <c r="B24" s="155">
        <v>45636.569629629601</v>
      </c>
      <c r="C24" s="155">
        <v>45636.570567129602</v>
      </c>
      <c r="D24" t="s">
        <v>603</v>
      </c>
      <c r="E24" t="s">
        <v>523</v>
      </c>
      <c r="F24" t="s">
        <v>467</v>
      </c>
      <c r="G24" t="s">
        <v>467</v>
      </c>
      <c r="H24" t="s">
        <v>468</v>
      </c>
      <c r="I24" t="s">
        <v>467</v>
      </c>
    </row>
    <row r="25" spans="1:10" x14ac:dyDescent="0.3">
      <c r="A25">
        <v>440</v>
      </c>
      <c r="B25" s="155">
        <v>45636.580474536997</v>
      </c>
      <c r="C25" s="155">
        <v>45636.581284722197</v>
      </c>
      <c r="D25" t="s">
        <v>318</v>
      </c>
      <c r="E25" t="s">
        <v>317</v>
      </c>
      <c r="F25" t="s">
        <v>470</v>
      </c>
      <c r="G25" t="s">
        <v>593</v>
      </c>
      <c r="H25" t="s">
        <v>467</v>
      </c>
      <c r="I25" t="s">
        <v>467</v>
      </c>
    </row>
    <row r="26" spans="1:10" x14ac:dyDescent="0.3">
      <c r="A26">
        <v>441</v>
      </c>
      <c r="B26" s="155">
        <v>45636.591030092597</v>
      </c>
      <c r="C26" s="155">
        <v>45636.592557870397</v>
      </c>
      <c r="D26" t="s">
        <v>604</v>
      </c>
      <c r="E26" t="s">
        <v>548</v>
      </c>
      <c r="F26" t="s">
        <v>468</v>
      </c>
      <c r="G26" t="s">
        <v>468</v>
      </c>
      <c r="H26" t="s">
        <v>468</v>
      </c>
      <c r="I26" t="s">
        <v>593</v>
      </c>
      <c r="J26" t="s">
        <v>605</v>
      </c>
    </row>
    <row r="27" spans="1:10" x14ac:dyDescent="0.3">
      <c r="A27">
        <v>442</v>
      </c>
      <c r="B27" s="155">
        <v>45636.609097222201</v>
      </c>
      <c r="C27" s="155">
        <v>45636.612488425897</v>
      </c>
      <c r="D27" t="s">
        <v>312</v>
      </c>
      <c r="E27" t="s">
        <v>311</v>
      </c>
      <c r="F27" t="s">
        <v>468</v>
      </c>
      <c r="G27" t="s">
        <v>467</v>
      </c>
      <c r="H27" t="s">
        <v>467</v>
      </c>
      <c r="I27" t="s">
        <v>467</v>
      </c>
      <c r="J27" t="s">
        <v>606</v>
      </c>
    </row>
    <row r="28" spans="1:10" x14ac:dyDescent="0.3">
      <c r="A28">
        <v>443</v>
      </c>
      <c r="B28" s="155">
        <v>45636.639837962997</v>
      </c>
      <c r="C28" s="155">
        <v>45636.640300925901</v>
      </c>
      <c r="D28" t="s">
        <v>176</v>
      </c>
      <c r="E28" t="s">
        <v>175</v>
      </c>
      <c r="F28" t="s">
        <v>468</v>
      </c>
      <c r="G28" t="s">
        <v>468</v>
      </c>
      <c r="H28" t="s">
        <v>468</v>
      </c>
      <c r="I28" t="s">
        <v>468</v>
      </c>
    </row>
    <row r="29" spans="1:10" x14ac:dyDescent="0.3">
      <c r="A29">
        <v>444</v>
      </c>
      <c r="B29" s="155">
        <v>45636.646238425899</v>
      </c>
      <c r="C29" s="155">
        <v>45636.651527777802</v>
      </c>
      <c r="D29" t="s">
        <v>337</v>
      </c>
      <c r="E29" t="s">
        <v>336</v>
      </c>
      <c r="F29" t="s">
        <v>468</v>
      </c>
      <c r="G29" t="s">
        <v>468</v>
      </c>
      <c r="H29" t="s">
        <v>468</v>
      </c>
      <c r="I29" t="s">
        <v>468</v>
      </c>
      <c r="J29" t="s">
        <v>607</v>
      </c>
    </row>
    <row r="30" spans="1:10" x14ac:dyDescent="0.3">
      <c r="A30">
        <v>445</v>
      </c>
      <c r="B30" s="155">
        <v>45636.653495370403</v>
      </c>
      <c r="C30" s="155">
        <v>45636.6538194444</v>
      </c>
      <c r="D30" t="s">
        <v>374</v>
      </c>
      <c r="E30" t="s">
        <v>608</v>
      </c>
      <c r="F30" t="s">
        <v>467</v>
      </c>
      <c r="G30" t="s">
        <v>467</v>
      </c>
      <c r="H30" t="s">
        <v>467</v>
      </c>
      <c r="I30" t="s">
        <v>467</v>
      </c>
    </row>
    <row r="31" spans="1:10" x14ac:dyDescent="0.3">
      <c r="A31">
        <v>446</v>
      </c>
      <c r="B31" s="155">
        <v>45636.738981481503</v>
      </c>
      <c r="C31" s="155">
        <v>45636.739259259302</v>
      </c>
      <c r="D31" t="s">
        <v>236</v>
      </c>
      <c r="E31" t="s">
        <v>235</v>
      </c>
      <c r="F31" t="s">
        <v>467</v>
      </c>
      <c r="G31" t="s">
        <v>467</v>
      </c>
      <c r="H31" t="s">
        <v>468</v>
      </c>
      <c r="I31" t="s">
        <v>468</v>
      </c>
    </row>
    <row r="32" spans="1:10" x14ac:dyDescent="0.3">
      <c r="A32">
        <v>447</v>
      </c>
      <c r="B32" s="155">
        <v>45637.307337963</v>
      </c>
      <c r="C32" s="155">
        <v>45637.308136574102</v>
      </c>
      <c r="D32" t="s">
        <v>423</v>
      </c>
      <c r="E32" t="s">
        <v>422</v>
      </c>
      <c r="F32" t="s">
        <v>469</v>
      </c>
      <c r="G32" t="s">
        <v>467</v>
      </c>
      <c r="H32" t="s">
        <v>467</v>
      </c>
      <c r="I32" t="s">
        <v>469</v>
      </c>
      <c r="J32" t="s">
        <v>609</v>
      </c>
    </row>
    <row r="33" spans="1:10" x14ac:dyDescent="0.3">
      <c r="A33">
        <v>448</v>
      </c>
      <c r="B33" s="155">
        <v>45637.366261574098</v>
      </c>
      <c r="C33" s="155">
        <v>45637.369745370401</v>
      </c>
      <c r="D33" t="s">
        <v>271</v>
      </c>
      <c r="E33" t="s">
        <v>270</v>
      </c>
      <c r="F33" t="s">
        <v>470</v>
      </c>
      <c r="G33" t="s">
        <v>593</v>
      </c>
      <c r="H33" t="s">
        <v>468</v>
      </c>
      <c r="I33" t="s">
        <v>468</v>
      </c>
      <c r="J33" t="s">
        <v>610</v>
      </c>
    </row>
    <row r="34" spans="1:10" x14ac:dyDescent="0.3">
      <c r="A34">
        <v>449</v>
      </c>
      <c r="B34" s="155">
        <v>45637.367766203701</v>
      </c>
      <c r="C34" s="155">
        <v>45637.372152777803</v>
      </c>
      <c r="D34" t="s">
        <v>258</v>
      </c>
      <c r="E34" t="s">
        <v>257</v>
      </c>
      <c r="F34" t="s">
        <v>470</v>
      </c>
      <c r="G34" t="s">
        <v>467</v>
      </c>
      <c r="H34" t="s">
        <v>467</v>
      </c>
      <c r="I34" t="s">
        <v>467</v>
      </c>
      <c r="J34" t="s">
        <v>611</v>
      </c>
    </row>
    <row r="35" spans="1:10" x14ac:dyDescent="0.3">
      <c r="A35">
        <v>450</v>
      </c>
      <c r="B35" s="155">
        <v>45637.374583333301</v>
      </c>
      <c r="C35" s="155">
        <v>45637.374756944402</v>
      </c>
      <c r="D35" t="s">
        <v>612</v>
      </c>
      <c r="E35" t="s">
        <v>418</v>
      </c>
      <c r="F35" t="s">
        <v>468</v>
      </c>
      <c r="G35" t="s">
        <v>468</v>
      </c>
      <c r="H35" t="s">
        <v>468</v>
      </c>
      <c r="I35" t="s">
        <v>468</v>
      </c>
      <c r="J35" t="s">
        <v>613</v>
      </c>
    </row>
    <row r="36" spans="1:10" x14ac:dyDescent="0.3">
      <c r="A36">
        <v>451</v>
      </c>
      <c r="B36" s="155">
        <v>45637.378819444399</v>
      </c>
      <c r="C36" s="155">
        <v>45637.38</v>
      </c>
      <c r="D36" t="s">
        <v>614</v>
      </c>
      <c r="E36" t="s">
        <v>424</v>
      </c>
      <c r="F36" t="s">
        <v>469</v>
      </c>
      <c r="G36" t="s">
        <v>467</v>
      </c>
      <c r="H36" t="s">
        <v>468</v>
      </c>
      <c r="I36" t="s">
        <v>468</v>
      </c>
    </row>
    <row r="37" spans="1:10" x14ac:dyDescent="0.3">
      <c r="A37">
        <v>452</v>
      </c>
      <c r="B37" s="155">
        <v>45637.397511574098</v>
      </c>
      <c r="C37" s="155">
        <v>45637.3977662037</v>
      </c>
      <c r="D37" t="s">
        <v>242</v>
      </c>
      <c r="E37" t="s">
        <v>241</v>
      </c>
      <c r="F37" t="s">
        <v>469</v>
      </c>
      <c r="G37" t="s">
        <v>593</v>
      </c>
      <c r="H37" t="s">
        <v>467</v>
      </c>
      <c r="I37" t="s">
        <v>467</v>
      </c>
    </row>
    <row r="38" spans="1:10" x14ac:dyDescent="0.3">
      <c r="A38">
        <v>453</v>
      </c>
      <c r="B38" s="155">
        <v>45637.394745370402</v>
      </c>
      <c r="C38" s="155">
        <v>45637.398854166699</v>
      </c>
      <c r="D38" t="s">
        <v>196</v>
      </c>
      <c r="E38" t="s">
        <v>615</v>
      </c>
      <c r="F38" t="s">
        <v>468</v>
      </c>
      <c r="G38" t="s">
        <v>468</v>
      </c>
      <c r="H38" t="s">
        <v>467</v>
      </c>
      <c r="I38" t="s">
        <v>467</v>
      </c>
      <c r="J38" t="s">
        <v>616</v>
      </c>
    </row>
    <row r="39" spans="1:10" x14ac:dyDescent="0.3">
      <c r="A39">
        <v>454</v>
      </c>
      <c r="B39" s="155">
        <v>45637.402534722198</v>
      </c>
      <c r="C39" s="155">
        <v>45637.405162037001</v>
      </c>
      <c r="D39" t="s">
        <v>224</v>
      </c>
      <c r="E39" t="s">
        <v>223</v>
      </c>
      <c r="F39" t="s">
        <v>468</v>
      </c>
      <c r="G39" t="s">
        <v>593</v>
      </c>
      <c r="H39" t="s">
        <v>467</v>
      </c>
      <c r="I39" t="s">
        <v>467</v>
      </c>
    </row>
    <row r="40" spans="1:10" x14ac:dyDescent="0.3">
      <c r="A40">
        <v>455</v>
      </c>
      <c r="B40" s="155">
        <v>45637.410127314797</v>
      </c>
      <c r="C40" s="155">
        <v>45637.411087963003</v>
      </c>
      <c r="D40" t="s">
        <v>385</v>
      </c>
      <c r="E40" t="s">
        <v>384</v>
      </c>
      <c r="F40" t="s">
        <v>468</v>
      </c>
      <c r="G40" t="s">
        <v>468</v>
      </c>
      <c r="H40" t="s">
        <v>468</v>
      </c>
      <c r="I40" t="s">
        <v>593</v>
      </c>
    </row>
    <row r="41" spans="1:10" x14ac:dyDescent="0.3">
      <c r="A41">
        <v>456</v>
      </c>
      <c r="B41" s="155">
        <v>45637.426099536999</v>
      </c>
      <c r="C41" s="155">
        <v>45637.426851851902</v>
      </c>
      <c r="D41" t="s">
        <v>183</v>
      </c>
      <c r="E41" t="s">
        <v>182</v>
      </c>
      <c r="F41" t="s">
        <v>467</v>
      </c>
      <c r="G41" t="s">
        <v>593</v>
      </c>
      <c r="H41" t="s">
        <v>467</v>
      </c>
      <c r="I41" t="s">
        <v>593</v>
      </c>
    </row>
    <row r="42" spans="1:10" x14ac:dyDescent="0.3">
      <c r="A42">
        <v>457</v>
      </c>
      <c r="B42" s="155">
        <v>45637.438472222202</v>
      </c>
      <c r="C42" s="155">
        <v>45637.4398842593</v>
      </c>
      <c r="D42" t="s">
        <v>617</v>
      </c>
      <c r="E42" t="s">
        <v>276</v>
      </c>
      <c r="F42" t="s">
        <v>467</v>
      </c>
      <c r="G42" t="s">
        <v>469</v>
      </c>
      <c r="H42" t="s">
        <v>593</v>
      </c>
      <c r="I42" t="s">
        <v>469</v>
      </c>
    </row>
    <row r="43" spans="1:10" x14ac:dyDescent="0.3">
      <c r="A43">
        <v>458</v>
      </c>
      <c r="B43" s="155">
        <v>45637.500347222202</v>
      </c>
      <c r="C43" s="155">
        <v>45637.500879629602</v>
      </c>
      <c r="D43" t="s">
        <v>383</v>
      </c>
      <c r="E43" t="s">
        <v>382</v>
      </c>
      <c r="F43" t="s">
        <v>467</v>
      </c>
      <c r="G43" t="s">
        <v>468</v>
      </c>
      <c r="H43" t="s">
        <v>468</v>
      </c>
      <c r="I43" t="s">
        <v>468</v>
      </c>
    </row>
    <row r="44" spans="1:10" x14ac:dyDescent="0.3">
      <c r="A44">
        <v>459</v>
      </c>
      <c r="B44" s="155">
        <v>45637.528692129599</v>
      </c>
      <c r="C44" s="155">
        <v>45637.528993055603</v>
      </c>
      <c r="D44" t="s">
        <v>289</v>
      </c>
      <c r="E44" t="s">
        <v>288</v>
      </c>
      <c r="F44" t="s">
        <v>467</v>
      </c>
      <c r="G44" t="s">
        <v>469</v>
      </c>
      <c r="H44" t="s">
        <v>467</v>
      </c>
      <c r="I44" t="s">
        <v>467</v>
      </c>
    </row>
    <row r="45" spans="1:10" x14ac:dyDescent="0.3">
      <c r="A45">
        <v>460</v>
      </c>
      <c r="B45" s="155">
        <v>45637.530023148101</v>
      </c>
      <c r="C45" s="155">
        <v>45637.532199074099</v>
      </c>
      <c r="D45" t="s">
        <v>158</v>
      </c>
      <c r="E45" t="s">
        <v>157</v>
      </c>
      <c r="F45" t="s">
        <v>471</v>
      </c>
      <c r="G45" t="s">
        <v>593</v>
      </c>
      <c r="H45" t="s">
        <v>593</v>
      </c>
      <c r="I45" t="s">
        <v>467</v>
      </c>
      <c r="J45" t="s">
        <v>618</v>
      </c>
    </row>
    <row r="46" spans="1:10" x14ac:dyDescent="0.3">
      <c r="A46">
        <v>461</v>
      </c>
      <c r="B46" s="155">
        <v>45637.542511574102</v>
      </c>
      <c r="C46" s="155">
        <v>45637.5440856481</v>
      </c>
      <c r="D46" t="s">
        <v>279</v>
      </c>
      <c r="E46" t="s">
        <v>278</v>
      </c>
      <c r="F46" t="s">
        <v>469</v>
      </c>
      <c r="G46" t="s">
        <v>593</v>
      </c>
      <c r="H46" t="s">
        <v>467</v>
      </c>
      <c r="I46" t="s">
        <v>467</v>
      </c>
      <c r="J46" t="s">
        <v>619</v>
      </c>
    </row>
    <row r="47" spans="1:10" x14ac:dyDescent="0.3">
      <c r="A47">
        <v>462</v>
      </c>
      <c r="B47" s="155">
        <v>45637.560983796298</v>
      </c>
      <c r="C47" s="155">
        <v>45637.561631944402</v>
      </c>
      <c r="D47" t="s">
        <v>164</v>
      </c>
      <c r="E47" t="s">
        <v>163</v>
      </c>
      <c r="F47" t="s">
        <v>468</v>
      </c>
      <c r="G47" t="s">
        <v>468</v>
      </c>
      <c r="H47" t="s">
        <v>468</v>
      </c>
      <c r="I47" t="s">
        <v>468</v>
      </c>
    </row>
    <row r="48" spans="1:10" x14ac:dyDescent="0.3">
      <c r="A48">
        <v>463</v>
      </c>
      <c r="B48" s="155">
        <v>45637.563530092601</v>
      </c>
      <c r="C48" s="155">
        <v>45637.569467592599</v>
      </c>
      <c r="D48" t="s">
        <v>275</v>
      </c>
      <c r="E48" t="s">
        <v>274</v>
      </c>
      <c r="F48" t="s">
        <v>467</v>
      </c>
      <c r="G48" t="s">
        <v>593</v>
      </c>
      <c r="H48" t="s">
        <v>467</v>
      </c>
      <c r="I48" t="s">
        <v>467</v>
      </c>
    </row>
    <row r="49" spans="1:10" x14ac:dyDescent="0.3">
      <c r="A49">
        <v>464</v>
      </c>
      <c r="B49" s="155">
        <v>45637.569027777798</v>
      </c>
      <c r="C49" s="155">
        <v>45637.570057870398</v>
      </c>
      <c r="D49" t="s">
        <v>620</v>
      </c>
      <c r="E49" t="s">
        <v>282</v>
      </c>
      <c r="F49" t="s">
        <v>468</v>
      </c>
      <c r="G49" t="s">
        <v>468</v>
      </c>
      <c r="H49" t="s">
        <v>468</v>
      </c>
      <c r="I49" t="s">
        <v>468</v>
      </c>
    </row>
    <row r="50" spans="1:10" x14ac:dyDescent="0.3">
      <c r="A50">
        <v>465</v>
      </c>
      <c r="B50" s="155">
        <v>45637.411597222199</v>
      </c>
      <c r="C50" s="155">
        <v>45637.577754629601</v>
      </c>
      <c r="D50" t="s">
        <v>343</v>
      </c>
      <c r="E50" t="s">
        <v>342</v>
      </c>
      <c r="F50" t="s">
        <v>468</v>
      </c>
      <c r="G50" t="s">
        <v>468</v>
      </c>
      <c r="H50" t="s">
        <v>468</v>
      </c>
      <c r="I50" t="s">
        <v>468</v>
      </c>
    </row>
    <row r="51" spans="1:10" x14ac:dyDescent="0.3">
      <c r="A51">
        <v>466</v>
      </c>
      <c r="B51" s="155">
        <v>45637.581863425898</v>
      </c>
      <c r="C51" s="155">
        <v>45637.582499999997</v>
      </c>
      <c r="D51" t="s">
        <v>332</v>
      </c>
      <c r="E51" t="s">
        <v>621</v>
      </c>
      <c r="F51" t="s">
        <v>467</v>
      </c>
      <c r="G51" t="s">
        <v>593</v>
      </c>
      <c r="H51" t="s">
        <v>467</v>
      </c>
      <c r="I51" t="s">
        <v>467</v>
      </c>
    </row>
    <row r="52" spans="1:10" x14ac:dyDescent="0.3">
      <c r="A52">
        <v>467</v>
      </c>
      <c r="B52" s="155">
        <v>45637.610243055598</v>
      </c>
      <c r="C52" s="155">
        <v>45637.610648148097</v>
      </c>
      <c r="D52" t="s">
        <v>320</v>
      </c>
      <c r="E52" t="s">
        <v>319</v>
      </c>
      <c r="F52" t="s">
        <v>467</v>
      </c>
      <c r="G52" t="s">
        <v>467</v>
      </c>
      <c r="H52" t="s">
        <v>467</v>
      </c>
      <c r="I52" t="s">
        <v>468</v>
      </c>
    </row>
    <row r="53" spans="1:10" x14ac:dyDescent="0.3">
      <c r="A53">
        <v>468</v>
      </c>
      <c r="B53" s="155">
        <v>45637.648206018501</v>
      </c>
      <c r="C53" s="155">
        <v>45637.652986111098</v>
      </c>
      <c r="D53" t="s">
        <v>287</v>
      </c>
      <c r="E53" t="s">
        <v>286</v>
      </c>
      <c r="F53" t="s">
        <v>467</v>
      </c>
      <c r="G53" t="s">
        <v>467</v>
      </c>
      <c r="H53" t="s">
        <v>467</v>
      </c>
      <c r="I53" t="s">
        <v>467</v>
      </c>
      <c r="J53" t="s">
        <v>622</v>
      </c>
    </row>
    <row r="54" spans="1:10" x14ac:dyDescent="0.3">
      <c r="A54">
        <v>469</v>
      </c>
      <c r="B54" s="155">
        <v>45637.721574074101</v>
      </c>
      <c r="C54" s="155">
        <v>45637.724525463003</v>
      </c>
      <c r="D54" t="s">
        <v>136</v>
      </c>
      <c r="E54" t="s">
        <v>135</v>
      </c>
      <c r="F54" t="s">
        <v>468</v>
      </c>
      <c r="G54" t="s">
        <v>468</v>
      </c>
      <c r="H54" t="s">
        <v>468</v>
      </c>
      <c r="I54" t="s">
        <v>468</v>
      </c>
      <c r="J54" t="s">
        <v>623</v>
      </c>
    </row>
    <row r="55" spans="1:10" x14ac:dyDescent="0.3">
      <c r="A55">
        <v>470</v>
      </c>
      <c r="B55" s="155">
        <v>45638.365057870396</v>
      </c>
      <c r="C55" s="155">
        <v>45638.365937499999</v>
      </c>
      <c r="D55" t="s">
        <v>624</v>
      </c>
      <c r="E55" t="s">
        <v>323</v>
      </c>
      <c r="F55" t="s">
        <v>593</v>
      </c>
      <c r="G55" t="s">
        <v>593</v>
      </c>
      <c r="H55" t="s">
        <v>467</v>
      </c>
      <c r="I55" t="s">
        <v>468</v>
      </c>
    </row>
    <row r="56" spans="1:10" x14ac:dyDescent="0.3">
      <c r="A56">
        <v>471</v>
      </c>
      <c r="B56" s="155">
        <v>45638.4425231481</v>
      </c>
      <c r="C56" s="155">
        <v>45638.443819444401</v>
      </c>
      <c r="D56" t="s">
        <v>625</v>
      </c>
      <c r="E56" t="s">
        <v>293</v>
      </c>
      <c r="F56" t="s">
        <v>468</v>
      </c>
      <c r="G56" t="s">
        <v>468</v>
      </c>
      <c r="H56" t="s">
        <v>468</v>
      </c>
      <c r="I56" t="s">
        <v>468</v>
      </c>
      <c r="J56" t="s">
        <v>626</v>
      </c>
    </row>
    <row r="57" spans="1:10" x14ac:dyDescent="0.3">
      <c r="A57">
        <v>472</v>
      </c>
      <c r="B57" s="155">
        <v>45638.486562500002</v>
      </c>
      <c r="C57" s="155">
        <v>45638.487037036997</v>
      </c>
      <c r="D57" t="s">
        <v>85</v>
      </c>
      <c r="E57" t="s">
        <v>84</v>
      </c>
      <c r="F57" t="s">
        <v>468</v>
      </c>
      <c r="G57" t="s">
        <v>468</v>
      </c>
      <c r="H57" t="s">
        <v>468</v>
      </c>
      <c r="I57" t="s">
        <v>467</v>
      </c>
      <c r="J57" t="s">
        <v>627</v>
      </c>
    </row>
    <row r="58" spans="1:10" x14ac:dyDescent="0.3">
      <c r="A58">
        <v>473</v>
      </c>
      <c r="B58" s="155">
        <v>45638.556990740697</v>
      </c>
      <c r="C58" s="155">
        <v>45638.557638888902</v>
      </c>
      <c r="D58" t="s">
        <v>194</v>
      </c>
      <c r="E58" t="s">
        <v>193</v>
      </c>
      <c r="F58" t="s">
        <v>468</v>
      </c>
      <c r="G58" t="s">
        <v>468</v>
      </c>
      <c r="H58" t="s">
        <v>468</v>
      </c>
      <c r="I58" t="s">
        <v>468</v>
      </c>
      <c r="J58" t="s">
        <v>628</v>
      </c>
    </row>
    <row r="59" spans="1:10" x14ac:dyDescent="0.3">
      <c r="A59">
        <v>474</v>
      </c>
      <c r="B59" s="155">
        <v>45638.564861111103</v>
      </c>
      <c r="C59" s="155">
        <v>45638.5652430556</v>
      </c>
      <c r="D59" t="s">
        <v>205</v>
      </c>
      <c r="E59" t="s">
        <v>204</v>
      </c>
      <c r="F59" t="s">
        <v>467</v>
      </c>
      <c r="G59" t="s">
        <v>593</v>
      </c>
      <c r="H59" t="s">
        <v>467</v>
      </c>
      <c r="I59" t="s">
        <v>467</v>
      </c>
    </row>
    <row r="60" spans="1:10" x14ac:dyDescent="0.3">
      <c r="A60">
        <v>475</v>
      </c>
      <c r="B60" s="155">
        <v>45638.569872685199</v>
      </c>
      <c r="C60" s="155">
        <v>45638.570069444402</v>
      </c>
      <c r="D60" t="s">
        <v>307</v>
      </c>
      <c r="E60" t="s">
        <v>306</v>
      </c>
      <c r="F60" t="s">
        <v>467</v>
      </c>
      <c r="G60" t="s">
        <v>467</v>
      </c>
      <c r="H60" t="s">
        <v>468</v>
      </c>
      <c r="I60" t="s">
        <v>468</v>
      </c>
    </row>
    <row r="61" spans="1:10" x14ac:dyDescent="0.3">
      <c r="A61">
        <v>476</v>
      </c>
      <c r="B61" s="155">
        <v>45638.569513888899</v>
      </c>
      <c r="C61" s="155">
        <v>45638.5702199074</v>
      </c>
      <c r="D61" t="s">
        <v>407</v>
      </c>
      <c r="E61" t="s">
        <v>406</v>
      </c>
      <c r="F61" t="s">
        <v>467</v>
      </c>
      <c r="G61" t="s">
        <v>467</v>
      </c>
      <c r="H61" t="s">
        <v>467</v>
      </c>
      <c r="I61" t="s">
        <v>467</v>
      </c>
    </row>
    <row r="62" spans="1:10" x14ac:dyDescent="0.3">
      <c r="A62">
        <v>477</v>
      </c>
      <c r="B62" s="155">
        <v>45638.575752314799</v>
      </c>
      <c r="C62" s="155">
        <v>45638.576203703698</v>
      </c>
      <c r="D62" t="s">
        <v>256</v>
      </c>
      <c r="E62" t="s">
        <v>255</v>
      </c>
      <c r="F62" t="s">
        <v>467</v>
      </c>
      <c r="G62" t="s">
        <v>593</v>
      </c>
      <c r="H62" t="s">
        <v>467</v>
      </c>
      <c r="I62" t="s">
        <v>467</v>
      </c>
    </row>
    <row r="63" spans="1:10" x14ac:dyDescent="0.3">
      <c r="A63">
        <v>478</v>
      </c>
      <c r="B63" s="155">
        <v>45638.575474537</v>
      </c>
      <c r="C63" s="155">
        <v>45638.576712962997</v>
      </c>
      <c r="D63" t="s">
        <v>362</v>
      </c>
      <c r="E63" t="s">
        <v>361</v>
      </c>
      <c r="F63" t="s">
        <v>468</v>
      </c>
      <c r="G63" t="s">
        <v>468</v>
      </c>
      <c r="H63" t="s">
        <v>468</v>
      </c>
      <c r="I63" t="s">
        <v>468</v>
      </c>
      <c r="J63" t="s">
        <v>629</v>
      </c>
    </row>
    <row r="64" spans="1:10" x14ac:dyDescent="0.3">
      <c r="A64">
        <v>479</v>
      </c>
      <c r="B64" s="155">
        <v>45638.5710300926</v>
      </c>
      <c r="C64" s="155">
        <v>45638.577777777798</v>
      </c>
      <c r="D64" t="s">
        <v>439</v>
      </c>
      <c r="E64" t="s">
        <v>438</v>
      </c>
      <c r="F64" t="s">
        <v>469</v>
      </c>
      <c r="G64" t="s">
        <v>593</v>
      </c>
      <c r="H64" t="s">
        <v>468</v>
      </c>
      <c r="I64" t="s">
        <v>468</v>
      </c>
    </row>
    <row r="65" spans="1:10" x14ac:dyDescent="0.3">
      <c r="A65">
        <v>480</v>
      </c>
      <c r="B65" s="155">
        <v>45638.577418981498</v>
      </c>
      <c r="C65" s="155">
        <v>45638.577916666698</v>
      </c>
      <c r="D65" t="s">
        <v>198</v>
      </c>
      <c r="E65" t="s">
        <v>197</v>
      </c>
      <c r="F65" t="s">
        <v>468</v>
      </c>
      <c r="G65" t="s">
        <v>468</v>
      </c>
      <c r="H65" t="s">
        <v>468</v>
      </c>
      <c r="I65" t="s">
        <v>468</v>
      </c>
      <c r="J65" t="s">
        <v>630</v>
      </c>
    </row>
    <row r="66" spans="1:10" x14ac:dyDescent="0.3">
      <c r="A66">
        <v>481</v>
      </c>
      <c r="B66" s="155">
        <v>45638.578969907401</v>
      </c>
      <c r="C66" s="155">
        <v>45638.579062500001</v>
      </c>
      <c r="D66" t="s">
        <v>202</v>
      </c>
      <c r="E66" t="s">
        <v>201</v>
      </c>
      <c r="F66" t="s">
        <v>468</v>
      </c>
      <c r="G66" t="s">
        <v>468</v>
      </c>
      <c r="H66" t="s">
        <v>468</v>
      </c>
      <c r="I66" t="s">
        <v>468</v>
      </c>
    </row>
    <row r="67" spans="1:10" x14ac:dyDescent="0.3">
      <c r="A67">
        <v>482</v>
      </c>
      <c r="B67" s="155">
        <v>45638.581412036998</v>
      </c>
      <c r="C67" s="155">
        <v>45638.583101851902</v>
      </c>
      <c r="D67" t="s">
        <v>345</v>
      </c>
      <c r="E67" t="s">
        <v>344</v>
      </c>
      <c r="F67" t="s">
        <v>467</v>
      </c>
      <c r="G67" t="s">
        <v>593</v>
      </c>
      <c r="H67" t="s">
        <v>467</v>
      </c>
      <c r="I67" t="s">
        <v>467</v>
      </c>
      <c r="J67" t="s">
        <v>631</v>
      </c>
    </row>
    <row r="68" spans="1:10" x14ac:dyDescent="0.3">
      <c r="A68">
        <v>483</v>
      </c>
      <c r="B68" s="155">
        <v>45638.580138888901</v>
      </c>
      <c r="C68" s="155">
        <v>45638.584247685198</v>
      </c>
      <c r="D68" t="s">
        <v>251</v>
      </c>
      <c r="E68" t="s">
        <v>250</v>
      </c>
      <c r="F68" t="s">
        <v>470</v>
      </c>
      <c r="G68" t="s">
        <v>593</v>
      </c>
      <c r="H68" t="s">
        <v>593</v>
      </c>
      <c r="I68" t="s">
        <v>467</v>
      </c>
      <c r="J68" t="s">
        <v>632</v>
      </c>
    </row>
    <row r="69" spans="1:10" x14ac:dyDescent="0.3">
      <c r="A69">
        <v>484</v>
      </c>
      <c r="B69" s="155">
        <v>45638.5840509259</v>
      </c>
      <c r="C69" s="155">
        <v>45638.584502314799</v>
      </c>
      <c r="D69" t="s">
        <v>150</v>
      </c>
      <c r="E69" t="s">
        <v>149</v>
      </c>
      <c r="F69" t="s">
        <v>469</v>
      </c>
      <c r="G69" t="s">
        <v>593</v>
      </c>
      <c r="H69" t="s">
        <v>593</v>
      </c>
      <c r="I69" t="s">
        <v>593</v>
      </c>
    </row>
    <row r="70" spans="1:10" x14ac:dyDescent="0.3">
      <c r="A70">
        <v>485</v>
      </c>
      <c r="B70" s="155">
        <v>45638.584918981498</v>
      </c>
      <c r="C70" s="155">
        <v>45638.585243055597</v>
      </c>
      <c r="D70" t="s">
        <v>200</v>
      </c>
      <c r="E70" t="s">
        <v>633</v>
      </c>
      <c r="F70" t="s">
        <v>467</v>
      </c>
      <c r="G70" t="s">
        <v>593</v>
      </c>
      <c r="H70" t="s">
        <v>593</v>
      </c>
      <c r="I70" t="s">
        <v>593</v>
      </c>
    </row>
    <row r="71" spans="1:10" x14ac:dyDescent="0.3">
      <c r="A71">
        <v>486</v>
      </c>
      <c r="B71" s="155">
        <v>45638.593368055597</v>
      </c>
      <c r="C71" s="155">
        <v>45638.593900462998</v>
      </c>
      <c r="D71" t="s">
        <v>305</v>
      </c>
      <c r="E71" t="s">
        <v>304</v>
      </c>
      <c r="F71" t="s">
        <v>469</v>
      </c>
      <c r="G71" t="s">
        <v>593</v>
      </c>
      <c r="H71" t="s">
        <v>593</v>
      </c>
      <c r="I71" t="s">
        <v>593</v>
      </c>
    </row>
    <row r="72" spans="1:10" x14ac:dyDescent="0.3">
      <c r="A72">
        <v>487</v>
      </c>
      <c r="B72" s="155">
        <v>45638.605092592603</v>
      </c>
      <c r="C72" s="155">
        <v>45638.605208333298</v>
      </c>
      <c r="D72" t="s">
        <v>314</v>
      </c>
      <c r="E72" t="s">
        <v>313</v>
      </c>
      <c r="F72" t="s">
        <v>467</v>
      </c>
      <c r="G72" t="s">
        <v>467</v>
      </c>
      <c r="H72" t="s">
        <v>467</v>
      </c>
      <c r="I72" t="s">
        <v>467</v>
      </c>
    </row>
    <row r="73" spans="1:10" x14ac:dyDescent="0.3">
      <c r="A73">
        <v>488</v>
      </c>
      <c r="B73" s="155">
        <v>45638.604675925897</v>
      </c>
      <c r="C73" s="155">
        <v>45638.606192129599</v>
      </c>
      <c r="D73" t="s">
        <v>215</v>
      </c>
      <c r="E73" t="s">
        <v>214</v>
      </c>
      <c r="F73" t="s">
        <v>468</v>
      </c>
      <c r="G73" t="s">
        <v>468</v>
      </c>
      <c r="H73" t="s">
        <v>468</v>
      </c>
      <c r="I73" t="s">
        <v>468</v>
      </c>
      <c r="J73" t="s">
        <v>634</v>
      </c>
    </row>
    <row r="74" spans="1:10" x14ac:dyDescent="0.3">
      <c r="A74">
        <v>489</v>
      </c>
      <c r="B74" s="155">
        <v>45638.606446759302</v>
      </c>
      <c r="C74" s="155">
        <v>45638.6072569444</v>
      </c>
      <c r="D74" t="s">
        <v>88</v>
      </c>
      <c r="E74" t="s">
        <v>87</v>
      </c>
      <c r="F74" t="s">
        <v>468</v>
      </c>
      <c r="G74" t="s">
        <v>468</v>
      </c>
      <c r="H74" t="s">
        <v>468</v>
      </c>
      <c r="I74" t="s">
        <v>468</v>
      </c>
      <c r="J74" t="s">
        <v>635</v>
      </c>
    </row>
    <row r="75" spans="1:10" x14ac:dyDescent="0.3">
      <c r="A75">
        <v>490</v>
      </c>
      <c r="B75" s="155">
        <v>45638.619317129604</v>
      </c>
      <c r="C75" s="155">
        <v>45638.619664351798</v>
      </c>
      <c r="D75" t="s">
        <v>267</v>
      </c>
      <c r="E75" t="s">
        <v>636</v>
      </c>
      <c r="F75" t="s">
        <v>468</v>
      </c>
      <c r="G75" t="s">
        <v>468</v>
      </c>
      <c r="H75" t="s">
        <v>468</v>
      </c>
      <c r="I75" t="s">
        <v>468</v>
      </c>
    </row>
    <row r="76" spans="1:10" x14ac:dyDescent="0.3">
      <c r="A76">
        <v>491</v>
      </c>
      <c r="B76" s="155">
        <v>45638.625844907401</v>
      </c>
      <c r="C76" s="155">
        <v>45638.627199074101</v>
      </c>
      <c r="D76" t="s">
        <v>637</v>
      </c>
      <c r="E76" t="s">
        <v>638</v>
      </c>
      <c r="F76" t="s">
        <v>468</v>
      </c>
      <c r="G76" t="s">
        <v>467</v>
      </c>
      <c r="H76" t="s">
        <v>468</v>
      </c>
      <c r="I76" t="s">
        <v>593</v>
      </c>
    </row>
    <row r="77" spans="1:10" x14ac:dyDescent="0.3">
      <c r="A77">
        <v>492</v>
      </c>
      <c r="B77" s="155">
        <v>45638.649074074099</v>
      </c>
      <c r="C77" s="155">
        <v>45638.650277777801</v>
      </c>
      <c r="D77" t="s">
        <v>369</v>
      </c>
      <c r="E77" t="s">
        <v>368</v>
      </c>
      <c r="F77" t="s">
        <v>467</v>
      </c>
      <c r="G77" t="s">
        <v>593</v>
      </c>
      <c r="H77" t="s">
        <v>467</v>
      </c>
      <c r="I77" t="s">
        <v>467</v>
      </c>
    </row>
    <row r="78" spans="1:10" x14ac:dyDescent="0.3">
      <c r="A78">
        <v>493</v>
      </c>
      <c r="B78" s="155">
        <v>45638.669282407398</v>
      </c>
      <c r="C78" s="155">
        <v>45638.669745370396</v>
      </c>
      <c r="D78" t="s">
        <v>365</v>
      </c>
      <c r="E78" t="s">
        <v>364</v>
      </c>
      <c r="F78" t="s">
        <v>469</v>
      </c>
      <c r="G78" t="s">
        <v>469</v>
      </c>
      <c r="H78" t="s">
        <v>469</v>
      </c>
      <c r="I78" t="s">
        <v>469</v>
      </c>
    </row>
    <row r="79" spans="1:10" x14ac:dyDescent="0.3">
      <c r="A79">
        <v>494</v>
      </c>
      <c r="B79" s="155">
        <v>45638.698240740698</v>
      </c>
      <c r="C79" s="155">
        <v>45638.698576388902</v>
      </c>
      <c r="D79" t="s">
        <v>77</v>
      </c>
      <c r="E79" t="s">
        <v>76</v>
      </c>
      <c r="F79" t="s">
        <v>468</v>
      </c>
      <c r="G79" t="s">
        <v>468</v>
      </c>
      <c r="H79" t="s">
        <v>467</v>
      </c>
      <c r="I79" t="s">
        <v>467</v>
      </c>
    </row>
    <row r="80" spans="1:10" x14ac:dyDescent="0.3">
      <c r="A80">
        <v>495</v>
      </c>
      <c r="B80" s="155">
        <v>45638.788194444402</v>
      </c>
      <c r="C80" s="155">
        <v>45638.7898726852</v>
      </c>
      <c r="D80" t="s">
        <v>639</v>
      </c>
      <c r="E80" t="s">
        <v>522</v>
      </c>
      <c r="F80" t="s">
        <v>467</v>
      </c>
      <c r="G80" t="s">
        <v>469</v>
      </c>
      <c r="H80" t="s">
        <v>467</v>
      </c>
      <c r="I80" t="s">
        <v>467</v>
      </c>
      <c r="J80" t="s">
        <v>640</v>
      </c>
    </row>
    <row r="81" spans="1:10" x14ac:dyDescent="0.3">
      <c r="A81">
        <v>496</v>
      </c>
      <c r="B81" s="155">
        <v>45638.851909722202</v>
      </c>
      <c r="C81" s="155">
        <v>45638.852245370399</v>
      </c>
      <c r="D81" t="s">
        <v>260</v>
      </c>
      <c r="E81" t="s">
        <v>259</v>
      </c>
      <c r="F81" t="s">
        <v>469</v>
      </c>
      <c r="G81" t="s">
        <v>469</v>
      </c>
      <c r="H81" t="s">
        <v>469</v>
      </c>
      <c r="I81" t="s">
        <v>470</v>
      </c>
    </row>
    <row r="82" spans="1:10" x14ac:dyDescent="0.3">
      <c r="A82">
        <v>497</v>
      </c>
      <c r="B82" s="155">
        <v>45639.361087963</v>
      </c>
      <c r="C82" s="155">
        <v>45639.361782407403</v>
      </c>
      <c r="D82" t="s">
        <v>285</v>
      </c>
      <c r="E82" t="s">
        <v>284</v>
      </c>
      <c r="F82" t="s">
        <v>469</v>
      </c>
      <c r="G82" t="s">
        <v>593</v>
      </c>
      <c r="H82" t="s">
        <v>469</v>
      </c>
      <c r="I82" t="s">
        <v>467</v>
      </c>
    </row>
    <row r="83" spans="1:10" x14ac:dyDescent="0.3">
      <c r="A83">
        <v>498</v>
      </c>
      <c r="B83" s="155">
        <v>45639.408831018503</v>
      </c>
      <c r="C83" s="155">
        <v>45639.410254629598</v>
      </c>
      <c r="D83" t="s">
        <v>641</v>
      </c>
      <c r="E83" t="s">
        <v>579</v>
      </c>
      <c r="F83" t="s">
        <v>468</v>
      </c>
      <c r="G83" t="s">
        <v>468</v>
      </c>
      <c r="H83" t="s">
        <v>468</v>
      </c>
      <c r="I83" t="s">
        <v>468</v>
      </c>
    </row>
    <row r="84" spans="1:10" x14ac:dyDescent="0.3">
      <c r="A84">
        <v>499</v>
      </c>
      <c r="B84" s="155">
        <v>45639.410532407397</v>
      </c>
      <c r="C84" s="155">
        <v>45639.411354166703</v>
      </c>
      <c r="D84" t="s">
        <v>642</v>
      </c>
      <c r="E84" t="s">
        <v>265</v>
      </c>
      <c r="F84" t="s">
        <v>467</v>
      </c>
      <c r="G84" t="s">
        <v>467</v>
      </c>
      <c r="H84" t="s">
        <v>467</v>
      </c>
      <c r="I84" t="s">
        <v>469</v>
      </c>
    </row>
    <row r="85" spans="1:10" x14ac:dyDescent="0.3">
      <c r="A85">
        <v>500</v>
      </c>
      <c r="B85" s="155">
        <v>45639.410370370402</v>
      </c>
      <c r="C85" s="155">
        <v>45639.415601851797</v>
      </c>
      <c r="D85" t="s">
        <v>643</v>
      </c>
      <c r="E85" t="s">
        <v>525</v>
      </c>
      <c r="F85" t="s">
        <v>467</v>
      </c>
      <c r="G85" t="s">
        <v>467</v>
      </c>
      <c r="H85" t="s">
        <v>467</v>
      </c>
      <c r="I85" t="s">
        <v>468</v>
      </c>
    </row>
    <row r="86" spans="1:10" x14ac:dyDescent="0.3">
      <c r="A86">
        <v>501</v>
      </c>
      <c r="B86" s="155">
        <v>45639.421458333301</v>
      </c>
      <c r="C86" s="155">
        <v>45639.422175925902</v>
      </c>
      <c r="D86" t="s">
        <v>128</v>
      </c>
      <c r="E86" t="s">
        <v>127</v>
      </c>
      <c r="F86" t="s">
        <v>468</v>
      </c>
      <c r="G86" t="s">
        <v>467</v>
      </c>
      <c r="H86" t="s">
        <v>468</v>
      </c>
      <c r="I86" t="s">
        <v>468</v>
      </c>
    </row>
    <row r="87" spans="1:10" x14ac:dyDescent="0.3">
      <c r="A87">
        <v>502</v>
      </c>
      <c r="B87" s="155">
        <v>45639.408865740697</v>
      </c>
      <c r="C87" s="155">
        <v>45639.426087963002</v>
      </c>
      <c r="D87" t="s">
        <v>326</v>
      </c>
      <c r="E87" t="s">
        <v>325</v>
      </c>
      <c r="F87" t="s">
        <v>469</v>
      </c>
      <c r="G87" t="s">
        <v>469</v>
      </c>
      <c r="H87" t="s">
        <v>467</v>
      </c>
      <c r="I87" t="s">
        <v>467</v>
      </c>
      <c r="J87" t="s">
        <v>644</v>
      </c>
    </row>
    <row r="88" spans="1:10" x14ac:dyDescent="0.3">
      <c r="A88">
        <v>503</v>
      </c>
      <c r="B88" s="155">
        <v>45639.422835648104</v>
      </c>
      <c r="C88" s="155">
        <v>45639.426527777803</v>
      </c>
      <c r="D88" t="s">
        <v>162</v>
      </c>
      <c r="E88" t="s">
        <v>161</v>
      </c>
      <c r="F88" t="s">
        <v>468</v>
      </c>
      <c r="G88" t="s">
        <v>468</v>
      </c>
      <c r="H88" t="s">
        <v>468</v>
      </c>
      <c r="I88" t="s">
        <v>468</v>
      </c>
    </row>
    <row r="89" spans="1:10" x14ac:dyDescent="0.3">
      <c r="A89">
        <v>504</v>
      </c>
      <c r="B89" s="155">
        <v>45639.428900462997</v>
      </c>
      <c r="C89" s="155">
        <v>45639.430300925902</v>
      </c>
      <c r="D89" t="s">
        <v>160</v>
      </c>
      <c r="E89" t="s">
        <v>159</v>
      </c>
      <c r="F89" t="s">
        <v>468</v>
      </c>
      <c r="G89" t="s">
        <v>468</v>
      </c>
      <c r="H89" t="s">
        <v>468</v>
      </c>
      <c r="I89" t="s">
        <v>468</v>
      </c>
    </row>
    <row r="90" spans="1:10" x14ac:dyDescent="0.3">
      <c r="A90">
        <v>505</v>
      </c>
      <c r="B90" s="155">
        <v>45639.433032407404</v>
      </c>
      <c r="C90" s="155">
        <v>45639.433587963002</v>
      </c>
      <c r="D90" t="s">
        <v>645</v>
      </c>
      <c r="E90" t="s">
        <v>521</v>
      </c>
      <c r="F90" t="s">
        <v>468</v>
      </c>
      <c r="G90" t="s">
        <v>468</v>
      </c>
      <c r="H90" t="s">
        <v>468</v>
      </c>
      <c r="I90" t="s">
        <v>468</v>
      </c>
    </row>
    <row r="91" spans="1:10" x14ac:dyDescent="0.3">
      <c r="A91">
        <v>506</v>
      </c>
      <c r="B91" s="155">
        <v>45639.435949074097</v>
      </c>
      <c r="C91" s="155">
        <v>45639.436539351896</v>
      </c>
      <c r="D91" t="s">
        <v>646</v>
      </c>
      <c r="E91" t="s">
        <v>557</v>
      </c>
      <c r="F91" t="s">
        <v>468</v>
      </c>
      <c r="G91" t="s">
        <v>468</v>
      </c>
      <c r="H91" t="s">
        <v>468</v>
      </c>
      <c r="I91" t="s">
        <v>468</v>
      </c>
    </row>
    <row r="92" spans="1:10" x14ac:dyDescent="0.3">
      <c r="A92">
        <v>507</v>
      </c>
      <c r="B92" s="155">
        <v>45639.6347916667</v>
      </c>
      <c r="C92" s="155">
        <v>45639.636134259301</v>
      </c>
      <c r="D92" t="s">
        <v>647</v>
      </c>
      <c r="E92" t="s">
        <v>68</v>
      </c>
      <c r="F92" t="s">
        <v>468</v>
      </c>
      <c r="G92" t="s">
        <v>467</v>
      </c>
      <c r="H92" t="s">
        <v>467</v>
      </c>
      <c r="I92" t="s">
        <v>468</v>
      </c>
      <c r="J92" t="s">
        <v>648</v>
      </c>
    </row>
    <row r="93" spans="1:10" x14ac:dyDescent="0.3">
      <c r="A93">
        <v>508</v>
      </c>
      <c r="B93" s="155">
        <v>45639.643657407403</v>
      </c>
      <c r="C93" s="155">
        <v>45639.643819444398</v>
      </c>
      <c r="D93" t="s">
        <v>61</v>
      </c>
      <c r="E93" t="s">
        <v>60</v>
      </c>
      <c r="F93" t="s">
        <v>467</v>
      </c>
      <c r="G93" t="s">
        <v>467</v>
      </c>
      <c r="H93" t="s">
        <v>467</v>
      </c>
      <c r="I93" t="s">
        <v>467</v>
      </c>
    </row>
    <row r="94" spans="1:10" x14ac:dyDescent="0.3">
      <c r="A94">
        <v>509</v>
      </c>
      <c r="B94" s="155">
        <v>45639.651018518503</v>
      </c>
      <c r="C94" s="155">
        <v>45639.651307870401</v>
      </c>
      <c r="D94" t="s">
        <v>350</v>
      </c>
      <c r="E94" t="s">
        <v>649</v>
      </c>
      <c r="F94" t="s">
        <v>468</v>
      </c>
      <c r="G94" t="s">
        <v>593</v>
      </c>
      <c r="H94" t="s">
        <v>467</v>
      </c>
      <c r="I94" t="s">
        <v>467</v>
      </c>
    </row>
    <row r="95" spans="1:10" x14ac:dyDescent="0.3">
      <c r="A95">
        <v>510</v>
      </c>
      <c r="B95" s="155">
        <v>45639.665717592601</v>
      </c>
      <c r="C95" s="155">
        <v>45639.666550925896</v>
      </c>
      <c r="D95" t="s">
        <v>359</v>
      </c>
      <c r="E95" t="s">
        <v>650</v>
      </c>
      <c r="F95" t="s">
        <v>467</v>
      </c>
      <c r="G95" t="s">
        <v>593</v>
      </c>
      <c r="H95" t="s">
        <v>469</v>
      </c>
      <c r="I95" t="s">
        <v>467</v>
      </c>
      <c r="J95" t="s">
        <v>651</v>
      </c>
    </row>
    <row r="96" spans="1:10" x14ac:dyDescent="0.3">
      <c r="A96">
        <v>511</v>
      </c>
      <c r="B96" s="155">
        <v>45639.813425925902</v>
      </c>
      <c r="C96" s="155">
        <v>45639.813888888901</v>
      </c>
      <c r="D96" t="s">
        <v>303</v>
      </c>
      <c r="E96" t="s">
        <v>302</v>
      </c>
      <c r="F96" t="s">
        <v>467</v>
      </c>
      <c r="G96" t="s">
        <v>467</v>
      </c>
      <c r="H96" t="s">
        <v>467</v>
      </c>
      <c r="I96" t="s">
        <v>468</v>
      </c>
    </row>
    <row r="97" spans="1:10" x14ac:dyDescent="0.3">
      <c r="A97">
        <v>512</v>
      </c>
      <c r="B97" s="155">
        <v>45642.347939814797</v>
      </c>
      <c r="C97" s="155">
        <v>45642.348900463003</v>
      </c>
      <c r="D97" t="s">
        <v>372</v>
      </c>
      <c r="E97" t="s">
        <v>371</v>
      </c>
      <c r="F97" t="s">
        <v>469</v>
      </c>
      <c r="G97" t="s">
        <v>469</v>
      </c>
      <c r="H97" t="s">
        <v>593</v>
      </c>
      <c r="I97" t="s">
        <v>467</v>
      </c>
    </row>
    <row r="98" spans="1:10" x14ac:dyDescent="0.3">
      <c r="A98">
        <v>513</v>
      </c>
      <c r="B98" s="155">
        <v>45642.412002314799</v>
      </c>
      <c r="C98" s="155">
        <v>45642.413784722201</v>
      </c>
      <c r="D98" t="s">
        <v>399</v>
      </c>
      <c r="E98" t="s">
        <v>652</v>
      </c>
      <c r="F98" t="s">
        <v>469</v>
      </c>
      <c r="G98" t="s">
        <v>469</v>
      </c>
      <c r="H98" t="s">
        <v>467</v>
      </c>
      <c r="I98" t="s">
        <v>469</v>
      </c>
      <c r="J98" t="s">
        <v>653</v>
      </c>
    </row>
    <row r="99" spans="1:10" x14ac:dyDescent="0.3">
      <c r="A99">
        <v>514</v>
      </c>
      <c r="B99" s="155">
        <v>45642.6084722222</v>
      </c>
      <c r="C99" s="155">
        <v>45642.608761574098</v>
      </c>
      <c r="D99" t="s">
        <v>123</v>
      </c>
      <c r="E99" t="s">
        <v>122</v>
      </c>
      <c r="F99" t="s">
        <v>467</v>
      </c>
      <c r="G99" t="s">
        <v>593</v>
      </c>
      <c r="H99" t="s">
        <v>467</v>
      </c>
      <c r="I99" t="s">
        <v>467</v>
      </c>
    </row>
    <row r="100" spans="1:10" x14ac:dyDescent="0.3">
      <c r="A100">
        <v>515</v>
      </c>
      <c r="B100" s="155">
        <v>45642.691250000003</v>
      </c>
      <c r="C100" s="155">
        <v>45642.692731481497</v>
      </c>
      <c r="D100" t="s">
        <v>352</v>
      </c>
      <c r="E100" t="s">
        <v>351</v>
      </c>
      <c r="F100" t="s">
        <v>467</v>
      </c>
      <c r="G100" t="s">
        <v>593</v>
      </c>
      <c r="H100" t="s">
        <v>593</v>
      </c>
      <c r="I100" t="s">
        <v>593</v>
      </c>
    </row>
  </sheetData>
  <mergeCells count="1">
    <mergeCell ref="A1:L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ConvertirATabla">
                <anchor moveWithCells="1" sizeWithCells="1">
                  <from>
                    <xdr:col>16</xdr:col>
                    <xdr:colOff>190500</xdr:colOff>
                    <xdr:row>9</xdr:row>
                    <xdr:rowOff>83820</xdr:rowOff>
                  </from>
                  <to>
                    <xdr:col>17</xdr:col>
                    <xdr:colOff>327660</xdr:colOff>
                    <xdr:row>12</xdr:row>
                    <xdr:rowOff>53340</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C5DE8-C6A5-49E8-8178-4B0ECCD3CC64}">
  <sheetPr codeName="Hoja1"/>
  <dimension ref="B2:CE72"/>
  <sheetViews>
    <sheetView topLeftCell="C1" zoomScale="86" workbookViewId="0">
      <selection activeCell="P18" sqref="P18"/>
    </sheetView>
  </sheetViews>
  <sheetFormatPr baseColWidth="10" defaultRowHeight="14.4" x14ac:dyDescent="0.3"/>
  <cols>
    <col min="1" max="1" width="3.33203125" customWidth="1"/>
    <col min="2" max="2" width="4.33203125" bestFit="1" customWidth="1"/>
    <col min="3" max="3" width="25.109375" bestFit="1" customWidth="1"/>
    <col min="5" max="5" width="5.6640625" bestFit="1" customWidth="1"/>
    <col min="6" max="6" width="6" bestFit="1" customWidth="1"/>
    <col min="7" max="7" width="5.6640625" bestFit="1" customWidth="1"/>
    <col min="8" max="8" width="4.88671875" bestFit="1" customWidth="1"/>
    <col min="9" max="9" width="5" bestFit="1" customWidth="1"/>
    <col min="10" max="14" width="7.33203125" bestFit="1" customWidth="1"/>
    <col min="15" max="15" width="7.33203125" customWidth="1"/>
    <col min="16" max="17" width="7.33203125" bestFit="1" customWidth="1"/>
    <col min="18" max="18" width="8.109375" bestFit="1" customWidth="1"/>
    <col min="19" max="20" width="7.33203125" bestFit="1" customWidth="1"/>
    <col min="21" max="21" width="8" bestFit="1" customWidth="1"/>
    <col min="22" max="32" width="7.33203125" bestFit="1" customWidth="1"/>
    <col min="33" max="34" width="5.33203125" bestFit="1" customWidth="1"/>
    <col min="35" max="38" width="7.33203125" bestFit="1" customWidth="1"/>
    <col min="39" max="39" width="5.33203125" bestFit="1" customWidth="1"/>
    <col min="40" max="40" width="6.88671875" bestFit="1" customWidth="1"/>
    <col min="41" max="44" width="7.33203125" bestFit="1" customWidth="1"/>
    <col min="45" max="45" width="5.33203125" bestFit="1" customWidth="1"/>
    <col min="46" max="46" width="6.88671875" bestFit="1" customWidth="1"/>
    <col min="47" max="50" width="7.33203125" bestFit="1" customWidth="1"/>
    <col min="51" max="51" width="5.33203125" bestFit="1" customWidth="1"/>
    <col min="52" max="56" width="7.33203125" bestFit="1" customWidth="1"/>
    <col min="57" max="57" width="5.33203125" bestFit="1" customWidth="1"/>
    <col min="58" max="58" width="5" bestFit="1" customWidth="1"/>
    <col min="59" max="59" width="5.6640625" bestFit="1" customWidth="1"/>
    <col min="60" max="60" width="5.21875" customWidth="1"/>
    <col min="61" max="61" width="6" bestFit="1" customWidth="1"/>
  </cols>
  <sheetData>
    <row r="2" spans="2:83" ht="18" x14ac:dyDescent="0.35">
      <c r="B2" s="44" t="s">
        <v>472</v>
      </c>
      <c r="J2">
        <v>1</v>
      </c>
      <c r="K2">
        <v>2</v>
      </c>
      <c r="L2">
        <v>3</v>
      </c>
      <c r="M2">
        <v>4</v>
      </c>
      <c r="N2">
        <v>5</v>
      </c>
      <c r="O2">
        <v>0</v>
      </c>
    </row>
    <row r="3" spans="2:83" x14ac:dyDescent="0.3">
      <c r="J3" t="s">
        <v>471</v>
      </c>
      <c r="K3" t="s">
        <v>470</v>
      </c>
      <c r="L3" t="s">
        <v>469</v>
      </c>
      <c r="M3" t="s">
        <v>467</v>
      </c>
      <c r="N3" t="s">
        <v>468</v>
      </c>
      <c r="O3" t="s">
        <v>473</v>
      </c>
    </row>
    <row r="4" spans="2:83" x14ac:dyDescent="0.3">
      <c r="B4" s="195" t="s">
        <v>474</v>
      </c>
      <c r="C4" s="195" t="s">
        <v>5</v>
      </c>
      <c r="D4" s="195" t="s">
        <v>475</v>
      </c>
      <c r="E4" s="184" t="s">
        <v>476</v>
      </c>
      <c r="F4" s="184"/>
      <c r="G4" s="184"/>
      <c r="H4" s="184"/>
      <c r="I4" s="182" t="s">
        <v>477</v>
      </c>
      <c r="J4" s="183"/>
      <c r="K4" s="183"/>
      <c r="L4" s="183"/>
      <c r="M4" s="183"/>
      <c r="N4" s="183"/>
      <c r="O4" s="183"/>
      <c r="P4" s="183"/>
      <c r="Q4" s="183"/>
      <c r="R4" s="183"/>
      <c r="S4" s="183"/>
      <c r="T4" s="183"/>
      <c r="U4" s="183"/>
      <c r="V4" s="183"/>
      <c r="W4" s="183"/>
      <c r="X4" s="183"/>
      <c r="Y4" s="183"/>
      <c r="Z4" s="183"/>
      <c r="AA4" s="183"/>
      <c r="AB4" s="183"/>
      <c r="AC4" s="183"/>
      <c r="AD4" s="183"/>
      <c r="AE4" s="183"/>
      <c r="AF4" s="183"/>
      <c r="AG4" s="183"/>
      <c r="AH4" s="183"/>
      <c r="AI4" s="183"/>
      <c r="AJ4" s="183"/>
      <c r="AK4" s="183"/>
      <c r="AL4" s="183"/>
      <c r="AM4" s="183"/>
      <c r="AN4" s="183"/>
      <c r="AO4" s="183"/>
      <c r="AP4" s="183"/>
      <c r="AQ4" s="183"/>
      <c r="AR4" s="183"/>
      <c r="AS4" s="183"/>
      <c r="AT4" s="183"/>
      <c r="AU4" s="183"/>
      <c r="AV4" s="183"/>
      <c r="AW4" s="183"/>
      <c r="AX4" s="183"/>
      <c r="AY4" s="183"/>
      <c r="AZ4" s="183"/>
      <c r="BA4" s="183"/>
      <c r="BB4" s="183"/>
      <c r="BC4" s="183"/>
      <c r="BD4" s="183"/>
      <c r="BE4" s="183"/>
      <c r="BF4" s="183"/>
      <c r="BG4" s="183"/>
      <c r="BH4" s="183"/>
      <c r="BI4" s="183"/>
      <c r="BJ4" s="183"/>
      <c r="BK4" s="183"/>
      <c r="BL4" s="183"/>
      <c r="BM4" s="183"/>
      <c r="BN4" s="183"/>
      <c r="BO4" s="183"/>
      <c r="BP4" s="183"/>
      <c r="BQ4" s="183"/>
      <c r="BR4" s="183"/>
      <c r="BS4" s="183"/>
      <c r="BT4" s="183"/>
      <c r="BU4" s="183"/>
      <c r="BV4" s="183"/>
      <c r="BW4" s="183"/>
    </row>
    <row r="5" spans="2:83" x14ac:dyDescent="0.3">
      <c r="B5" s="195"/>
      <c r="C5" s="195"/>
      <c r="D5" s="195"/>
      <c r="E5" s="184" t="s">
        <v>478</v>
      </c>
      <c r="F5" s="184"/>
      <c r="G5" s="45" t="s">
        <v>479</v>
      </c>
      <c r="H5" s="45"/>
      <c r="I5" s="197" t="s">
        <v>480</v>
      </c>
      <c r="J5" s="186" t="s">
        <v>481</v>
      </c>
      <c r="K5" s="180"/>
      <c r="L5" s="180"/>
      <c r="M5" s="180"/>
      <c r="N5" s="180"/>
      <c r="O5" s="180"/>
      <c r="P5" s="180" t="s">
        <v>482</v>
      </c>
      <c r="Q5" s="180"/>
      <c r="R5" s="180"/>
      <c r="S5" s="180"/>
      <c r="T5" s="180"/>
      <c r="U5" s="180"/>
      <c r="V5" s="180" t="s">
        <v>483</v>
      </c>
      <c r="W5" s="180"/>
      <c r="X5" s="180"/>
      <c r="Y5" s="180"/>
      <c r="Z5" s="180"/>
      <c r="AA5" s="180"/>
      <c r="AB5" s="180" t="s">
        <v>484</v>
      </c>
      <c r="AC5" s="180"/>
      <c r="AD5" s="180"/>
      <c r="AE5" s="180"/>
      <c r="AF5" s="180"/>
      <c r="AG5" s="180"/>
      <c r="AH5" s="180" t="s">
        <v>485</v>
      </c>
      <c r="AI5" s="180"/>
      <c r="AJ5" s="180"/>
      <c r="AK5" s="180"/>
      <c r="AL5" s="180"/>
      <c r="AM5" s="180"/>
      <c r="AN5" s="180" t="s">
        <v>486</v>
      </c>
      <c r="AO5" s="180"/>
      <c r="AP5" s="180"/>
      <c r="AQ5" s="180"/>
      <c r="AR5" s="180"/>
      <c r="AS5" s="180"/>
      <c r="AT5" s="180" t="s">
        <v>487</v>
      </c>
      <c r="AU5" s="180"/>
      <c r="AV5" s="180"/>
      <c r="AW5" s="180"/>
      <c r="AX5" s="180"/>
      <c r="AY5" s="180"/>
      <c r="AZ5" s="180" t="s">
        <v>488</v>
      </c>
      <c r="BA5" s="180"/>
      <c r="BB5" s="180"/>
      <c r="BC5" s="180"/>
      <c r="BD5" s="180"/>
      <c r="BE5" s="181"/>
      <c r="BF5" s="180" t="s">
        <v>516</v>
      </c>
      <c r="BG5" s="180"/>
      <c r="BH5" s="180"/>
      <c r="BI5" s="180"/>
      <c r="BJ5" s="180"/>
      <c r="BK5" s="181"/>
      <c r="BL5" s="180" t="s">
        <v>517</v>
      </c>
      <c r="BM5" s="180"/>
      <c r="BN5" s="180"/>
      <c r="BO5" s="180"/>
      <c r="BP5" s="180"/>
      <c r="BQ5" s="181"/>
      <c r="BR5" s="180" t="s">
        <v>518</v>
      </c>
      <c r="BS5" s="180"/>
      <c r="BT5" s="180"/>
      <c r="BU5" s="180"/>
      <c r="BV5" s="180"/>
      <c r="BW5" s="181"/>
      <c r="CC5" s="184" t="s">
        <v>489</v>
      </c>
      <c r="CD5" s="184"/>
      <c r="CE5" s="184"/>
    </row>
    <row r="6" spans="2:83" x14ac:dyDescent="0.3">
      <c r="B6" s="196"/>
      <c r="C6" s="196"/>
      <c r="D6" s="196"/>
      <c r="E6" s="46" t="s">
        <v>480</v>
      </c>
      <c r="F6" s="46" t="s">
        <v>490</v>
      </c>
      <c r="G6" s="46" t="s">
        <v>480</v>
      </c>
      <c r="H6" s="46" t="s">
        <v>490</v>
      </c>
      <c r="I6" s="197"/>
      <c r="J6" s="47" t="s">
        <v>491</v>
      </c>
      <c r="K6" s="48" t="s">
        <v>492</v>
      </c>
      <c r="L6" s="48" t="s">
        <v>493</v>
      </c>
      <c r="M6" s="48" t="s">
        <v>494</v>
      </c>
      <c r="N6" s="48" t="s">
        <v>495</v>
      </c>
      <c r="O6" s="48" t="s">
        <v>496</v>
      </c>
      <c r="P6" s="48" t="s">
        <v>491</v>
      </c>
      <c r="Q6" s="48" t="s">
        <v>492</v>
      </c>
      <c r="R6" s="48" t="s">
        <v>493</v>
      </c>
      <c r="S6" s="48" t="s">
        <v>494</v>
      </c>
      <c r="T6" s="48" t="s">
        <v>495</v>
      </c>
      <c r="U6" s="48" t="s">
        <v>496</v>
      </c>
      <c r="V6" s="48" t="s">
        <v>491</v>
      </c>
      <c r="W6" s="48" t="s">
        <v>492</v>
      </c>
      <c r="X6" s="48" t="s">
        <v>493</v>
      </c>
      <c r="Y6" s="48" t="s">
        <v>494</v>
      </c>
      <c r="Z6" s="48" t="s">
        <v>495</v>
      </c>
      <c r="AA6" s="48" t="s">
        <v>496</v>
      </c>
      <c r="AB6" s="48" t="s">
        <v>491</v>
      </c>
      <c r="AC6" s="48" t="s">
        <v>492</v>
      </c>
      <c r="AD6" s="48" t="s">
        <v>493</v>
      </c>
      <c r="AE6" s="48" t="s">
        <v>494</v>
      </c>
      <c r="AF6" s="48" t="s">
        <v>495</v>
      </c>
      <c r="AG6" s="48" t="s">
        <v>496</v>
      </c>
      <c r="AH6" s="48" t="s">
        <v>491</v>
      </c>
      <c r="AI6" s="48" t="s">
        <v>492</v>
      </c>
      <c r="AJ6" s="48" t="s">
        <v>493</v>
      </c>
      <c r="AK6" s="48" t="s">
        <v>494</v>
      </c>
      <c r="AL6" s="48" t="s">
        <v>495</v>
      </c>
      <c r="AM6" s="48" t="s">
        <v>496</v>
      </c>
      <c r="AN6" s="48" t="s">
        <v>491</v>
      </c>
      <c r="AO6" s="48" t="s">
        <v>492</v>
      </c>
      <c r="AP6" s="48" t="s">
        <v>493</v>
      </c>
      <c r="AQ6" s="48" t="s">
        <v>494</v>
      </c>
      <c r="AR6" s="48" t="s">
        <v>495</v>
      </c>
      <c r="AS6" s="48" t="s">
        <v>496</v>
      </c>
      <c r="AT6" s="48" t="s">
        <v>491</v>
      </c>
      <c r="AU6" s="48" t="s">
        <v>492</v>
      </c>
      <c r="AV6" s="48" t="s">
        <v>493</v>
      </c>
      <c r="AW6" s="48" t="s">
        <v>494</v>
      </c>
      <c r="AX6" s="48" t="s">
        <v>495</v>
      </c>
      <c r="AY6" s="48" t="s">
        <v>496</v>
      </c>
      <c r="AZ6" s="48" t="s">
        <v>491</v>
      </c>
      <c r="BA6" s="48" t="s">
        <v>492</v>
      </c>
      <c r="BB6" s="48" t="s">
        <v>493</v>
      </c>
      <c r="BC6" s="48" t="s">
        <v>494</v>
      </c>
      <c r="BD6" s="48" t="s">
        <v>495</v>
      </c>
      <c r="BE6" s="49" t="s">
        <v>496</v>
      </c>
      <c r="BF6" s="48" t="s">
        <v>491</v>
      </c>
      <c r="BG6" s="48" t="s">
        <v>492</v>
      </c>
      <c r="BH6" s="48" t="s">
        <v>493</v>
      </c>
      <c r="BI6" s="48" t="s">
        <v>494</v>
      </c>
      <c r="BJ6" s="48" t="s">
        <v>495</v>
      </c>
      <c r="BK6" s="49" t="s">
        <v>496</v>
      </c>
      <c r="BL6" s="48" t="s">
        <v>491</v>
      </c>
      <c r="BM6" s="48" t="s">
        <v>492</v>
      </c>
      <c r="BN6" s="48" t="s">
        <v>493</v>
      </c>
      <c r="BO6" s="48" t="s">
        <v>494</v>
      </c>
      <c r="BP6" s="48" t="s">
        <v>495</v>
      </c>
      <c r="BQ6" s="49" t="s">
        <v>496</v>
      </c>
      <c r="BR6" s="48" t="s">
        <v>491</v>
      </c>
      <c r="BS6" s="48" t="s">
        <v>492</v>
      </c>
      <c r="BT6" s="48" t="s">
        <v>493</v>
      </c>
      <c r="BU6" s="48" t="s">
        <v>494</v>
      </c>
      <c r="BV6" s="48" t="s">
        <v>495</v>
      </c>
      <c r="BW6" s="49" t="s">
        <v>496</v>
      </c>
      <c r="CC6" s="50" t="s">
        <v>497</v>
      </c>
      <c r="CD6" s="50" t="s">
        <v>498</v>
      </c>
      <c r="CE6" s="50" t="s">
        <v>499</v>
      </c>
    </row>
    <row r="7" spans="2:83" ht="15" thickBot="1" x14ac:dyDescent="0.35">
      <c r="B7" s="51">
        <v>1</v>
      </c>
      <c r="C7" s="52" t="s">
        <v>442</v>
      </c>
      <c r="D7" s="118">
        <v>128</v>
      </c>
      <c r="E7" s="119">
        <v>125</v>
      </c>
      <c r="F7" s="54">
        <f>E7/$D7</f>
        <v>0.9765625</v>
      </c>
      <c r="G7" s="53">
        <f>D7-E7</f>
        <v>3</v>
      </c>
      <c r="H7" s="54">
        <f>G7/$D7</f>
        <v>2.34375E-2</v>
      </c>
      <c r="I7" s="137">
        <v>5</v>
      </c>
      <c r="J7" s="56"/>
      <c r="P7" s="56"/>
      <c r="U7" s="57"/>
      <c r="V7" s="56"/>
      <c r="AA7" s="57"/>
      <c r="AB7" s="56"/>
      <c r="AG7" s="57"/>
      <c r="AH7" s="56"/>
      <c r="AM7" s="57"/>
      <c r="AN7" s="56"/>
      <c r="AS7" s="57"/>
      <c r="AT7" s="56"/>
      <c r="AY7" s="57"/>
      <c r="AZ7" s="56"/>
      <c r="BE7" s="57"/>
      <c r="BF7" s="56"/>
      <c r="BK7" s="57"/>
      <c r="BL7" s="56"/>
      <c r="BQ7" s="57"/>
      <c r="BR7" s="56"/>
      <c r="BW7" s="57"/>
      <c r="CC7" s="58" t="s">
        <v>491</v>
      </c>
      <c r="CD7" s="58" t="s">
        <v>471</v>
      </c>
      <c r="CE7" s="59">
        <v>1</v>
      </c>
    </row>
    <row r="8" spans="2:83" x14ac:dyDescent="0.3">
      <c r="B8" s="60">
        <v>2</v>
      </c>
      <c r="C8" t="s">
        <v>45</v>
      </c>
      <c r="D8" s="62">
        <f>51+89</f>
        <v>140</v>
      </c>
      <c r="E8" s="63">
        <v>89</v>
      </c>
      <c r="F8" s="64">
        <f t="shared" ref="F8:H18" si="0">E8/$D8</f>
        <v>0.63571428571428568</v>
      </c>
      <c r="G8" s="63">
        <f t="shared" ref="G8:G17" si="1">D8-E8</f>
        <v>51</v>
      </c>
      <c r="H8" s="64">
        <f t="shared" si="0"/>
        <v>0.36428571428571427</v>
      </c>
      <c r="I8" s="55">
        <v>5</v>
      </c>
      <c r="J8" s="56"/>
      <c r="P8" s="56"/>
      <c r="U8" s="57"/>
      <c r="V8" s="56"/>
      <c r="AA8" s="57"/>
      <c r="AB8" s="56"/>
      <c r="AG8" s="57"/>
      <c r="AH8" s="56"/>
      <c r="AM8" s="57"/>
      <c r="AN8" s="56"/>
      <c r="AS8" s="57"/>
      <c r="AT8" s="56"/>
      <c r="AY8" s="57"/>
      <c r="AZ8" s="56"/>
      <c r="BE8" s="57"/>
      <c r="BF8" s="56"/>
      <c r="BK8" s="57"/>
      <c r="BL8" s="56"/>
      <c r="BQ8" s="57"/>
      <c r="BR8" s="56"/>
      <c r="BW8" s="57"/>
      <c r="CC8" s="58" t="s">
        <v>492</v>
      </c>
      <c r="CD8" s="58" t="s">
        <v>470</v>
      </c>
      <c r="CE8" s="59">
        <v>2</v>
      </c>
    </row>
    <row r="9" spans="2:83" x14ac:dyDescent="0.3">
      <c r="B9" s="60">
        <v>3</v>
      </c>
      <c r="C9" t="s">
        <v>24</v>
      </c>
      <c r="D9" s="62">
        <v>75</v>
      </c>
      <c r="E9" s="63">
        <v>75</v>
      </c>
      <c r="F9" s="64">
        <f t="shared" si="0"/>
        <v>1</v>
      </c>
      <c r="G9" s="63">
        <f t="shared" si="1"/>
        <v>0</v>
      </c>
      <c r="H9" s="64">
        <f t="shared" si="0"/>
        <v>0</v>
      </c>
      <c r="I9" s="55">
        <v>4</v>
      </c>
      <c r="J9" s="56"/>
      <c r="P9" s="56"/>
      <c r="U9" s="57"/>
      <c r="V9" s="56"/>
      <c r="AA9" s="57"/>
      <c r="AB9" s="56"/>
      <c r="AG9" s="57"/>
      <c r="AH9" s="56"/>
      <c r="AM9" s="57"/>
      <c r="AN9" s="56"/>
      <c r="AS9" s="57"/>
      <c r="AT9" s="56"/>
      <c r="AY9" s="57"/>
      <c r="AZ9" s="56"/>
      <c r="BE9" s="57"/>
      <c r="BF9" s="56"/>
      <c r="BK9" s="57"/>
      <c r="BL9" s="56"/>
      <c r="BQ9" s="57"/>
      <c r="BR9" s="56"/>
      <c r="BW9" s="57"/>
      <c r="CC9" s="58" t="s">
        <v>493</v>
      </c>
      <c r="CD9" s="58" t="s">
        <v>469</v>
      </c>
      <c r="CE9" s="59">
        <v>3</v>
      </c>
    </row>
    <row r="10" spans="2:83" x14ac:dyDescent="0.3">
      <c r="B10" s="60">
        <v>4</v>
      </c>
      <c r="C10" t="s">
        <v>43</v>
      </c>
      <c r="D10" s="62">
        <f>7+64</f>
        <v>71</v>
      </c>
      <c r="E10" s="63">
        <v>64</v>
      </c>
      <c r="F10" s="64">
        <f t="shared" si="0"/>
        <v>0.90140845070422537</v>
      </c>
      <c r="G10" s="63">
        <f t="shared" si="1"/>
        <v>7</v>
      </c>
      <c r="H10" s="64">
        <f t="shared" si="0"/>
        <v>9.8591549295774641E-2</v>
      </c>
      <c r="I10" s="55">
        <v>8</v>
      </c>
      <c r="J10" s="56"/>
      <c r="P10" s="56"/>
      <c r="U10" s="57"/>
      <c r="V10" s="56"/>
      <c r="AA10" s="57"/>
      <c r="AB10" s="56"/>
      <c r="AG10" s="57"/>
      <c r="AH10" s="56"/>
      <c r="AM10" s="57"/>
      <c r="AN10" s="56"/>
      <c r="AS10" s="57"/>
      <c r="AT10" s="56"/>
      <c r="AY10" s="57"/>
      <c r="AZ10" s="56"/>
      <c r="BE10" s="57"/>
      <c r="BF10" s="56"/>
      <c r="BK10" s="57"/>
      <c r="BL10" s="56"/>
      <c r="BQ10" s="57"/>
      <c r="BR10" s="56"/>
      <c r="BW10" s="57"/>
      <c r="CC10" s="58" t="s">
        <v>494</v>
      </c>
      <c r="CD10" s="58" t="s">
        <v>467</v>
      </c>
      <c r="CE10" s="59">
        <v>4</v>
      </c>
    </row>
    <row r="11" spans="2:83" x14ac:dyDescent="0.3">
      <c r="B11" s="60">
        <v>5</v>
      </c>
      <c r="C11" t="s">
        <v>37</v>
      </c>
      <c r="D11" s="62">
        <f>7+51</f>
        <v>58</v>
      </c>
      <c r="E11" s="63">
        <v>51</v>
      </c>
      <c r="F11" s="64">
        <f t="shared" si="0"/>
        <v>0.87931034482758619</v>
      </c>
      <c r="G11" s="63">
        <f t="shared" si="1"/>
        <v>7</v>
      </c>
      <c r="H11" s="64">
        <f t="shared" si="0"/>
        <v>0.1206896551724138</v>
      </c>
      <c r="I11" s="55">
        <v>5</v>
      </c>
      <c r="J11" s="56"/>
      <c r="P11" s="56"/>
      <c r="U11" s="57"/>
      <c r="V11" s="56"/>
      <c r="AA11" s="57"/>
      <c r="AB11" s="56"/>
      <c r="AG11" s="57"/>
      <c r="AH11" s="56"/>
      <c r="AM11" s="57"/>
      <c r="AN11" s="56"/>
      <c r="AS11" s="57"/>
      <c r="AT11" s="56"/>
      <c r="AY11" s="57"/>
      <c r="AZ11" s="56"/>
      <c r="BE11" s="57"/>
      <c r="BF11" s="56"/>
      <c r="BK11" s="57"/>
      <c r="BL11" s="56"/>
      <c r="BQ11" s="57"/>
      <c r="BR11" s="56"/>
      <c r="BW11" s="57"/>
      <c r="CC11" s="58" t="s">
        <v>495</v>
      </c>
      <c r="CD11" s="58" t="s">
        <v>468</v>
      </c>
      <c r="CE11" s="59">
        <v>5</v>
      </c>
    </row>
    <row r="12" spans="2:83" x14ac:dyDescent="0.3">
      <c r="B12" s="60">
        <v>6</v>
      </c>
      <c r="C12" t="s">
        <v>18</v>
      </c>
      <c r="D12" s="135">
        <v>70</v>
      </c>
      <c r="E12" s="136">
        <v>49</v>
      </c>
      <c r="F12" s="64">
        <f t="shared" si="0"/>
        <v>0.7</v>
      </c>
      <c r="G12" s="63">
        <f t="shared" si="1"/>
        <v>21</v>
      </c>
      <c r="H12" s="64">
        <f t="shared" si="0"/>
        <v>0.3</v>
      </c>
      <c r="I12" s="137">
        <v>9</v>
      </c>
      <c r="J12" s="56"/>
      <c r="P12" s="56"/>
      <c r="U12" s="57"/>
      <c r="V12" s="56"/>
      <c r="AA12" s="57"/>
      <c r="AB12" s="56"/>
      <c r="AG12" s="57"/>
      <c r="AH12" s="56"/>
      <c r="AM12" s="57"/>
      <c r="AN12" s="56"/>
      <c r="AS12" s="57"/>
      <c r="AT12" s="56"/>
      <c r="AY12" s="57"/>
      <c r="AZ12" s="56"/>
      <c r="BE12" s="57"/>
      <c r="BF12" s="56"/>
      <c r="BK12" s="57"/>
      <c r="BL12" s="56"/>
      <c r="BQ12" s="57"/>
      <c r="BR12" s="56"/>
      <c r="BW12" s="57"/>
      <c r="CC12" s="58" t="s">
        <v>496</v>
      </c>
      <c r="CD12" s="58" t="s">
        <v>473</v>
      </c>
      <c r="CE12" s="59">
        <v>0</v>
      </c>
    </row>
    <row r="13" spans="2:83" x14ac:dyDescent="0.3">
      <c r="B13" s="60">
        <v>7</v>
      </c>
      <c r="C13" t="s">
        <v>7</v>
      </c>
      <c r="D13" s="62">
        <f>10+88</f>
        <v>98</v>
      </c>
      <c r="E13" s="63">
        <v>88</v>
      </c>
      <c r="F13" s="64">
        <f t="shared" si="0"/>
        <v>0.89795918367346939</v>
      </c>
      <c r="G13" s="63">
        <f t="shared" si="1"/>
        <v>10</v>
      </c>
      <c r="H13" s="64">
        <f t="shared" si="0"/>
        <v>0.10204081632653061</v>
      </c>
      <c r="I13" s="55">
        <v>4</v>
      </c>
      <c r="J13" s="56">
        <v>1</v>
      </c>
      <c r="K13">
        <v>4</v>
      </c>
      <c r="L13">
        <v>14</v>
      </c>
      <c r="M13">
        <v>40</v>
      </c>
      <c r="N13">
        <v>36</v>
      </c>
      <c r="O13">
        <v>1</v>
      </c>
      <c r="P13" s="56"/>
      <c r="R13">
        <v>9</v>
      </c>
      <c r="S13">
        <v>25</v>
      </c>
      <c r="T13">
        <v>30</v>
      </c>
      <c r="U13" s="57">
        <v>32</v>
      </c>
      <c r="V13" s="56"/>
      <c r="X13">
        <v>8</v>
      </c>
      <c r="Y13">
        <v>42</v>
      </c>
      <c r="Z13">
        <v>37</v>
      </c>
      <c r="AA13" s="57">
        <v>9</v>
      </c>
      <c r="AB13" s="56"/>
      <c r="AC13">
        <v>2</v>
      </c>
      <c r="AD13">
        <v>9</v>
      </c>
      <c r="AE13">
        <v>39</v>
      </c>
      <c r="AF13">
        <v>37</v>
      </c>
      <c r="AG13" s="57">
        <v>9</v>
      </c>
      <c r="AH13" s="56"/>
      <c r="AM13" s="57"/>
      <c r="AN13" s="56"/>
      <c r="AS13" s="57"/>
      <c r="AT13" s="56"/>
      <c r="AY13" s="57"/>
      <c r="AZ13" s="56"/>
      <c r="BE13" s="57"/>
      <c r="BF13" s="56"/>
      <c r="BK13" s="57"/>
      <c r="BL13" s="56"/>
      <c r="BQ13" s="57"/>
      <c r="BR13" s="56"/>
      <c r="BW13" s="57"/>
    </row>
    <row r="14" spans="2:83" x14ac:dyDescent="0.3">
      <c r="B14" s="60">
        <v>8</v>
      </c>
      <c r="C14" t="s">
        <v>12</v>
      </c>
      <c r="D14" s="62">
        <f>42+80</f>
        <v>122</v>
      </c>
      <c r="E14" s="63">
        <v>80</v>
      </c>
      <c r="F14" s="64">
        <f t="shared" si="0"/>
        <v>0.65573770491803274</v>
      </c>
      <c r="G14" s="63">
        <f t="shared" si="1"/>
        <v>42</v>
      </c>
      <c r="H14" s="64">
        <f t="shared" si="0"/>
        <v>0.34426229508196721</v>
      </c>
      <c r="I14" s="55">
        <v>5</v>
      </c>
      <c r="J14" s="56"/>
      <c r="P14" s="56"/>
      <c r="U14" s="57"/>
      <c r="V14" s="56"/>
      <c r="AA14" s="57"/>
      <c r="AB14" s="56"/>
      <c r="AG14" s="57"/>
      <c r="AH14" s="56"/>
      <c r="AM14" s="57"/>
      <c r="AN14" s="56"/>
      <c r="AS14" s="57"/>
      <c r="AT14" s="56"/>
      <c r="AY14" s="57"/>
      <c r="AZ14" s="56"/>
      <c r="BE14" s="57"/>
      <c r="BF14" s="56"/>
      <c r="BK14" s="57"/>
      <c r="BL14" s="56"/>
      <c r="BQ14" s="57"/>
      <c r="BR14" s="56"/>
      <c r="BW14" s="57"/>
    </row>
    <row r="15" spans="2:83" x14ac:dyDescent="0.3">
      <c r="B15" s="60">
        <v>9</v>
      </c>
      <c r="C15" t="s">
        <v>32</v>
      </c>
      <c r="D15" s="135">
        <v>105</v>
      </c>
      <c r="E15" s="136">
        <v>93</v>
      </c>
      <c r="F15" s="64">
        <f t="shared" si="0"/>
        <v>0.88571428571428568</v>
      </c>
      <c r="G15" s="63">
        <f t="shared" si="1"/>
        <v>12</v>
      </c>
      <c r="H15" s="64">
        <f t="shared" si="0"/>
        <v>0.11428571428571428</v>
      </c>
      <c r="I15" s="137">
        <v>4</v>
      </c>
      <c r="J15" s="56"/>
      <c r="P15" s="56"/>
      <c r="U15" s="57"/>
      <c r="V15" s="56"/>
      <c r="AA15" s="57"/>
      <c r="AB15" s="56"/>
      <c r="AG15" s="57"/>
      <c r="AH15" s="56"/>
      <c r="AM15" s="57"/>
      <c r="AN15" s="56"/>
      <c r="AS15" s="57"/>
      <c r="AT15" s="56"/>
      <c r="AY15" s="57"/>
      <c r="AZ15" s="56"/>
      <c r="BE15" s="57"/>
      <c r="BF15" s="56"/>
      <c r="BK15" s="57"/>
      <c r="BL15" s="56"/>
      <c r="BQ15" s="57"/>
      <c r="BR15" s="56"/>
      <c r="BW15" s="57"/>
    </row>
    <row r="16" spans="2:83" x14ac:dyDescent="0.3">
      <c r="B16" s="60">
        <v>10</v>
      </c>
      <c r="C16" t="s">
        <v>44</v>
      </c>
      <c r="D16" s="62">
        <f>23+54</f>
        <v>77</v>
      </c>
      <c r="E16" s="63">
        <v>54</v>
      </c>
      <c r="F16" s="64">
        <f t="shared" si="0"/>
        <v>0.70129870129870131</v>
      </c>
      <c r="G16" s="63">
        <f t="shared" si="1"/>
        <v>23</v>
      </c>
      <c r="H16" s="64">
        <f t="shared" si="0"/>
        <v>0.29870129870129869</v>
      </c>
      <c r="I16" s="55">
        <v>7</v>
      </c>
      <c r="J16" s="56"/>
      <c r="P16" s="56"/>
      <c r="U16" s="57"/>
      <c r="V16" s="56"/>
      <c r="AA16" s="57"/>
      <c r="AB16" s="56"/>
      <c r="AG16" s="57"/>
      <c r="AH16" s="56"/>
      <c r="AM16" s="57"/>
      <c r="AN16" s="56"/>
      <c r="AS16" s="57"/>
      <c r="AT16" s="56"/>
      <c r="AY16" s="57"/>
      <c r="AZ16" s="56"/>
      <c r="BE16" s="57"/>
      <c r="BF16" s="56"/>
      <c r="BK16" s="57"/>
      <c r="BL16" s="56"/>
      <c r="BQ16" s="57"/>
      <c r="BR16" s="56"/>
      <c r="BW16" s="57"/>
    </row>
    <row r="17" spans="2:75" x14ac:dyDescent="0.3">
      <c r="B17" s="65">
        <v>11</v>
      </c>
      <c r="C17" t="s">
        <v>29</v>
      </c>
      <c r="D17" s="116">
        <v>78</v>
      </c>
      <c r="E17" s="117">
        <v>73</v>
      </c>
      <c r="F17" s="67">
        <f t="shared" si="0"/>
        <v>0.9358974358974359</v>
      </c>
      <c r="G17" s="66">
        <f t="shared" si="1"/>
        <v>5</v>
      </c>
      <c r="H17" s="67">
        <f t="shared" si="0"/>
        <v>6.4102564102564097E-2</v>
      </c>
      <c r="I17" s="138">
        <v>3</v>
      </c>
      <c r="J17" s="68"/>
      <c r="K17" s="69"/>
      <c r="L17" s="69"/>
      <c r="M17" s="69"/>
      <c r="N17" s="69"/>
      <c r="O17" s="69"/>
      <c r="P17" s="68"/>
      <c r="Q17" s="69"/>
      <c r="R17" s="69"/>
      <c r="S17" s="69"/>
      <c r="T17" s="69"/>
      <c r="U17" s="70"/>
      <c r="V17" s="68"/>
      <c r="W17" s="69"/>
      <c r="X17" s="69"/>
      <c r="Y17" s="69"/>
      <c r="Z17" s="69"/>
      <c r="AA17" s="57"/>
      <c r="AB17" s="68"/>
      <c r="AC17" s="69"/>
      <c r="AD17" s="69"/>
      <c r="AE17" s="69"/>
      <c r="AF17" s="69"/>
      <c r="AG17" s="70"/>
      <c r="AH17" s="68"/>
      <c r="AI17" s="69"/>
      <c r="AJ17" s="69"/>
      <c r="AK17" s="69"/>
      <c r="AL17" s="69"/>
      <c r="AM17" s="70"/>
      <c r="AN17" s="68"/>
      <c r="AO17" s="69"/>
      <c r="AP17" s="69"/>
      <c r="AQ17" s="69"/>
      <c r="AR17" s="69"/>
      <c r="AS17" s="70"/>
      <c r="AT17" s="68"/>
      <c r="AU17" s="69"/>
      <c r="AV17" s="69"/>
      <c r="AW17" s="69"/>
      <c r="AX17" s="69"/>
      <c r="AY17" s="70"/>
      <c r="AZ17" s="68"/>
      <c r="BA17" s="69"/>
      <c r="BB17" s="69"/>
      <c r="BC17" s="69"/>
      <c r="BD17" s="69"/>
      <c r="BE17" s="70"/>
      <c r="BF17" s="68"/>
      <c r="BG17" s="69"/>
      <c r="BH17" s="69"/>
      <c r="BI17" s="69"/>
      <c r="BJ17" s="69"/>
      <c r="BK17" s="70"/>
      <c r="BL17" s="68"/>
      <c r="BM17" s="69"/>
      <c r="BN17" s="69"/>
      <c r="BO17" s="69"/>
      <c r="BP17" s="69"/>
      <c r="BQ17" s="70"/>
      <c r="BR17" s="68"/>
      <c r="BS17" s="69"/>
      <c r="BT17" s="69"/>
      <c r="BU17" s="69"/>
      <c r="BV17" s="69"/>
      <c r="BW17" s="70"/>
    </row>
    <row r="18" spans="2:75" x14ac:dyDescent="0.3">
      <c r="D18" s="71">
        <f>SUM(D7:D17)</f>
        <v>1022</v>
      </c>
      <c r="E18" s="71">
        <f>SUM(E7:E17)</f>
        <v>841</v>
      </c>
      <c r="F18" s="72">
        <f t="shared" si="0"/>
        <v>0.82289628180039143</v>
      </c>
      <c r="G18" s="71">
        <f>SUM(G7:G17)</f>
        <v>181</v>
      </c>
      <c r="H18" s="72">
        <f t="shared" si="0"/>
        <v>0.1771037181996086</v>
      </c>
      <c r="I18" s="71">
        <f>SUM(I7:I17)</f>
        <v>59</v>
      </c>
    </row>
    <row r="19" spans="2:75" x14ac:dyDescent="0.3">
      <c r="D19" s="71"/>
      <c r="E19" s="71"/>
      <c r="F19" s="72"/>
      <c r="G19" s="71"/>
      <c r="H19" s="72"/>
      <c r="I19" s="71"/>
    </row>
    <row r="20" spans="2:75" ht="15.6" x14ac:dyDescent="0.3">
      <c r="B20" s="73" t="s">
        <v>500</v>
      </c>
      <c r="C20" s="74"/>
      <c r="E20" s="72"/>
      <c r="F20" s="72"/>
      <c r="G20" s="72"/>
      <c r="H20" s="72"/>
    </row>
    <row r="22" spans="2:75" x14ac:dyDescent="0.3">
      <c r="B22" s="195" t="s">
        <v>474</v>
      </c>
      <c r="C22" s="195" t="s">
        <v>5</v>
      </c>
      <c r="D22" s="195" t="s">
        <v>475</v>
      </c>
      <c r="E22" s="184" t="s">
        <v>476</v>
      </c>
      <c r="F22" s="184"/>
      <c r="G22" s="184"/>
      <c r="H22" s="184"/>
      <c r="I22" s="182" t="s">
        <v>477</v>
      </c>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c r="AG22" s="183"/>
      <c r="AH22" s="183"/>
      <c r="AI22" s="183"/>
      <c r="AJ22" s="183"/>
      <c r="AK22" s="183"/>
      <c r="AL22" s="183"/>
      <c r="AM22" s="183"/>
      <c r="AN22" s="183"/>
      <c r="AO22" s="183"/>
      <c r="AP22" s="183"/>
      <c r="AQ22" s="183"/>
      <c r="AR22" s="183"/>
      <c r="AS22" s="183"/>
      <c r="AT22" s="183"/>
      <c r="AU22" s="183"/>
      <c r="AV22" s="183"/>
      <c r="AW22" s="183"/>
      <c r="AX22" s="183"/>
      <c r="AY22" s="183"/>
      <c r="AZ22" s="183"/>
      <c r="BA22" s="183"/>
      <c r="BB22" s="183"/>
      <c r="BC22" s="183"/>
      <c r="BD22" s="183"/>
      <c r="BE22" s="183"/>
      <c r="BF22" s="183"/>
      <c r="BG22" s="183"/>
      <c r="BH22" s="183"/>
      <c r="BI22" s="183"/>
      <c r="BJ22" s="183"/>
      <c r="BK22" s="183"/>
      <c r="BL22" s="183"/>
      <c r="BM22" s="183"/>
      <c r="BN22" s="183"/>
      <c r="BO22" s="183"/>
      <c r="BP22" s="183"/>
      <c r="BQ22" s="183"/>
      <c r="BR22" s="183"/>
      <c r="BS22" s="183"/>
      <c r="BT22" s="183"/>
      <c r="BU22" s="183"/>
      <c r="BV22" s="183"/>
      <c r="BW22" s="183"/>
    </row>
    <row r="23" spans="2:75" x14ac:dyDescent="0.3">
      <c r="B23" s="195"/>
      <c r="C23" s="195"/>
      <c r="D23" s="195"/>
      <c r="E23" s="184" t="s">
        <v>478</v>
      </c>
      <c r="F23" s="184"/>
      <c r="G23" s="45" t="s">
        <v>479</v>
      </c>
      <c r="H23" s="45"/>
      <c r="I23" s="197" t="s">
        <v>480</v>
      </c>
      <c r="J23" s="186" t="s">
        <v>481</v>
      </c>
      <c r="K23" s="180"/>
      <c r="L23" s="180"/>
      <c r="M23" s="180"/>
      <c r="N23" s="180"/>
      <c r="O23" s="180"/>
      <c r="P23" s="180" t="s">
        <v>482</v>
      </c>
      <c r="Q23" s="180"/>
      <c r="R23" s="180"/>
      <c r="S23" s="180"/>
      <c r="T23" s="180"/>
      <c r="U23" s="180"/>
      <c r="V23" s="180" t="s">
        <v>483</v>
      </c>
      <c r="W23" s="180"/>
      <c r="X23" s="180"/>
      <c r="Y23" s="180"/>
      <c r="Z23" s="180"/>
      <c r="AA23" s="180"/>
      <c r="AB23" s="180" t="s">
        <v>484</v>
      </c>
      <c r="AC23" s="180"/>
      <c r="AD23" s="180"/>
      <c r="AE23" s="180"/>
      <c r="AF23" s="180"/>
      <c r="AG23" s="180"/>
      <c r="AH23" s="180" t="s">
        <v>485</v>
      </c>
      <c r="AI23" s="180"/>
      <c r="AJ23" s="180"/>
      <c r="AK23" s="180"/>
      <c r="AL23" s="180"/>
      <c r="AM23" s="180"/>
      <c r="AN23" s="180" t="s">
        <v>486</v>
      </c>
      <c r="AO23" s="180"/>
      <c r="AP23" s="180"/>
      <c r="AQ23" s="180"/>
      <c r="AR23" s="180"/>
      <c r="AS23" s="180"/>
      <c r="AT23" s="180" t="s">
        <v>487</v>
      </c>
      <c r="AU23" s="180"/>
      <c r="AV23" s="180"/>
      <c r="AW23" s="180"/>
      <c r="AX23" s="180"/>
      <c r="AY23" s="180"/>
      <c r="AZ23" s="180" t="s">
        <v>488</v>
      </c>
      <c r="BA23" s="180"/>
      <c r="BB23" s="180"/>
      <c r="BC23" s="180"/>
      <c r="BD23" s="180"/>
      <c r="BE23" s="181"/>
      <c r="BF23" s="180" t="s">
        <v>516</v>
      </c>
      <c r="BG23" s="180"/>
      <c r="BH23" s="180"/>
      <c r="BI23" s="180"/>
      <c r="BJ23" s="180"/>
      <c r="BK23" s="181"/>
      <c r="BL23" s="180" t="s">
        <v>517</v>
      </c>
      <c r="BM23" s="180"/>
      <c r="BN23" s="180"/>
      <c r="BO23" s="180"/>
      <c r="BP23" s="180"/>
      <c r="BQ23" s="181"/>
      <c r="BR23" s="180" t="s">
        <v>518</v>
      </c>
      <c r="BS23" s="180"/>
      <c r="BT23" s="180"/>
      <c r="BU23" s="180"/>
      <c r="BV23" s="180"/>
      <c r="BW23" s="181"/>
    </row>
    <row r="24" spans="2:75" x14ac:dyDescent="0.3">
      <c r="B24" s="196"/>
      <c r="C24" s="196"/>
      <c r="D24" s="196"/>
      <c r="E24" s="46" t="s">
        <v>480</v>
      </c>
      <c r="F24" s="46" t="s">
        <v>490</v>
      </c>
      <c r="G24" s="46" t="s">
        <v>480</v>
      </c>
      <c r="H24" s="46" t="s">
        <v>490</v>
      </c>
      <c r="I24" s="197"/>
      <c r="J24" s="75" t="s">
        <v>491</v>
      </c>
      <c r="K24" s="76" t="s">
        <v>492</v>
      </c>
      <c r="L24" s="76" t="s">
        <v>493</v>
      </c>
      <c r="M24" s="76" t="s">
        <v>494</v>
      </c>
      <c r="N24" s="76" t="s">
        <v>495</v>
      </c>
      <c r="O24" s="76" t="s">
        <v>496</v>
      </c>
      <c r="P24" s="48" t="s">
        <v>491</v>
      </c>
      <c r="Q24" s="48" t="s">
        <v>492</v>
      </c>
      <c r="R24" s="48" t="s">
        <v>493</v>
      </c>
      <c r="S24" s="48" t="s">
        <v>494</v>
      </c>
      <c r="T24" s="48" t="s">
        <v>495</v>
      </c>
      <c r="U24" s="48" t="s">
        <v>496</v>
      </c>
      <c r="V24" s="48" t="s">
        <v>491</v>
      </c>
      <c r="W24" s="48" t="s">
        <v>492</v>
      </c>
      <c r="X24" s="48" t="s">
        <v>493</v>
      </c>
      <c r="Y24" s="48" t="s">
        <v>494</v>
      </c>
      <c r="Z24" s="48" t="s">
        <v>495</v>
      </c>
      <c r="AA24" s="48" t="s">
        <v>496</v>
      </c>
      <c r="AB24" s="48" t="s">
        <v>491</v>
      </c>
      <c r="AC24" s="48" t="s">
        <v>492</v>
      </c>
      <c r="AD24" s="48" t="s">
        <v>493</v>
      </c>
      <c r="AE24" s="48" t="s">
        <v>494</v>
      </c>
      <c r="AF24" s="48" t="s">
        <v>495</v>
      </c>
      <c r="AG24" s="48" t="s">
        <v>496</v>
      </c>
      <c r="AH24" s="48" t="s">
        <v>491</v>
      </c>
      <c r="AI24" s="48" t="s">
        <v>492</v>
      </c>
      <c r="AJ24" s="48" t="s">
        <v>493</v>
      </c>
      <c r="AK24" s="48" t="s">
        <v>494</v>
      </c>
      <c r="AL24" s="48" t="s">
        <v>495</v>
      </c>
      <c r="AM24" s="48" t="s">
        <v>496</v>
      </c>
      <c r="AN24" s="48" t="s">
        <v>491</v>
      </c>
      <c r="AO24" s="48" t="s">
        <v>492</v>
      </c>
      <c r="AP24" s="48" t="s">
        <v>493</v>
      </c>
      <c r="AQ24" s="48" t="s">
        <v>494</v>
      </c>
      <c r="AR24" s="48" t="s">
        <v>495</v>
      </c>
      <c r="AS24" s="48" t="s">
        <v>496</v>
      </c>
      <c r="AT24" s="48" t="s">
        <v>491</v>
      </c>
      <c r="AU24" s="48" t="s">
        <v>492</v>
      </c>
      <c r="AV24" s="48" t="s">
        <v>493</v>
      </c>
      <c r="AW24" s="48" t="s">
        <v>494</v>
      </c>
      <c r="AX24" s="48" t="s">
        <v>495</v>
      </c>
      <c r="AY24" s="48" t="s">
        <v>496</v>
      </c>
      <c r="AZ24" s="48" t="s">
        <v>491</v>
      </c>
      <c r="BA24" s="48" t="s">
        <v>492</v>
      </c>
      <c r="BB24" s="48" t="s">
        <v>493</v>
      </c>
      <c r="BC24" s="48" t="s">
        <v>494</v>
      </c>
      <c r="BD24" s="48" t="s">
        <v>495</v>
      </c>
      <c r="BE24" s="49" t="s">
        <v>496</v>
      </c>
      <c r="BF24" s="48" t="s">
        <v>491</v>
      </c>
      <c r="BG24" s="48" t="s">
        <v>492</v>
      </c>
      <c r="BH24" s="48" t="s">
        <v>493</v>
      </c>
      <c r="BI24" s="48" t="s">
        <v>494</v>
      </c>
      <c r="BJ24" s="48" t="s">
        <v>495</v>
      </c>
      <c r="BK24" s="49" t="s">
        <v>496</v>
      </c>
      <c r="BL24" s="48" t="s">
        <v>491</v>
      </c>
      <c r="BM24" s="48" t="s">
        <v>492</v>
      </c>
      <c r="BN24" s="48" t="s">
        <v>493</v>
      </c>
      <c r="BO24" s="48" t="s">
        <v>494</v>
      </c>
      <c r="BP24" s="48" t="s">
        <v>495</v>
      </c>
      <c r="BQ24" s="49" t="s">
        <v>496</v>
      </c>
      <c r="BR24" s="48" t="s">
        <v>491</v>
      </c>
      <c r="BS24" s="48" t="s">
        <v>492</v>
      </c>
      <c r="BT24" s="48" t="s">
        <v>493</v>
      </c>
      <c r="BU24" s="48" t="s">
        <v>494</v>
      </c>
      <c r="BV24" s="48" t="s">
        <v>495</v>
      </c>
      <c r="BW24" s="49" t="s">
        <v>496</v>
      </c>
    </row>
    <row r="25" spans="2:75" x14ac:dyDescent="0.3">
      <c r="B25" s="51">
        <v>1</v>
      </c>
      <c r="C25" s="52" t="str">
        <f>C7</f>
        <v>SistemasTI</v>
      </c>
      <c r="D25" s="130">
        <f>D7</f>
        <v>128</v>
      </c>
      <c r="E25" s="131">
        <f>E7</f>
        <v>125</v>
      </c>
      <c r="F25" s="54">
        <f t="shared" ref="F25:I25" si="2">F7</f>
        <v>0.9765625</v>
      </c>
      <c r="G25" s="53">
        <f t="shared" si="2"/>
        <v>3</v>
      </c>
      <c r="H25" s="54">
        <f t="shared" si="2"/>
        <v>2.34375E-2</v>
      </c>
      <c r="I25" s="137">
        <f t="shared" si="2"/>
        <v>5</v>
      </c>
      <c r="J25" s="77">
        <f t="shared" ref="J25:O35" si="3">IF(AND(J7&lt;&gt;"",J7&gt;0),(VLOOKUP(J$6,$CC$6:$CE$12,3,0)*J7)/SUM($J7:$N7),0)</f>
        <v>0</v>
      </c>
      <c r="K25" s="78">
        <f t="shared" si="3"/>
        <v>0</v>
      </c>
      <c r="L25" s="78">
        <f t="shared" si="3"/>
        <v>0</v>
      </c>
      <c r="M25" s="78">
        <f t="shared" si="3"/>
        <v>0</v>
      </c>
      <c r="N25" s="78">
        <f t="shared" si="3"/>
        <v>0</v>
      </c>
      <c r="O25" s="78">
        <f t="shared" si="3"/>
        <v>0</v>
      </c>
      <c r="P25" s="77">
        <f t="shared" ref="P25:U35" si="4">IF(AND(P7&lt;&gt;"",P7&gt;0),(VLOOKUP(P$6,$CC$6:$CE$12,3,0)*P7)/SUM($P7:$T7),0)</f>
        <v>0</v>
      </c>
      <c r="Q25" s="78">
        <f t="shared" si="4"/>
        <v>0</v>
      </c>
      <c r="R25" s="78">
        <f t="shared" si="4"/>
        <v>0</v>
      </c>
      <c r="S25" s="78">
        <f>IF(AND(S7&lt;&gt;"",S7&gt;0),(VLOOKUP(S$6,$CC$6:$CE$12,3,0)*S7)/SUM($P7:$T7),0)</f>
        <v>0</v>
      </c>
      <c r="T25" s="78">
        <f t="shared" si="4"/>
        <v>0</v>
      </c>
      <c r="U25" s="78">
        <f t="shared" si="4"/>
        <v>0</v>
      </c>
      <c r="V25" s="77">
        <f t="shared" ref="V25:AA35" si="5">IF(AND(V7&lt;&gt;"",V7&gt;0),(VLOOKUP(V$6,$CC$6:$CE$12,3,0)*V7)/SUM($V7:$Z7),0)</f>
        <v>0</v>
      </c>
      <c r="W25" s="78">
        <f t="shared" si="5"/>
        <v>0</v>
      </c>
      <c r="X25" s="78">
        <f t="shared" si="5"/>
        <v>0</v>
      </c>
      <c r="Y25" s="78">
        <f t="shared" si="5"/>
        <v>0</v>
      </c>
      <c r="Z25" s="78">
        <f t="shared" si="5"/>
        <v>0</v>
      </c>
      <c r="AA25" s="78">
        <f t="shared" si="5"/>
        <v>0</v>
      </c>
      <c r="AB25" s="77">
        <f t="shared" ref="AB25:AG26" si="6">IF(AND(AB7&lt;&gt;"",AB7&gt;0),(VLOOKUP(AB$6,$CC$6:$CE$12,3,0)*AB7)/SUM($AB7:$AF7),0)</f>
        <v>0</v>
      </c>
      <c r="AC25" s="78">
        <f t="shared" si="6"/>
        <v>0</v>
      </c>
      <c r="AD25" s="78">
        <f t="shared" si="6"/>
        <v>0</v>
      </c>
      <c r="AE25" s="78">
        <f t="shared" si="6"/>
        <v>0</v>
      </c>
      <c r="AF25" s="78">
        <f t="shared" si="6"/>
        <v>0</v>
      </c>
      <c r="AG25" s="78">
        <f t="shared" si="6"/>
        <v>0</v>
      </c>
      <c r="AH25" s="77">
        <f t="shared" ref="AH25:AM27" si="7">IF(AND(AH7&lt;&gt;"",AH7&gt;0),(VLOOKUP(AH$6,$CC$6:$CE$12,3,0)*AH7)/SUM($AH7:$AL7),0)</f>
        <v>0</v>
      </c>
      <c r="AI25" s="78">
        <f t="shared" si="7"/>
        <v>0</v>
      </c>
      <c r="AJ25" s="78">
        <f t="shared" si="7"/>
        <v>0</v>
      </c>
      <c r="AK25" s="78">
        <f t="shared" si="7"/>
        <v>0</v>
      </c>
      <c r="AL25" s="78">
        <f t="shared" si="7"/>
        <v>0</v>
      </c>
      <c r="AM25" s="78">
        <f t="shared" si="7"/>
        <v>0</v>
      </c>
      <c r="AN25" s="77">
        <f t="shared" ref="AN25:AS35" si="8">IF(AND(AN7&lt;&gt;"",AN7&gt;0),(VLOOKUP(AN$6,$CC$6:$CE$12,3,0)*AN7)/SUM($AN7:$AR7),0)</f>
        <v>0</v>
      </c>
      <c r="AO25" s="78">
        <f t="shared" si="8"/>
        <v>0</v>
      </c>
      <c r="AP25" s="78">
        <f t="shared" si="8"/>
        <v>0</v>
      </c>
      <c r="AQ25" s="78">
        <f t="shared" si="8"/>
        <v>0</v>
      </c>
      <c r="AR25" s="78">
        <f t="shared" si="8"/>
        <v>0</v>
      </c>
      <c r="AS25" s="78">
        <f t="shared" si="8"/>
        <v>0</v>
      </c>
      <c r="AT25" s="77">
        <f t="shared" ref="AT25:AY35" si="9">IF(AND(AT7&lt;&gt;"",AT7&gt;0),(VLOOKUP(AT$6,$CC$6:$CE$12,3,0)*AT7)/SUM($AT7:$AX7),0)</f>
        <v>0</v>
      </c>
      <c r="AU25" s="78">
        <f t="shared" si="9"/>
        <v>0</v>
      </c>
      <c r="AV25" s="78">
        <f t="shared" si="9"/>
        <v>0</v>
      </c>
      <c r="AW25" s="78">
        <f t="shared" si="9"/>
        <v>0</v>
      </c>
      <c r="AX25" s="78">
        <f t="shared" si="9"/>
        <v>0</v>
      </c>
      <c r="AY25" s="78">
        <f t="shared" si="9"/>
        <v>0</v>
      </c>
      <c r="AZ25" s="77">
        <f>IF(AND(AZ7&lt;&gt;"",AZ7&gt;0),(VLOOKUP(AZ$6,$CC$6:$CE$12,3,0)*AZ7)/SUM($AZ7:$BD7),0)</f>
        <v>0</v>
      </c>
      <c r="BA25" s="78">
        <f t="shared" ref="AZ25:BE35" si="10">IF(AND(BA7&lt;&gt;"",BA7&gt;0),(VLOOKUP(BA$6,$CC$6:$CE$12,3,0)*BA7)/SUM($AZ7:$BD7),0)</f>
        <v>0</v>
      </c>
      <c r="BB25" s="78">
        <f t="shared" si="10"/>
        <v>0</v>
      </c>
      <c r="BC25" s="78">
        <f t="shared" si="10"/>
        <v>0</v>
      </c>
      <c r="BD25" s="78">
        <f t="shared" si="10"/>
        <v>0</v>
      </c>
      <c r="BE25" s="78">
        <f>IF(AND(BE7&lt;&gt;"",BE7&gt;0),(VLOOKUP(BE$6,$CC$6:$CE$12,3,0)*BE7)/SUM($AZ7:$BD7),0)</f>
        <v>0</v>
      </c>
      <c r="BF25" s="78">
        <f>IF(AND(BF7&lt;&gt;"",BF7&gt;0),(VLOOKUP(BF$6,$CC$6:$CE$12,3,0)*BF7)/SUM($BF7:$BJ7),0)</f>
        <v>0</v>
      </c>
      <c r="BG25" s="78">
        <f t="shared" ref="BG25:BK25" si="11">IF(AND(BG7&lt;&gt;"",BG7&gt;0),(VLOOKUP(BG$6,$CC$6:$CE$12,3,0)*BG7)/SUM($BF7:$BJ7),0)</f>
        <v>0</v>
      </c>
      <c r="BH25" s="78">
        <f t="shared" si="11"/>
        <v>0</v>
      </c>
      <c r="BI25" s="78">
        <f t="shared" si="11"/>
        <v>0</v>
      </c>
      <c r="BJ25" s="78">
        <f t="shared" si="11"/>
        <v>0</v>
      </c>
      <c r="BK25" s="78">
        <f t="shared" si="11"/>
        <v>0</v>
      </c>
      <c r="BL25" s="77">
        <f>IF(AND(BL7&lt;&gt;"",BL7&gt;0),(VLOOKUP(BL$6,$CC$6:$CE$12,3,0)*BL7)/SUM($BL7:$BP7),0)</f>
        <v>0</v>
      </c>
      <c r="BM25" s="77">
        <f t="shared" ref="BM25:BQ25" si="12">IF(AND(BM7&lt;&gt;"",BM7&gt;0),(VLOOKUP(BM$6,$CC$6:$CE$12,3,0)*BM7)/SUM($BL7:$BP7),0)</f>
        <v>0</v>
      </c>
      <c r="BN25" s="77">
        <f t="shared" si="12"/>
        <v>0</v>
      </c>
      <c r="BO25" s="77">
        <f t="shared" si="12"/>
        <v>0</v>
      </c>
      <c r="BP25" s="77">
        <f>IF(AND(BP7&lt;&gt;"",BP7&gt;0),(VLOOKUP(BP$6,$CC$6:$CE$12,3,0)*BP7)/SUM($BL7:$BP7),0)</f>
        <v>0</v>
      </c>
      <c r="BQ25" s="77">
        <f t="shared" si="12"/>
        <v>0</v>
      </c>
      <c r="BR25" s="77">
        <f>IF(AND(BR7&lt;&gt;"",BR7&gt;0),(VLOOKUP(BR$6,$CC$6:$CE$12,3,0)*BR7)/SUM($BR7:$BV7),0)</f>
        <v>0</v>
      </c>
      <c r="BS25" s="77">
        <f t="shared" ref="BS25:BW25" si="13">IF(AND(BS7&lt;&gt;"",BS7&gt;0),(VLOOKUP(BS$6,$CC$6:$CE$12,3,0)*BS7)/SUM($BR7:$BV7),0)</f>
        <v>0</v>
      </c>
      <c r="BT25" s="77">
        <f t="shared" si="13"/>
        <v>0</v>
      </c>
      <c r="BU25" s="77">
        <f t="shared" si="13"/>
        <v>0</v>
      </c>
      <c r="BV25" s="77">
        <f t="shared" si="13"/>
        <v>0</v>
      </c>
      <c r="BW25" s="77">
        <f t="shared" si="13"/>
        <v>0</v>
      </c>
    </row>
    <row r="26" spans="2:75" x14ac:dyDescent="0.3">
      <c r="B26" s="60">
        <v>2</v>
      </c>
      <c r="C26" s="61" t="str">
        <f>C8</f>
        <v>Sistema integrado de gestión</v>
      </c>
      <c r="D26" s="130">
        <f t="shared" ref="D26:E35" si="14">D8</f>
        <v>140</v>
      </c>
      <c r="E26" s="131">
        <f t="shared" si="14"/>
        <v>89</v>
      </c>
      <c r="F26" s="64">
        <f t="shared" ref="E26:I36" si="15">F8</f>
        <v>0.63571428571428568</v>
      </c>
      <c r="G26" s="63">
        <f t="shared" si="15"/>
        <v>51</v>
      </c>
      <c r="H26" s="64">
        <f t="shared" si="15"/>
        <v>0.36428571428571427</v>
      </c>
      <c r="I26" s="55">
        <f t="shared" si="15"/>
        <v>5</v>
      </c>
      <c r="J26" s="77">
        <f t="shared" si="3"/>
        <v>0</v>
      </c>
      <c r="K26" s="78">
        <f t="shared" si="3"/>
        <v>0</v>
      </c>
      <c r="L26" s="78">
        <f t="shared" si="3"/>
        <v>0</v>
      </c>
      <c r="M26" s="78">
        <f t="shared" si="3"/>
        <v>0</v>
      </c>
      <c r="N26" s="78">
        <f t="shared" si="3"/>
        <v>0</v>
      </c>
      <c r="O26" s="78">
        <f t="shared" si="3"/>
        <v>0</v>
      </c>
      <c r="P26" s="77">
        <f t="shared" si="4"/>
        <v>0</v>
      </c>
      <c r="Q26" s="78">
        <f t="shared" si="4"/>
        <v>0</v>
      </c>
      <c r="R26" s="78">
        <f t="shared" si="4"/>
        <v>0</v>
      </c>
      <c r="S26" s="78">
        <f t="shared" si="4"/>
        <v>0</v>
      </c>
      <c r="T26" s="78">
        <f t="shared" si="4"/>
        <v>0</v>
      </c>
      <c r="U26" s="78">
        <f t="shared" si="4"/>
        <v>0</v>
      </c>
      <c r="V26" s="77">
        <f t="shared" si="5"/>
        <v>0</v>
      </c>
      <c r="W26" s="78">
        <f t="shared" si="5"/>
        <v>0</v>
      </c>
      <c r="X26" s="78">
        <f t="shared" si="5"/>
        <v>0</v>
      </c>
      <c r="Y26" s="78">
        <f t="shared" si="5"/>
        <v>0</v>
      </c>
      <c r="Z26" s="78">
        <f t="shared" si="5"/>
        <v>0</v>
      </c>
      <c r="AA26" s="78">
        <f t="shared" si="5"/>
        <v>0</v>
      </c>
      <c r="AB26" s="77">
        <f t="shared" si="6"/>
        <v>0</v>
      </c>
      <c r="AC26" s="78">
        <f t="shared" si="6"/>
        <v>0</v>
      </c>
      <c r="AD26" s="78">
        <f t="shared" si="6"/>
        <v>0</v>
      </c>
      <c r="AE26" s="78">
        <f t="shared" si="6"/>
        <v>0</v>
      </c>
      <c r="AF26" s="78">
        <f t="shared" si="6"/>
        <v>0</v>
      </c>
      <c r="AG26" s="78">
        <f t="shared" si="6"/>
        <v>0</v>
      </c>
      <c r="AH26" s="77">
        <f t="shared" si="7"/>
        <v>0</v>
      </c>
      <c r="AI26" s="78">
        <f t="shared" si="7"/>
        <v>0</v>
      </c>
      <c r="AJ26" s="78">
        <f t="shared" si="7"/>
        <v>0</v>
      </c>
      <c r="AK26" s="78">
        <f t="shared" si="7"/>
        <v>0</v>
      </c>
      <c r="AL26" s="78">
        <f t="shared" si="7"/>
        <v>0</v>
      </c>
      <c r="AM26" s="78">
        <f t="shared" si="7"/>
        <v>0</v>
      </c>
      <c r="AN26" s="77">
        <f t="shared" si="8"/>
        <v>0</v>
      </c>
      <c r="AO26" s="78">
        <f t="shared" si="8"/>
        <v>0</v>
      </c>
      <c r="AP26" s="78">
        <f t="shared" si="8"/>
        <v>0</v>
      </c>
      <c r="AQ26" s="78">
        <f t="shared" si="8"/>
        <v>0</v>
      </c>
      <c r="AR26" s="78">
        <f t="shared" si="8"/>
        <v>0</v>
      </c>
      <c r="AS26" s="78">
        <f t="shared" si="8"/>
        <v>0</v>
      </c>
      <c r="AT26" s="77">
        <f t="shared" si="9"/>
        <v>0</v>
      </c>
      <c r="AU26" s="78">
        <f t="shared" si="9"/>
        <v>0</v>
      </c>
      <c r="AV26" s="78">
        <f>IF(AND(AV8&lt;&gt;"",AV8&gt;0),(VLOOKUP(AV$6,$CC$6:$CE$12,3,0)*AV8)/SUM($AT8:$AX8),0)</f>
        <v>0</v>
      </c>
      <c r="AW26" s="78">
        <f t="shared" si="9"/>
        <v>0</v>
      </c>
      <c r="AX26" s="78">
        <f t="shared" si="9"/>
        <v>0</v>
      </c>
      <c r="AY26" s="78">
        <f t="shared" si="9"/>
        <v>0</v>
      </c>
      <c r="AZ26" s="77">
        <f t="shared" si="10"/>
        <v>0</v>
      </c>
      <c r="BA26" s="78">
        <f t="shared" si="10"/>
        <v>0</v>
      </c>
      <c r="BB26" s="78">
        <f t="shared" si="10"/>
        <v>0</v>
      </c>
      <c r="BC26" s="78">
        <f t="shared" si="10"/>
        <v>0</v>
      </c>
      <c r="BD26" s="78">
        <f t="shared" si="10"/>
        <v>0</v>
      </c>
      <c r="BE26" s="78">
        <f t="shared" si="10"/>
        <v>0</v>
      </c>
      <c r="BF26" s="78">
        <f t="shared" ref="BF26:BK26" si="16">IF(AND(BF8&lt;&gt;"",BF8&gt;0),(VLOOKUP(BF$6,$CC$6:$CE$12,3,0)*BF8)/SUM($BF8:$BJ8),0)</f>
        <v>0</v>
      </c>
      <c r="BG26" s="78">
        <f t="shared" si="16"/>
        <v>0</v>
      </c>
      <c r="BH26" s="78">
        <f t="shared" si="16"/>
        <v>0</v>
      </c>
      <c r="BI26" s="78">
        <f t="shared" si="16"/>
        <v>0</v>
      </c>
      <c r="BJ26" s="78">
        <f t="shared" si="16"/>
        <v>0</v>
      </c>
      <c r="BK26" s="78">
        <f t="shared" si="16"/>
        <v>0</v>
      </c>
      <c r="BL26" s="77">
        <f t="shared" ref="BL26:BO26" si="17">IF(AND(BL8&lt;&gt;"",BL8&gt;0),(VLOOKUP(BL$6,$CC$6:$CE$12,3,0)*BL8)/SUM($BL8:$BP8),0)</f>
        <v>0</v>
      </c>
      <c r="BM26" s="77">
        <f t="shared" si="17"/>
        <v>0</v>
      </c>
      <c r="BN26" s="77">
        <f t="shared" si="17"/>
        <v>0</v>
      </c>
      <c r="BO26" s="77">
        <f t="shared" si="17"/>
        <v>0</v>
      </c>
      <c r="BP26" s="77">
        <f>IF(AND(BP8&lt;&gt;"",BP8&gt;0),(VLOOKUP(BP$6,$CC$6:$CE$12,3,0)*BP8)/SUM($BL8:$BP8),0)</f>
        <v>0</v>
      </c>
      <c r="BQ26" s="77">
        <f>IF(AND(BQ8&lt;&gt;"",BQ8&gt;0),(VLOOKUP(BQ$6,$CC$6:$CE$12,3,0)*BQ8)/SUM($BL8:$BP8),0)</f>
        <v>0</v>
      </c>
      <c r="BR26" s="77">
        <f t="shared" ref="BR26:BW26" si="18">IF(AND(BR8&lt;&gt;"",BR8&gt;0),(VLOOKUP(BR$6,$CC$6:$CE$12,3,0)*BR8)/SUM($BR8:$BV8),0)</f>
        <v>0</v>
      </c>
      <c r="BS26" s="77">
        <f t="shared" si="18"/>
        <v>0</v>
      </c>
      <c r="BT26" s="77">
        <f t="shared" si="18"/>
        <v>0</v>
      </c>
      <c r="BU26" s="77">
        <f t="shared" si="18"/>
        <v>0</v>
      </c>
      <c r="BV26" s="77">
        <f>IF(AND(BV8&lt;&gt;"",BV8&gt;0),(VLOOKUP(BV$6,$CC$6:$CE$12,3,0)*BV8)/SUM($BR8:$BV8),0)</f>
        <v>0</v>
      </c>
      <c r="BW26" s="77">
        <f t="shared" si="18"/>
        <v>0</v>
      </c>
    </row>
    <row r="27" spans="2:75" x14ac:dyDescent="0.3">
      <c r="B27" s="60">
        <v>3</v>
      </c>
      <c r="C27" s="61" t="str">
        <f>C9</f>
        <v>FinanzasYTesorería</v>
      </c>
      <c r="D27" s="130">
        <f t="shared" si="14"/>
        <v>75</v>
      </c>
      <c r="E27" s="131">
        <f t="shared" si="14"/>
        <v>75</v>
      </c>
      <c r="F27" s="64">
        <f t="shared" si="15"/>
        <v>1</v>
      </c>
      <c r="G27" s="63">
        <f t="shared" si="15"/>
        <v>0</v>
      </c>
      <c r="H27" s="64">
        <f t="shared" si="15"/>
        <v>0</v>
      </c>
      <c r="I27" s="55">
        <f t="shared" si="15"/>
        <v>4</v>
      </c>
      <c r="J27" s="77">
        <f t="shared" si="3"/>
        <v>0</v>
      </c>
      <c r="K27" s="78">
        <f t="shared" si="3"/>
        <v>0</v>
      </c>
      <c r="L27" s="78">
        <f t="shared" si="3"/>
        <v>0</v>
      </c>
      <c r="M27" s="78">
        <f t="shared" si="3"/>
        <v>0</v>
      </c>
      <c r="N27" s="78">
        <f t="shared" si="3"/>
        <v>0</v>
      </c>
      <c r="O27" s="78">
        <f t="shared" si="3"/>
        <v>0</v>
      </c>
      <c r="P27" s="77">
        <f t="shared" si="4"/>
        <v>0</v>
      </c>
      <c r="Q27" s="78">
        <f t="shared" si="4"/>
        <v>0</v>
      </c>
      <c r="R27" s="78">
        <f t="shared" si="4"/>
        <v>0</v>
      </c>
      <c r="S27" s="78">
        <f t="shared" si="4"/>
        <v>0</v>
      </c>
      <c r="T27" s="78">
        <f t="shared" si="4"/>
        <v>0</v>
      </c>
      <c r="U27" s="78">
        <f t="shared" si="4"/>
        <v>0</v>
      </c>
      <c r="V27" s="77">
        <f t="shared" ref="V27:AA32" si="19">IF(AND(V9&lt;&gt;"",V9&gt;0),(VLOOKUP(V$6,$CC$6:$CE$12,3,0)*V9)/SUM($V9:$Z9),0)</f>
        <v>0</v>
      </c>
      <c r="W27" s="78">
        <f t="shared" si="19"/>
        <v>0</v>
      </c>
      <c r="X27" s="78">
        <f t="shared" si="19"/>
        <v>0</v>
      </c>
      <c r="Y27" s="78">
        <f t="shared" si="19"/>
        <v>0</v>
      </c>
      <c r="Z27" s="78">
        <f t="shared" si="19"/>
        <v>0</v>
      </c>
      <c r="AA27" s="78">
        <f t="shared" si="19"/>
        <v>0</v>
      </c>
      <c r="AB27" s="77">
        <f t="shared" ref="AB27:AG35" si="20">IF(AND(AB9&lt;&gt;"",AB9&gt;0),(VLOOKUP(AB$6,$CC$6:$CE$12,3,0)*AB9)/SUM($AB9:$AF9),0)</f>
        <v>0</v>
      </c>
      <c r="AC27" s="78">
        <f t="shared" si="20"/>
        <v>0</v>
      </c>
      <c r="AD27" s="78">
        <f t="shared" si="20"/>
        <v>0</v>
      </c>
      <c r="AE27" s="78">
        <f t="shared" si="20"/>
        <v>0</v>
      </c>
      <c r="AF27" s="78">
        <f t="shared" si="20"/>
        <v>0</v>
      </c>
      <c r="AG27" s="78">
        <f t="shared" si="20"/>
        <v>0</v>
      </c>
      <c r="AH27" s="77">
        <f t="shared" si="7"/>
        <v>0</v>
      </c>
      <c r="AI27" s="78">
        <f t="shared" si="7"/>
        <v>0</v>
      </c>
      <c r="AJ27" s="78">
        <f t="shared" si="7"/>
        <v>0</v>
      </c>
      <c r="AK27" s="78">
        <f t="shared" si="7"/>
        <v>0</v>
      </c>
      <c r="AL27" s="78">
        <f t="shared" si="7"/>
        <v>0</v>
      </c>
      <c r="AM27" s="78">
        <f t="shared" si="7"/>
        <v>0</v>
      </c>
      <c r="AN27" s="77">
        <f t="shared" si="8"/>
        <v>0</v>
      </c>
      <c r="AO27" s="78">
        <f t="shared" si="8"/>
        <v>0</v>
      </c>
      <c r="AP27" s="78">
        <f t="shared" si="8"/>
        <v>0</v>
      </c>
      <c r="AQ27" s="78">
        <f t="shared" si="8"/>
        <v>0</v>
      </c>
      <c r="AR27" s="78">
        <f t="shared" si="8"/>
        <v>0</v>
      </c>
      <c r="AS27" s="78">
        <f t="shared" si="8"/>
        <v>0</v>
      </c>
      <c r="AT27" s="77">
        <f t="shared" si="9"/>
        <v>0</v>
      </c>
      <c r="AU27" s="78">
        <f t="shared" si="9"/>
        <v>0</v>
      </c>
      <c r="AV27" s="78">
        <f t="shared" si="9"/>
        <v>0</v>
      </c>
      <c r="AW27" s="78">
        <f t="shared" si="9"/>
        <v>0</v>
      </c>
      <c r="AX27" s="78">
        <f t="shared" si="9"/>
        <v>0</v>
      </c>
      <c r="AY27" s="78">
        <f t="shared" si="9"/>
        <v>0</v>
      </c>
      <c r="AZ27" s="77">
        <f>IF(AND(AZ9&lt;&gt;"",AZ9&gt;0),(VLOOKUP(AZ$6,$CC$6:$CE$12,3,0)*AZ9)/SUM($AZ9:$BD9),0)</f>
        <v>0</v>
      </c>
      <c r="BA27" s="78">
        <f t="shared" si="10"/>
        <v>0</v>
      </c>
      <c r="BB27" s="78">
        <f t="shared" si="10"/>
        <v>0</v>
      </c>
      <c r="BC27" s="78">
        <f>IF(AND(BC9&lt;&gt;"",BC9&gt;0),(VLOOKUP(BC$6,$CC$6:$CE$12,3,0)*BC9)/SUM($AZ9:$BD9),0)</f>
        <v>0</v>
      </c>
      <c r="BD27" s="78">
        <f t="shared" si="10"/>
        <v>0</v>
      </c>
      <c r="BE27" s="78">
        <f>IF(AND(BE9&lt;&gt;"",BE9&gt;0),(VLOOKUP(BE$6,$CC$6:$CE$12,3,0)*BE9)/SUM($AZ9:$BD9),0)</f>
        <v>0</v>
      </c>
      <c r="BF27" s="78">
        <f t="shared" ref="BF27:BK27" si="21">IF(AND(BF9&lt;&gt;"",BF9&gt;0),(VLOOKUP(BF$6,$CC$6:$CE$12,3,0)*BF9)/SUM($BF9:$BJ9),0)</f>
        <v>0</v>
      </c>
      <c r="BG27" s="78">
        <f t="shared" si="21"/>
        <v>0</v>
      </c>
      <c r="BH27" s="78">
        <f t="shared" si="21"/>
        <v>0</v>
      </c>
      <c r="BI27" s="78">
        <f t="shared" si="21"/>
        <v>0</v>
      </c>
      <c r="BJ27" s="78">
        <f t="shared" si="21"/>
        <v>0</v>
      </c>
      <c r="BK27" s="78">
        <f t="shared" si="21"/>
        <v>0</v>
      </c>
      <c r="BL27" s="77">
        <f t="shared" ref="BL27:BQ27" si="22">IF(AND(BL9&lt;&gt;"",BL9&gt;0),(VLOOKUP(BL$6,$CC$6:$CE$12,3,0)*BL9)/SUM($BL9:$BP9),0)</f>
        <v>0</v>
      </c>
      <c r="BM27" s="77">
        <f t="shared" si="22"/>
        <v>0</v>
      </c>
      <c r="BN27" s="77">
        <f t="shared" si="22"/>
        <v>0</v>
      </c>
      <c r="BO27" s="77">
        <f t="shared" si="22"/>
        <v>0</v>
      </c>
      <c r="BP27" s="77">
        <f t="shared" si="22"/>
        <v>0</v>
      </c>
      <c r="BQ27" s="77">
        <f t="shared" si="22"/>
        <v>0</v>
      </c>
      <c r="BR27" s="77">
        <f t="shared" ref="BR27:BW27" si="23">IF(AND(BR9&lt;&gt;"",BR9&gt;0),(VLOOKUP(BR$6,$CC$6:$CE$12,3,0)*BR9)/SUM($BR9:$BV9),0)</f>
        <v>0</v>
      </c>
      <c r="BS27" s="77">
        <f t="shared" si="23"/>
        <v>0</v>
      </c>
      <c r="BT27" s="77">
        <f t="shared" si="23"/>
        <v>0</v>
      </c>
      <c r="BU27" s="77">
        <f t="shared" si="23"/>
        <v>0</v>
      </c>
      <c r="BV27" s="77">
        <f t="shared" si="23"/>
        <v>0</v>
      </c>
      <c r="BW27" s="77">
        <f t="shared" si="23"/>
        <v>0</v>
      </c>
    </row>
    <row r="28" spans="2:75" x14ac:dyDescent="0.3">
      <c r="B28" s="60">
        <v>4</v>
      </c>
      <c r="C28" s="61" t="str">
        <f>C10</f>
        <v>Seguridad</v>
      </c>
      <c r="D28" s="130">
        <f t="shared" si="14"/>
        <v>71</v>
      </c>
      <c r="E28" s="131">
        <f t="shared" si="14"/>
        <v>64</v>
      </c>
      <c r="F28" s="64">
        <f t="shared" si="15"/>
        <v>0.90140845070422537</v>
      </c>
      <c r="G28" s="63">
        <f t="shared" si="15"/>
        <v>7</v>
      </c>
      <c r="H28" s="64">
        <f t="shared" si="15"/>
        <v>9.8591549295774641E-2</v>
      </c>
      <c r="I28" s="55">
        <f t="shared" si="15"/>
        <v>8</v>
      </c>
      <c r="J28" s="77">
        <f t="shared" si="3"/>
        <v>0</v>
      </c>
      <c r="K28" s="78">
        <f t="shared" si="3"/>
        <v>0</v>
      </c>
      <c r="L28" s="78">
        <f t="shared" si="3"/>
        <v>0</v>
      </c>
      <c r="M28" s="78">
        <f t="shared" si="3"/>
        <v>0</v>
      </c>
      <c r="N28" s="78">
        <f t="shared" si="3"/>
        <v>0</v>
      </c>
      <c r="O28" s="78">
        <f t="shared" si="3"/>
        <v>0</v>
      </c>
      <c r="P28" s="77">
        <f t="shared" si="4"/>
        <v>0</v>
      </c>
      <c r="Q28" s="78">
        <f t="shared" si="4"/>
        <v>0</v>
      </c>
      <c r="R28" s="78">
        <f t="shared" si="4"/>
        <v>0</v>
      </c>
      <c r="S28" s="78">
        <f t="shared" si="4"/>
        <v>0</v>
      </c>
      <c r="T28" s="78">
        <f t="shared" si="4"/>
        <v>0</v>
      </c>
      <c r="U28" s="78">
        <f t="shared" si="4"/>
        <v>0</v>
      </c>
      <c r="V28" s="77">
        <f t="shared" si="19"/>
        <v>0</v>
      </c>
      <c r="W28" s="78">
        <f t="shared" si="19"/>
        <v>0</v>
      </c>
      <c r="X28" s="78">
        <f t="shared" si="19"/>
        <v>0</v>
      </c>
      <c r="Y28" s="78">
        <f t="shared" si="19"/>
        <v>0</v>
      </c>
      <c r="Z28" s="78">
        <f t="shared" si="19"/>
        <v>0</v>
      </c>
      <c r="AA28" s="78">
        <f t="shared" si="19"/>
        <v>0</v>
      </c>
      <c r="AB28" s="77">
        <f t="shared" si="20"/>
        <v>0</v>
      </c>
      <c r="AC28" s="78">
        <f t="shared" si="20"/>
        <v>0</v>
      </c>
      <c r="AD28" s="78">
        <f t="shared" si="20"/>
        <v>0</v>
      </c>
      <c r="AE28" s="78">
        <f t="shared" si="20"/>
        <v>0</v>
      </c>
      <c r="AF28" s="78">
        <f t="shared" si="20"/>
        <v>0</v>
      </c>
      <c r="AG28" s="78">
        <f t="shared" si="20"/>
        <v>0</v>
      </c>
      <c r="AH28" s="77">
        <f t="shared" ref="AH28:AM35" si="24">IF(AND(AH10&lt;&gt;"",AH10&gt;0),(VLOOKUP(AH$6,$CC$6:$CE$12,3,0)*AH10)/SUM($AH10:$AL10),0)</f>
        <v>0</v>
      </c>
      <c r="AI28" s="78">
        <f t="shared" si="24"/>
        <v>0</v>
      </c>
      <c r="AJ28" s="78">
        <f t="shared" si="24"/>
        <v>0</v>
      </c>
      <c r="AK28" s="78">
        <f t="shared" si="24"/>
        <v>0</v>
      </c>
      <c r="AL28" s="78">
        <f t="shared" si="24"/>
        <v>0</v>
      </c>
      <c r="AM28" s="78">
        <f t="shared" si="24"/>
        <v>0</v>
      </c>
      <c r="AN28" s="77">
        <f t="shared" si="8"/>
        <v>0</v>
      </c>
      <c r="AO28" s="78">
        <f t="shared" si="8"/>
        <v>0</v>
      </c>
      <c r="AP28" s="78">
        <f t="shared" si="8"/>
        <v>0</v>
      </c>
      <c r="AQ28" s="78">
        <f t="shared" si="8"/>
        <v>0</v>
      </c>
      <c r="AR28" s="78">
        <f t="shared" si="8"/>
        <v>0</v>
      </c>
      <c r="AS28" s="78">
        <f t="shared" si="8"/>
        <v>0</v>
      </c>
      <c r="AT28" s="77">
        <f t="shared" si="9"/>
        <v>0</v>
      </c>
      <c r="AU28" s="78">
        <f t="shared" si="9"/>
        <v>0</v>
      </c>
      <c r="AV28" s="78">
        <f t="shared" si="9"/>
        <v>0</v>
      </c>
      <c r="AW28" s="78">
        <f t="shared" si="9"/>
        <v>0</v>
      </c>
      <c r="AX28" s="78">
        <f t="shared" si="9"/>
        <v>0</v>
      </c>
      <c r="AY28" s="78">
        <f t="shared" si="9"/>
        <v>0</v>
      </c>
      <c r="AZ28" s="77">
        <f t="shared" si="10"/>
        <v>0</v>
      </c>
      <c r="BA28" s="78">
        <f t="shared" si="10"/>
        <v>0</v>
      </c>
      <c r="BB28" s="78">
        <f t="shared" si="10"/>
        <v>0</v>
      </c>
      <c r="BC28" s="78">
        <f t="shared" si="10"/>
        <v>0</v>
      </c>
      <c r="BD28" s="78">
        <f t="shared" si="10"/>
        <v>0</v>
      </c>
      <c r="BE28" s="78">
        <f t="shared" si="10"/>
        <v>0</v>
      </c>
      <c r="BF28" s="78">
        <f t="shared" ref="BF28:BK28" si="25">IF(AND(BF10&lt;&gt;"",BF10&gt;0),(VLOOKUP(BF$6,$CC$6:$CE$12,3,0)*BF10)/SUM($BF10:$BJ10),0)</f>
        <v>0</v>
      </c>
      <c r="BG28" s="78">
        <f t="shared" si="25"/>
        <v>0</v>
      </c>
      <c r="BH28" s="78">
        <f t="shared" si="25"/>
        <v>0</v>
      </c>
      <c r="BI28" s="78">
        <f t="shared" si="25"/>
        <v>0</v>
      </c>
      <c r="BJ28" s="78">
        <f t="shared" si="25"/>
        <v>0</v>
      </c>
      <c r="BK28" s="78">
        <f t="shared" si="25"/>
        <v>0</v>
      </c>
      <c r="BL28" s="77">
        <f t="shared" ref="BL28:BN28" si="26">IF(AND(BL10&lt;&gt;"",BL10&gt;0),(VLOOKUP(BL$6,$CC$6:$CE$12,3,0)*BL10)/SUM($BL10:$BP10),0)</f>
        <v>0</v>
      </c>
      <c r="BM28" s="77">
        <f t="shared" si="26"/>
        <v>0</v>
      </c>
      <c r="BN28" s="77">
        <f t="shared" si="26"/>
        <v>0</v>
      </c>
      <c r="BO28" s="77">
        <f>IF(AND(BO10&lt;&gt;"",BO10&gt;0),(VLOOKUP(BO$6,$CC$6:$CE$12,3,0)*BO10)/SUM($BL10:$BP10),0)</f>
        <v>0</v>
      </c>
      <c r="BP28" s="77">
        <f>IF(AND(BP10&lt;&gt;"",BP10&gt;0),(VLOOKUP(BP$6,$CC$6:$CE$12,3,0)*BP10)/SUM($BL10:$BP10),0)</f>
        <v>0</v>
      </c>
      <c r="BQ28" s="77">
        <f>IF(AND(BQ10&lt;&gt;"",BQ10&gt;0),(VLOOKUP(BQ$6,$CC$6:$CE$12,3,0)*BQ10)/SUM($BL10:$BP10),0)</f>
        <v>0</v>
      </c>
      <c r="BR28" s="77">
        <f t="shared" ref="BR28:BW28" si="27">IF(AND(BR10&lt;&gt;"",BR10&gt;0),(VLOOKUP(BR$6,$CC$6:$CE$12,3,0)*BR10)/SUM($BR10:$BV10),0)</f>
        <v>0</v>
      </c>
      <c r="BS28" s="77">
        <f t="shared" si="27"/>
        <v>0</v>
      </c>
      <c r="BT28" s="77">
        <f t="shared" si="27"/>
        <v>0</v>
      </c>
      <c r="BU28" s="77">
        <f t="shared" si="27"/>
        <v>0</v>
      </c>
      <c r="BV28" s="77">
        <f t="shared" si="27"/>
        <v>0</v>
      </c>
      <c r="BW28" s="77">
        <f t="shared" si="27"/>
        <v>0</v>
      </c>
    </row>
    <row r="29" spans="2:75" x14ac:dyDescent="0.3">
      <c r="B29" s="60">
        <v>5</v>
      </c>
      <c r="C29" s="61" t="str">
        <f>C11</f>
        <v>Legal</v>
      </c>
      <c r="D29" s="130">
        <f t="shared" si="14"/>
        <v>58</v>
      </c>
      <c r="E29" s="131">
        <f t="shared" si="14"/>
        <v>51</v>
      </c>
      <c r="F29" s="64">
        <f t="shared" si="15"/>
        <v>0.87931034482758619</v>
      </c>
      <c r="G29" s="63">
        <f t="shared" si="15"/>
        <v>7</v>
      </c>
      <c r="H29" s="64">
        <f t="shared" si="15"/>
        <v>0.1206896551724138</v>
      </c>
      <c r="I29" s="55">
        <f t="shared" si="15"/>
        <v>5</v>
      </c>
      <c r="J29" s="77">
        <f t="shared" si="3"/>
        <v>0</v>
      </c>
      <c r="K29" s="78">
        <f t="shared" si="3"/>
        <v>0</v>
      </c>
      <c r="L29" s="78">
        <f t="shared" si="3"/>
        <v>0</v>
      </c>
      <c r="M29" s="78">
        <f t="shared" si="3"/>
        <v>0</v>
      </c>
      <c r="N29" s="78">
        <f t="shared" si="3"/>
        <v>0</v>
      </c>
      <c r="O29" s="78">
        <f t="shared" si="3"/>
        <v>0</v>
      </c>
      <c r="P29" s="77">
        <f t="shared" si="4"/>
        <v>0</v>
      </c>
      <c r="Q29" s="78">
        <f t="shared" si="4"/>
        <v>0</v>
      </c>
      <c r="R29" s="78">
        <f t="shared" si="4"/>
        <v>0</v>
      </c>
      <c r="S29" s="78">
        <f t="shared" si="4"/>
        <v>0</v>
      </c>
      <c r="T29" s="78">
        <f t="shared" si="4"/>
        <v>0</v>
      </c>
      <c r="U29" s="78">
        <f t="shared" si="4"/>
        <v>0</v>
      </c>
      <c r="V29" s="77">
        <f t="shared" si="19"/>
        <v>0</v>
      </c>
      <c r="W29" s="78">
        <f t="shared" si="19"/>
        <v>0</v>
      </c>
      <c r="X29" s="78">
        <f t="shared" si="19"/>
        <v>0</v>
      </c>
      <c r="Y29" s="78">
        <f t="shared" si="19"/>
        <v>0</v>
      </c>
      <c r="Z29" s="78">
        <f t="shared" si="19"/>
        <v>0</v>
      </c>
      <c r="AA29" s="78">
        <f t="shared" si="19"/>
        <v>0</v>
      </c>
      <c r="AB29" s="77">
        <f t="shared" si="20"/>
        <v>0</v>
      </c>
      <c r="AC29" s="78">
        <f t="shared" si="20"/>
        <v>0</v>
      </c>
      <c r="AD29" s="78">
        <f t="shared" si="20"/>
        <v>0</v>
      </c>
      <c r="AE29" s="78">
        <f t="shared" si="20"/>
        <v>0</v>
      </c>
      <c r="AF29" s="78">
        <f t="shared" si="20"/>
        <v>0</v>
      </c>
      <c r="AG29" s="78">
        <f t="shared" si="20"/>
        <v>0</v>
      </c>
      <c r="AH29" s="77">
        <f t="shared" si="24"/>
        <v>0</v>
      </c>
      <c r="AI29" s="78">
        <f t="shared" si="24"/>
        <v>0</v>
      </c>
      <c r="AJ29" s="78">
        <f t="shared" si="24"/>
        <v>0</v>
      </c>
      <c r="AK29" s="78">
        <f t="shared" si="24"/>
        <v>0</v>
      </c>
      <c r="AL29" s="78">
        <f t="shared" si="24"/>
        <v>0</v>
      </c>
      <c r="AM29" s="78">
        <f t="shared" si="24"/>
        <v>0</v>
      </c>
      <c r="AN29" s="77">
        <f t="shared" si="8"/>
        <v>0</v>
      </c>
      <c r="AO29" s="78">
        <f t="shared" si="8"/>
        <v>0</v>
      </c>
      <c r="AP29" s="78">
        <f t="shared" si="8"/>
        <v>0</v>
      </c>
      <c r="AQ29" s="78">
        <f t="shared" si="8"/>
        <v>0</v>
      </c>
      <c r="AR29" s="78">
        <f t="shared" si="8"/>
        <v>0</v>
      </c>
      <c r="AS29" s="78">
        <f t="shared" si="8"/>
        <v>0</v>
      </c>
      <c r="AT29" s="77">
        <f t="shared" si="9"/>
        <v>0</v>
      </c>
      <c r="AU29" s="78">
        <f t="shared" si="9"/>
        <v>0</v>
      </c>
      <c r="AV29" s="78">
        <f t="shared" si="9"/>
        <v>0</v>
      </c>
      <c r="AW29" s="78">
        <f t="shared" si="9"/>
        <v>0</v>
      </c>
      <c r="AX29" s="78">
        <f t="shared" si="9"/>
        <v>0</v>
      </c>
      <c r="AY29" s="78">
        <f t="shared" si="9"/>
        <v>0</v>
      </c>
      <c r="AZ29" s="77">
        <f t="shared" si="10"/>
        <v>0</v>
      </c>
      <c r="BA29" s="78">
        <f t="shared" si="10"/>
        <v>0</v>
      </c>
      <c r="BB29" s="78">
        <f t="shared" si="10"/>
        <v>0</v>
      </c>
      <c r="BC29" s="78">
        <f t="shared" si="10"/>
        <v>0</v>
      </c>
      <c r="BD29" s="78">
        <f t="shared" si="10"/>
        <v>0</v>
      </c>
      <c r="BE29" s="78">
        <f t="shared" si="10"/>
        <v>0</v>
      </c>
      <c r="BF29" s="78">
        <f t="shared" ref="BF29:BK29" si="28">IF(AND(BF11&lt;&gt;"",BF11&gt;0),(VLOOKUP(BF$6,$CC$6:$CE$12,3,0)*BF11)/SUM($BF11:$BJ11),0)</f>
        <v>0</v>
      </c>
      <c r="BG29" s="78">
        <f t="shared" si="28"/>
        <v>0</v>
      </c>
      <c r="BH29" s="78">
        <f t="shared" si="28"/>
        <v>0</v>
      </c>
      <c r="BI29" s="78">
        <f t="shared" si="28"/>
        <v>0</v>
      </c>
      <c r="BJ29" s="78">
        <f t="shared" si="28"/>
        <v>0</v>
      </c>
      <c r="BK29" s="78">
        <f t="shared" si="28"/>
        <v>0</v>
      </c>
      <c r="BL29" s="77">
        <f t="shared" ref="BL29:BQ29" si="29">IF(AND(BL11&lt;&gt;"",BL11&gt;0),(VLOOKUP(BL$6,$CC$6:$CE$12,3,0)*BL11)/SUM($BL11:$BP11),0)</f>
        <v>0</v>
      </c>
      <c r="BM29" s="77">
        <f t="shared" si="29"/>
        <v>0</v>
      </c>
      <c r="BN29" s="77">
        <f t="shared" si="29"/>
        <v>0</v>
      </c>
      <c r="BO29" s="77">
        <f t="shared" si="29"/>
        <v>0</v>
      </c>
      <c r="BP29" s="77">
        <f t="shared" si="29"/>
        <v>0</v>
      </c>
      <c r="BQ29" s="77">
        <f t="shared" si="29"/>
        <v>0</v>
      </c>
      <c r="BR29" s="77">
        <f t="shared" ref="BR29:BW29" si="30">IF(AND(BR11&lt;&gt;"",BR11&gt;0),(VLOOKUP(BR$6,$CC$6:$CE$12,3,0)*BR11)/SUM($BR11:$BV11),0)</f>
        <v>0</v>
      </c>
      <c r="BS29" s="77">
        <f t="shared" si="30"/>
        <v>0</v>
      </c>
      <c r="BT29" s="77">
        <f t="shared" si="30"/>
        <v>0</v>
      </c>
      <c r="BU29" s="77">
        <f t="shared" si="30"/>
        <v>0</v>
      </c>
      <c r="BV29" s="77">
        <f t="shared" si="30"/>
        <v>0</v>
      </c>
      <c r="BW29" s="77">
        <f t="shared" si="30"/>
        <v>0</v>
      </c>
    </row>
    <row r="30" spans="2:75" x14ac:dyDescent="0.3">
      <c r="B30" s="60">
        <v>6</v>
      </c>
      <c r="C30" s="61" t="str">
        <f t="shared" ref="C30:C35" si="31">C12</f>
        <v>Calidad</v>
      </c>
      <c r="D30" s="130">
        <f>D12</f>
        <v>70</v>
      </c>
      <c r="E30" s="131">
        <f t="shared" ref="E30:E35" si="32">E12</f>
        <v>49</v>
      </c>
      <c r="F30" s="64">
        <f t="shared" si="15"/>
        <v>0.7</v>
      </c>
      <c r="G30" s="63">
        <f t="shared" si="15"/>
        <v>21</v>
      </c>
      <c r="H30" s="64">
        <f t="shared" si="15"/>
        <v>0.3</v>
      </c>
      <c r="I30" s="137">
        <f t="shared" si="15"/>
        <v>9</v>
      </c>
      <c r="J30" s="77">
        <f t="shared" si="3"/>
        <v>0</v>
      </c>
      <c r="K30" s="78">
        <f t="shared" si="3"/>
        <v>0</v>
      </c>
      <c r="L30" s="78">
        <f t="shared" si="3"/>
        <v>0</v>
      </c>
      <c r="M30" s="78">
        <f t="shared" si="3"/>
        <v>0</v>
      </c>
      <c r="N30" s="78">
        <f t="shared" si="3"/>
        <v>0</v>
      </c>
      <c r="O30" s="78">
        <f t="shared" si="3"/>
        <v>0</v>
      </c>
      <c r="P30" s="77">
        <f t="shared" si="4"/>
        <v>0</v>
      </c>
      <c r="Q30" s="78">
        <f t="shared" si="4"/>
        <v>0</v>
      </c>
      <c r="R30" s="78">
        <f t="shared" si="4"/>
        <v>0</v>
      </c>
      <c r="S30" s="78">
        <f t="shared" si="4"/>
        <v>0</v>
      </c>
      <c r="T30" s="78">
        <f t="shared" si="4"/>
        <v>0</v>
      </c>
      <c r="U30" s="78">
        <f t="shared" si="4"/>
        <v>0</v>
      </c>
      <c r="V30" s="77">
        <f t="shared" si="19"/>
        <v>0</v>
      </c>
      <c r="W30" s="78">
        <f t="shared" si="19"/>
        <v>0</v>
      </c>
      <c r="X30" s="78">
        <f t="shared" si="19"/>
        <v>0</v>
      </c>
      <c r="Y30" s="78">
        <f t="shared" si="19"/>
        <v>0</v>
      </c>
      <c r="Z30" s="78">
        <f t="shared" si="19"/>
        <v>0</v>
      </c>
      <c r="AA30" s="78">
        <f t="shared" si="19"/>
        <v>0</v>
      </c>
      <c r="AB30" s="77">
        <f t="shared" si="20"/>
        <v>0</v>
      </c>
      <c r="AC30" s="78">
        <f t="shared" si="20"/>
        <v>0</v>
      </c>
      <c r="AD30" s="78">
        <f t="shared" si="20"/>
        <v>0</v>
      </c>
      <c r="AE30" s="78">
        <f t="shared" si="20"/>
        <v>0</v>
      </c>
      <c r="AF30" s="78">
        <f t="shared" si="20"/>
        <v>0</v>
      </c>
      <c r="AG30" s="78">
        <f t="shared" si="20"/>
        <v>0</v>
      </c>
      <c r="AH30" s="77">
        <f t="shared" si="24"/>
        <v>0</v>
      </c>
      <c r="AI30" s="78">
        <f t="shared" si="24"/>
        <v>0</v>
      </c>
      <c r="AJ30" s="78">
        <f t="shared" si="24"/>
        <v>0</v>
      </c>
      <c r="AK30" s="78">
        <f t="shared" si="24"/>
        <v>0</v>
      </c>
      <c r="AL30" s="78">
        <f t="shared" si="24"/>
        <v>0</v>
      </c>
      <c r="AM30" s="78">
        <f t="shared" si="24"/>
        <v>0</v>
      </c>
      <c r="AN30" s="77">
        <f t="shared" si="8"/>
        <v>0</v>
      </c>
      <c r="AO30" s="78">
        <f t="shared" si="8"/>
        <v>0</v>
      </c>
      <c r="AP30" s="78">
        <f t="shared" si="8"/>
        <v>0</v>
      </c>
      <c r="AQ30" s="78">
        <f>IF(AND(AQ12&lt;&gt;"",AQ12&gt;0),(VLOOKUP(AQ$6,$CC$6:$CE$12,3,0)*AQ12)/SUM($AN12:$AR12),0)</f>
        <v>0</v>
      </c>
      <c r="AR30" s="78">
        <f t="shared" si="8"/>
        <v>0</v>
      </c>
      <c r="AS30" s="78">
        <f t="shared" si="8"/>
        <v>0</v>
      </c>
      <c r="AT30" s="77">
        <f t="shared" si="9"/>
        <v>0</v>
      </c>
      <c r="AU30" s="78">
        <f t="shared" si="9"/>
        <v>0</v>
      </c>
      <c r="AV30" s="78">
        <f t="shared" si="9"/>
        <v>0</v>
      </c>
      <c r="AW30" s="78">
        <f t="shared" si="9"/>
        <v>0</v>
      </c>
      <c r="AX30" s="78">
        <f t="shared" si="9"/>
        <v>0</v>
      </c>
      <c r="AY30" s="78">
        <f t="shared" si="9"/>
        <v>0</v>
      </c>
      <c r="AZ30" s="77">
        <f t="shared" si="10"/>
        <v>0</v>
      </c>
      <c r="BA30" s="78">
        <f t="shared" si="10"/>
        <v>0</v>
      </c>
      <c r="BB30" s="78">
        <f t="shared" si="10"/>
        <v>0</v>
      </c>
      <c r="BC30" s="78">
        <f t="shared" si="10"/>
        <v>0</v>
      </c>
      <c r="BD30" s="78">
        <f t="shared" si="10"/>
        <v>0</v>
      </c>
      <c r="BE30" s="78">
        <f t="shared" si="10"/>
        <v>0</v>
      </c>
      <c r="BF30" s="78">
        <f t="shared" ref="BF30:BK30" si="33">IF(AND(BF12&lt;&gt;"",BF12&gt;0),(VLOOKUP(BF$6,$CC$6:$CE$12,3,0)*BF12)/SUM($BF12:$BJ12),0)</f>
        <v>0</v>
      </c>
      <c r="BG30" s="78">
        <f t="shared" si="33"/>
        <v>0</v>
      </c>
      <c r="BH30" s="78">
        <f t="shared" si="33"/>
        <v>0</v>
      </c>
      <c r="BI30" s="78">
        <f t="shared" si="33"/>
        <v>0</v>
      </c>
      <c r="BJ30" s="78">
        <f>IF(AND(BJ12&lt;&gt;"",BJ12&gt;0),(VLOOKUP(BJ$6,$CC$6:$CE$12,3,0)*BJ12)/SUM($BF12:$BJ12),0)</f>
        <v>0</v>
      </c>
      <c r="BK30" s="78">
        <f t="shared" si="33"/>
        <v>0</v>
      </c>
      <c r="BL30" s="77">
        <f t="shared" ref="BL30:BQ30" si="34">IF(AND(BL12&lt;&gt;"",BL12&gt;0),(VLOOKUP(BL$6,$CC$6:$CE$12,3,0)*BL12)/SUM($BL12:$BP12),0)</f>
        <v>0</v>
      </c>
      <c r="BM30" s="77">
        <f t="shared" si="34"/>
        <v>0</v>
      </c>
      <c r="BN30" s="77">
        <f t="shared" si="34"/>
        <v>0</v>
      </c>
      <c r="BO30" s="77">
        <f t="shared" si="34"/>
        <v>0</v>
      </c>
      <c r="BP30" s="77">
        <f t="shared" si="34"/>
        <v>0</v>
      </c>
      <c r="BQ30" s="77">
        <f t="shared" si="34"/>
        <v>0</v>
      </c>
      <c r="BR30" s="77">
        <f t="shared" ref="BR30:BW30" si="35">IF(AND(BR12&lt;&gt;"",BR12&gt;0),(VLOOKUP(BR$6,$CC$6:$CE$12,3,0)*BR12)/SUM($BR12:$BV12),0)</f>
        <v>0</v>
      </c>
      <c r="BS30" s="77">
        <f t="shared" si="35"/>
        <v>0</v>
      </c>
      <c r="BT30" s="77">
        <f>IF(AND(BT12&lt;&gt;"",BT12&gt;0),(VLOOKUP(BT$6,$CC$6:$CE$12,3,0)*BT12)/SUM($BR12:$BV12),0)</f>
        <v>0</v>
      </c>
      <c r="BU30" s="77">
        <f t="shared" si="35"/>
        <v>0</v>
      </c>
      <c r="BV30" s="77">
        <f t="shared" si="35"/>
        <v>0</v>
      </c>
      <c r="BW30" s="77">
        <f t="shared" si="35"/>
        <v>0</v>
      </c>
    </row>
    <row r="31" spans="2:75" x14ac:dyDescent="0.3">
      <c r="B31" s="60">
        <v>7</v>
      </c>
      <c r="C31" s="61" t="str">
        <f t="shared" si="31"/>
        <v>Administración</v>
      </c>
      <c r="D31" s="130">
        <f t="shared" si="14"/>
        <v>98</v>
      </c>
      <c r="E31" s="131">
        <f t="shared" si="32"/>
        <v>88</v>
      </c>
      <c r="F31" s="64">
        <f t="shared" si="15"/>
        <v>0.89795918367346939</v>
      </c>
      <c r="G31" s="63">
        <f t="shared" si="15"/>
        <v>10</v>
      </c>
      <c r="H31" s="64">
        <f t="shared" si="15"/>
        <v>0.10204081632653061</v>
      </c>
      <c r="I31" s="55">
        <f t="shared" si="15"/>
        <v>4</v>
      </c>
      <c r="J31" s="77">
        <f t="shared" si="3"/>
        <v>1.0526315789473684E-2</v>
      </c>
      <c r="K31" s="78">
        <f t="shared" si="3"/>
        <v>8.4210526315789472E-2</v>
      </c>
      <c r="L31" s="78">
        <f t="shared" si="3"/>
        <v>0.44210526315789472</v>
      </c>
      <c r="M31" s="78">
        <f t="shared" si="3"/>
        <v>1.6842105263157894</v>
      </c>
      <c r="N31" s="78">
        <f t="shared" si="3"/>
        <v>1.8947368421052631</v>
      </c>
      <c r="O31" s="78">
        <f t="shared" si="3"/>
        <v>0</v>
      </c>
      <c r="P31" s="77">
        <f t="shared" si="4"/>
        <v>0</v>
      </c>
      <c r="Q31" s="78">
        <f t="shared" si="4"/>
        <v>0</v>
      </c>
      <c r="R31" s="78">
        <f t="shared" si="4"/>
        <v>0.421875</v>
      </c>
      <c r="S31" s="78">
        <f t="shared" si="4"/>
        <v>1.5625</v>
      </c>
      <c r="T31" s="78">
        <f t="shared" si="4"/>
        <v>2.34375</v>
      </c>
      <c r="U31" s="78">
        <f>IF(AND(U13&lt;&gt;"",U13&gt;0),(VLOOKUP(U$6,$CC$6:$CE$12,3,0)*U13)/SUM($P13:$T13),0)</f>
        <v>0</v>
      </c>
      <c r="V31" s="77">
        <f t="shared" si="19"/>
        <v>0</v>
      </c>
      <c r="W31" s="78">
        <f t="shared" si="19"/>
        <v>0</v>
      </c>
      <c r="X31" s="78">
        <f t="shared" si="19"/>
        <v>0.27586206896551724</v>
      </c>
      <c r="Y31" s="78">
        <f t="shared" si="19"/>
        <v>1.9310344827586208</v>
      </c>
      <c r="Z31" s="78">
        <f t="shared" si="19"/>
        <v>2.1264367816091956</v>
      </c>
      <c r="AA31" s="78">
        <f t="shared" si="19"/>
        <v>0</v>
      </c>
      <c r="AB31" s="77">
        <f t="shared" si="20"/>
        <v>0</v>
      </c>
      <c r="AC31" s="78">
        <f t="shared" si="20"/>
        <v>4.5977011494252873E-2</v>
      </c>
      <c r="AD31" s="78">
        <f t="shared" si="20"/>
        <v>0.31034482758620691</v>
      </c>
      <c r="AE31" s="78">
        <f t="shared" si="20"/>
        <v>1.7931034482758621</v>
      </c>
      <c r="AF31" s="78">
        <f t="shared" si="20"/>
        <v>2.1264367816091956</v>
      </c>
      <c r="AG31" s="78">
        <f t="shared" si="20"/>
        <v>0</v>
      </c>
      <c r="AH31" s="77">
        <f t="shared" si="24"/>
        <v>0</v>
      </c>
      <c r="AI31" s="78">
        <f t="shared" si="24"/>
        <v>0</v>
      </c>
      <c r="AJ31" s="78">
        <f t="shared" si="24"/>
        <v>0</v>
      </c>
      <c r="AK31" s="78">
        <f t="shared" si="24"/>
        <v>0</v>
      </c>
      <c r="AL31" s="78">
        <f t="shared" si="24"/>
        <v>0</v>
      </c>
      <c r="AM31" s="78">
        <f t="shared" si="24"/>
        <v>0</v>
      </c>
      <c r="AN31" s="77">
        <f t="shared" si="8"/>
        <v>0</v>
      </c>
      <c r="AO31" s="78">
        <f t="shared" si="8"/>
        <v>0</v>
      </c>
      <c r="AP31" s="78">
        <f t="shared" si="8"/>
        <v>0</v>
      </c>
      <c r="AQ31" s="78">
        <f t="shared" si="8"/>
        <v>0</v>
      </c>
      <c r="AR31" s="78">
        <f>IF(AND(AR13&lt;&gt;"",AR13&gt;0),(VLOOKUP(AR$6,$CC$6:$CE$12,3,0)*AR13)/SUM($AN13:$AR13),0)</f>
        <v>0</v>
      </c>
      <c r="AS31" s="78">
        <f t="shared" si="8"/>
        <v>0</v>
      </c>
      <c r="AT31" s="77">
        <f t="shared" si="9"/>
        <v>0</v>
      </c>
      <c r="AU31" s="78">
        <f t="shared" si="9"/>
        <v>0</v>
      </c>
      <c r="AV31" s="78">
        <f t="shared" si="9"/>
        <v>0</v>
      </c>
      <c r="AW31" s="78">
        <f t="shared" si="9"/>
        <v>0</v>
      </c>
      <c r="AX31" s="78">
        <f>IF(AND(AX13&lt;&gt;"",AX13&gt;0),(VLOOKUP(AX$6,$CC$6:$CE$12,3,0)*AX13)/SUM($AT13:$AX13),0)</f>
        <v>0</v>
      </c>
      <c r="AY31" s="78">
        <f t="shared" si="9"/>
        <v>0</v>
      </c>
      <c r="AZ31" s="77">
        <f t="shared" si="10"/>
        <v>0</v>
      </c>
      <c r="BA31" s="78">
        <f t="shared" si="10"/>
        <v>0</v>
      </c>
      <c r="BB31" s="78">
        <f t="shared" si="10"/>
        <v>0</v>
      </c>
      <c r="BC31" s="78">
        <f t="shared" si="10"/>
        <v>0</v>
      </c>
      <c r="BD31" s="78">
        <f t="shared" si="10"/>
        <v>0</v>
      </c>
      <c r="BE31" s="78">
        <f t="shared" si="10"/>
        <v>0</v>
      </c>
      <c r="BF31" s="78">
        <f t="shared" ref="BF31:BK31" si="36">IF(AND(BF13&lt;&gt;"",BF13&gt;0),(VLOOKUP(BF$6,$CC$6:$CE$12,3,0)*BF13)/SUM($BF13:$BJ13),0)</f>
        <v>0</v>
      </c>
      <c r="BG31" s="78">
        <f t="shared" si="36"/>
        <v>0</v>
      </c>
      <c r="BH31" s="78">
        <f t="shared" si="36"/>
        <v>0</v>
      </c>
      <c r="BI31" s="78">
        <f t="shared" si="36"/>
        <v>0</v>
      </c>
      <c r="BJ31" s="78">
        <f t="shared" si="36"/>
        <v>0</v>
      </c>
      <c r="BK31" s="78">
        <f t="shared" si="36"/>
        <v>0</v>
      </c>
      <c r="BL31" s="77">
        <f t="shared" ref="BL31:BQ31" si="37">IF(AND(BL13&lt;&gt;"",BL13&gt;0),(VLOOKUP(BL$6,$CC$6:$CE$12,3,0)*BL13)/SUM($BL13:$BP13),0)</f>
        <v>0</v>
      </c>
      <c r="BM31" s="77">
        <f t="shared" si="37"/>
        <v>0</v>
      </c>
      <c r="BN31" s="77">
        <f t="shared" si="37"/>
        <v>0</v>
      </c>
      <c r="BO31" s="77">
        <f t="shared" si="37"/>
        <v>0</v>
      </c>
      <c r="BP31" s="77">
        <f t="shared" si="37"/>
        <v>0</v>
      </c>
      <c r="BQ31" s="77">
        <f t="shared" si="37"/>
        <v>0</v>
      </c>
      <c r="BR31" s="77">
        <f t="shared" ref="BR31:BV31" si="38">IF(AND(BR13&lt;&gt;"",BR13&gt;0),(VLOOKUP(BR$6,$CC$6:$CE$12,3,0)*BR13)/SUM($BR13:$BV13),0)</f>
        <v>0</v>
      </c>
      <c r="BS31" s="77">
        <f t="shared" si="38"/>
        <v>0</v>
      </c>
      <c r="BT31" s="77">
        <f t="shared" si="38"/>
        <v>0</v>
      </c>
      <c r="BU31" s="77">
        <f t="shared" si="38"/>
        <v>0</v>
      </c>
      <c r="BV31" s="77">
        <f t="shared" si="38"/>
        <v>0</v>
      </c>
      <c r="BW31" s="77">
        <f>IF(AND(BW13&lt;&gt;"",BW13&gt;0),(VLOOKUP(BW$6,$CC$6:$CE$12,3,0)*BW13)/SUM($BR13:$BV13),0)</f>
        <v>0</v>
      </c>
    </row>
    <row r="32" spans="2:75" x14ac:dyDescent="0.3">
      <c r="B32" s="60">
        <v>8</v>
      </c>
      <c r="C32" s="61" t="str">
        <f t="shared" si="31"/>
        <v>Contabilidad</v>
      </c>
      <c r="D32" s="130">
        <f t="shared" si="14"/>
        <v>122</v>
      </c>
      <c r="E32" s="131">
        <f t="shared" si="32"/>
        <v>80</v>
      </c>
      <c r="F32" s="64">
        <f t="shared" si="15"/>
        <v>0.65573770491803274</v>
      </c>
      <c r="G32" s="63">
        <f t="shared" si="15"/>
        <v>42</v>
      </c>
      <c r="H32" s="64">
        <f t="shared" si="15"/>
        <v>0.34426229508196721</v>
      </c>
      <c r="I32" s="55">
        <f t="shared" si="15"/>
        <v>5</v>
      </c>
      <c r="J32" s="77">
        <f t="shared" si="3"/>
        <v>0</v>
      </c>
      <c r="K32" s="78">
        <f t="shared" si="3"/>
        <v>0</v>
      </c>
      <c r="L32" s="78">
        <f t="shared" si="3"/>
        <v>0</v>
      </c>
      <c r="M32" s="78">
        <f t="shared" si="3"/>
        <v>0</v>
      </c>
      <c r="N32" s="78">
        <f t="shared" si="3"/>
        <v>0</v>
      </c>
      <c r="O32" s="78">
        <f t="shared" si="3"/>
        <v>0</v>
      </c>
      <c r="P32" s="77">
        <f t="shared" si="4"/>
        <v>0</v>
      </c>
      <c r="Q32" s="78">
        <f t="shared" si="4"/>
        <v>0</v>
      </c>
      <c r="R32" s="78">
        <f t="shared" si="4"/>
        <v>0</v>
      </c>
      <c r="S32" s="78">
        <f t="shared" si="4"/>
        <v>0</v>
      </c>
      <c r="T32" s="78">
        <f t="shared" si="4"/>
        <v>0</v>
      </c>
      <c r="U32" s="78">
        <f t="shared" si="4"/>
        <v>0</v>
      </c>
      <c r="V32" s="77">
        <f t="shared" si="19"/>
        <v>0</v>
      </c>
      <c r="W32" s="78">
        <f t="shared" si="19"/>
        <v>0</v>
      </c>
      <c r="X32" s="78">
        <f t="shared" si="19"/>
        <v>0</v>
      </c>
      <c r="Y32" s="78">
        <f t="shared" si="19"/>
        <v>0</v>
      </c>
      <c r="Z32" s="78">
        <f t="shared" si="19"/>
        <v>0</v>
      </c>
      <c r="AA32" s="78">
        <f t="shared" si="19"/>
        <v>0</v>
      </c>
      <c r="AB32" s="77">
        <f t="shared" si="20"/>
        <v>0</v>
      </c>
      <c r="AC32" s="78">
        <f t="shared" si="20"/>
        <v>0</v>
      </c>
      <c r="AD32" s="78">
        <f t="shared" si="20"/>
        <v>0</v>
      </c>
      <c r="AE32" s="78">
        <f t="shared" si="20"/>
        <v>0</v>
      </c>
      <c r="AF32" s="78">
        <f t="shared" si="20"/>
        <v>0</v>
      </c>
      <c r="AG32" s="78">
        <f t="shared" si="20"/>
        <v>0</v>
      </c>
      <c r="AH32" s="77">
        <f t="shared" si="24"/>
        <v>0</v>
      </c>
      <c r="AI32" s="78">
        <f t="shared" si="24"/>
        <v>0</v>
      </c>
      <c r="AJ32" s="78">
        <f t="shared" si="24"/>
        <v>0</v>
      </c>
      <c r="AK32" s="78">
        <f t="shared" si="24"/>
        <v>0</v>
      </c>
      <c r="AL32" s="78">
        <f t="shared" si="24"/>
        <v>0</v>
      </c>
      <c r="AM32" s="78">
        <f t="shared" si="24"/>
        <v>0</v>
      </c>
      <c r="AN32" s="77">
        <f t="shared" si="8"/>
        <v>0</v>
      </c>
      <c r="AO32" s="78">
        <f t="shared" si="8"/>
        <v>0</v>
      </c>
      <c r="AP32" s="78">
        <f t="shared" si="8"/>
        <v>0</v>
      </c>
      <c r="AQ32" s="78">
        <f t="shared" si="8"/>
        <v>0</v>
      </c>
      <c r="AR32" s="78">
        <f t="shared" si="8"/>
        <v>0</v>
      </c>
      <c r="AS32" s="78">
        <f>IF(AND(AS14&lt;&gt;"",AS14&gt;0),(VLOOKUP(AS$6,$CC$6:$CE$12,3,0)*AS14)/SUM($AN14:$AR14),0)</f>
        <v>0</v>
      </c>
      <c r="AT32" s="77">
        <f t="shared" si="9"/>
        <v>0</v>
      </c>
      <c r="AU32" s="78">
        <f t="shared" si="9"/>
        <v>0</v>
      </c>
      <c r="AV32" s="78">
        <f t="shared" si="9"/>
        <v>0</v>
      </c>
      <c r="AW32" s="78">
        <f t="shared" si="9"/>
        <v>0</v>
      </c>
      <c r="AX32" s="78">
        <f t="shared" si="9"/>
        <v>0</v>
      </c>
      <c r="AY32" s="78">
        <f t="shared" si="9"/>
        <v>0</v>
      </c>
      <c r="AZ32" s="77">
        <f t="shared" si="10"/>
        <v>0</v>
      </c>
      <c r="BA32" s="78">
        <f t="shared" si="10"/>
        <v>0</v>
      </c>
      <c r="BB32" s="78">
        <f t="shared" si="10"/>
        <v>0</v>
      </c>
      <c r="BC32" s="78">
        <f t="shared" si="10"/>
        <v>0</v>
      </c>
      <c r="BD32" s="78">
        <f t="shared" si="10"/>
        <v>0</v>
      </c>
      <c r="BE32" s="78">
        <f t="shared" si="10"/>
        <v>0</v>
      </c>
      <c r="BF32" s="78">
        <f t="shared" ref="BF32:BJ32" si="39">IF(AND(BF14&lt;&gt;"",BF14&gt;0),(VLOOKUP(BF$6,$CC$6:$CE$12,3,0)*BF14)/SUM($BF14:$BJ14),0)</f>
        <v>0</v>
      </c>
      <c r="BG32" s="78">
        <f t="shared" si="39"/>
        <v>0</v>
      </c>
      <c r="BH32" s="78">
        <f t="shared" si="39"/>
        <v>0</v>
      </c>
      <c r="BI32" s="78">
        <f t="shared" si="39"/>
        <v>0</v>
      </c>
      <c r="BJ32" s="78">
        <f t="shared" si="39"/>
        <v>0</v>
      </c>
      <c r="BK32" s="78">
        <f>IF(AND(BK14&lt;&gt;"",BK14&gt;0),(VLOOKUP(BK$6,$CC$6:$CE$12,3,0)*BK14)/SUM($BF14:$BJ14),0)</f>
        <v>0</v>
      </c>
      <c r="BL32" s="77">
        <f t="shared" ref="BL32:BQ32" si="40">IF(AND(BL14&lt;&gt;"",BL14&gt;0),(VLOOKUP(BL$6,$CC$6:$CE$12,3,0)*BL14)/SUM($BL14:$BP14),0)</f>
        <v>0</v>
      </c>
      <c r="BM32" s="77">
        <f t="shared" si="40"/>
        <v>0</v>
      </c>
      <c r="BN32" s="77">
        <f t="shared" si="40"/>
        <v>0</v>
      </c>
      <c r="BO32" s="77">
        <f t="shared" si="40"/>
        <v>0</v>
      </c>
      <c r="BP32" s="77">
        <f t="shared" si="40"/>
        <v>0</v>
      </c>
      <c r="BQ32" s="77">
        <f t="shared" si="40"/>
        <v>0</v>
      </c>
      <c r="BR32" s="77">
        <f t="shared" ref="BR32:BW32" si="41">IF(AND(BR14&lt;&gt;"",BR14&gt;0),(VLOOKUP(BR$6,$CC$6:$CE$12,3,0)*BR14)/SUM($BR14:$BV14),0)</f>
        <v>0</v>
      </c>
      <c r="BS32" s="77">
        <f>IF(AND(BS14&lt;&gt;"",BS14&gt;0),(VLOOKUP(BS$6,$CC$6:$CE$12,3,0)*BS14)/SUM($BR14:$BV14),0)</f>
        <v>0</v>
      </c>
      <c r="BT32" s="77">
        <f t="shared" si="41"/>
        <v>0</v>
      </c>
      <c r="BU32" s="77">
        <f t="shared" si="41"/>
        <v>0</v>
      </c>
      <c r="BV32" s="77">
        <f t="shared" si="41"/>
        <v>0</v>
      </c>
      <c r="BW32" s="77">
        <f t="shared" si="41"/>
        <v>0</v>
      </c>
    </row>
    <row r="33" spans="2:75" x14ac:dyDescent="0.3">
      <c r="B33" s="60">
        <v>9</v>
      </c>
      <c r="C33" s="61" t="str">
        <f t="shared" si="31"/>
        <v>ControlDeGestión</v>
      </c>
      <c r="D33" s="130">
        <f t="shared" si="14"/>
        <v>105</v>
      </c>
      <c r="E33" s="131">
        <f t="shared" si="32"/>
        <v>93</v>
      </c>
      <c r="F33" s="64">
        <f t="shared" si="15"/>
        <v>0.88571428571428568</v>
      </c>
      <c r="G33" s="63">
        <f t="shared" si="15"/>
        <v>12</v>
      </c>
      <c r="H33" s="64">
        <f t="shared" si="15"/>
        <v>0.11428571428571428</v>
      </c>
      <c r="I33" s="137">
        <f t="shared" si="15"/>
        <v>4</v>
      </c>
      <c r="J33" s="77">
        <f t="shared" si="3"/>
        <v>0</v>
      </c>
      <c r="K33" s="78">
        <f t="shared" si="3"/>
        <v>0</v>
      </c>
      <c r="L33" s="78">
        <f t="shared" si="3"/>
        <v>0</v>
      </c>
      <c r="M33" s="78">
        <f t="shared" si="3"/>
        <v>0</v>
      </c>
      <c r="N33" s="78">
        <f t="shared" si="3"/>
        <v>0</v>
      </c>
      <c r="O33" s="78">
        <f t="shared" si="3"/>
        <v>0</v>
      </c>
      <c r="P33" s="77">
        <f t="shared" si="4"/>
        <v>0</v>
      </c>
      <c r="Q33" s="78">
        <f t="shared" si="4"/>
        <v>0</v>
      </c>
      <c r="R33" s="78">
        <f t="shared" si="4"/>
        <v>0</v>
      </c>
      <c r="S33" s="78">
        <f t="shared" si="4"/>
        <v>0</v>
      </c>
      <c r="T33" s="78">
        <f t="shared" si="4"/>
        <v>0</v>
      </c>
      <c r="U33" s="78">
        <f t="shared" si="4"/>
        <v>0</v>
      </c>
      <c r="V33" s="77">
        <f t="shared" si="5"/>
        <v>0</v>
      </c>
      <c r="W33" s="78">
        <f t="shared" si="5"/>
        <v>0</v>
      </c>
      <c r="X33" s="78">
        <f t="shared" si="5"/>
        <v>0</v>
      </c>
      <c r="Y33" s="78">
        <f t="shared" si="5"/>
        <v>0</v>
      </c>
      <c r="Z33" s="78">
        <f t="shared" si="5"/>
        <v>0</v>
      </c>
      <c r="AA33" s="78">
        <f t="shared" si="5"/>
        <v>0</v>
      </c>
      <c r="AB33" s="77">
        <f t="shared" si="20"/>
        <v>0</v>
      </c>
      <c r="AC33" s="78">
        <f t="shared" si="20"/>
        <v>0</v>
      </c>
      <c r="AD33" s="78">
        <f t="shared" si="20"/>
        <v>0</v>
      </c>
      <c r="AE33" s="78">
        <f t="shared" si="20"/>
        <v>0</v>
      </c>
      <c r="AF33" s="78">
        <f t="shared" si="20"/>
        <v>0</v>
      </c>
      <c r="AG33" s="78">
        <f t="shared" si="20"/>
        <v>0</v>
      </c>
      <c r="AH33" s="77">
        <f t="shared" si="24"/>
        <v>0</v>
      </c>
      <c r="AI33" s="78">
        <f t="shared" si="24"/>
        <v>0</v>
      </c>
      <c r="AJ33" s="78">
        <f t="shared" si="24"/>
        <v>0</v>
      </c>
      <c r="AK33" s="78">
        <f t="shared" si="24"/>
        <v>0</v>
      </c>
      <c r="AL33" s="78">
        <f t="shared" si="24"/>
        <v>0</v>
      </c>
      <c r="AM33" s="78">
        <f t="shared" si="24"/>
        <v>0</v>
      </c>
      <c r="AN33" s="77">
        <f t="shared" si="8"/>
        <v>0</v>
      </c>
      <c r="AO33" s="78">
        <f t="shared" si="8"/>
        <v>0</v>
      </c>
      <c r="AP33" s="78">
        <f t="shared" si="8"/>
        <v>0</v>
      </c>
      <c r="AQ33" s="78">
        <f t="shared" si="8"/>
        <v>0</v>
      </c>
      <c r="AR33" s="78">
        <f t="shared" si="8"/>
        <v>0</v>
      </c>
      <c r="AS33" s="78">
        <f t="shared" si="8"/>
        <v>0</v>
      </c>
      <c r="AT33" s="77">
        <f t="shared" si="9"/>
        <v>0</v>
      </c>
      <c r="AU33" s="78">
        <f t="shared" si="9"/>
        <v>0</v>
      </c>
      <c r="AV33" s="78">
        <f t="shared" si="9"/>
        <v>0</v>
      </c>
      <c r="AW33" s="78">
        <f t="shared" si="9"/>
        <v>0</v>
      </c>
      <c r="AX33" s="78">
        <f t="shared" si="9"/>
        <v>0</v>
      </c>
      <c r="AY33" s="78">
        <f t="shared" si="9"/>
        <v>0</v>
      </c>
      <c r="AZ33" s="77">
        <f t="shared" si="10"/>
        <v>0</v>
      </c>
      <c r="BA33" s="78">
        <f t="shared" si="10"/>
        <v>0</v>
      </c>
      <c r="BB33" s="78">
        <f t="shared" si="10"/>
        <v>0</v>
      </c>
      <c r="BC33" s="78">
        <f t="shared" si="10"/>
        <v>0</v>
      </c>
      <c r="BD33" s="78">
        <f t="shared" si="10"/>
        <v>0</v>
      </c>
      <c r="BE33" s="78">
        <f t="shared" si="10"/>
        <v>0</v>
      </c>
      <c r="BF33" s="78">
        <f t="shared" ref="BF33:BK33" si="42">IF(AND(BF15&lt;&gt;"",BF15&gt;0),(VLOOKUP(BF$6,$CC$6:$CE$12,3,0)*BF15)/SUM($BF15:$BJ15),0)</f>
        <v>0</v>
      </c>
      <c r="BG33" s="78">
        <f t="shared" si="42"/>
        <v>0</v>
      </c>
      <c r="BH33" s="78">
        <f t="shared" si="42"/>
        <v>0</v>
      </c>
      <c r="BI33" s="78">
        <f t="shared" si="42"/>
        <v>0</v>
      </c>
      <c r="BJ33" s="78">
        <f>IF(AND(BJ15&lt;&gt;"",BJ15&gt;0),(VLOOKUP(BJ$6,$CC$6:$CE$12,3,0)*BJ15)/SUM($BF15:$BJ15),0)</f>
        <v>0</v>
      </c>
      <c r="BK33" s="78">
        <f t="shared" si="42"/>
        <v>0</v>
      </c>
      <c r="BL33" s="77">
        <f t="shared" ref="BL33:BP33" si="43">IF(AND(BL15&lt;&gt;"",BL15&gt;0),(VLOOKUP(BL$6,$CC$6:$CE$12,3,0)*BL15)/SUM($BL15:$BP15),0)</f>
        <v>0</v>
      </c>
      <c r="BM33" s="77">
        <f t="shared" si="43"/>
        <v>0</v>
      </c>
      <c r="BN33" s="77">
        <f t="shared" si="43"/>
        <v>0</v>
      </c>
      <c r="BO33" s="77">
        <f t="shared" si="43"/>
        <v>0</v>
      </c>
      <c r="BP33" s="77">
        <f t="shared" si="43"/>
        <v>0</v>
      </c>
      <c r="BQ33" s="77">
        <f>IF(AND(BQ15&lt;&gt;"",BQ15&gt;0),(VLOOKUP(BQ$6,$CC$6:$CE$12,3,0)*BQ15)/SUM($BL15:$BP15),0)</f>
        <v>0</v>
      </c>
      <c r="BR33" s="77">
        <f t="shared" ref="BR33:BW33" si="44">IF(AND(BR15&lt;&gt;"",BR15&gt;0),(VLOOKUP(BR$6,$CC$6:$CE$12,3,0)*BR15)/SUM($BR15:$BV15),0)</f>
        <v>0</v>
      </c>
      <c r="BS33" s="77">
        <f t="shared" si="44"/>
        <v>0</v>
      </c>
      <c r="BT33" s="77">
        <f t="shared" si="44"/>
        <v>0</v>
      </c>
      <c r="BU33" s="77">
        <f t="shared" si="44"/>
        <v>0</v>
      </c>
      <c r="BV33" s="77">
        <f t="shared" si="44"/>
        <v>0</v>
      </c>
      <c r="BW33" s="77">
        <f t="shared" si="44"/>
        <v>0</v>
      </c>
    </row>
    <row r="34" spans="2:75" x14ac:dyDescent="0.3">
      <c r="B34" s="60">
        <v>10</v>
      </c>
      <c r="C34" s="61" t="str">
        <f t="shared" si="31"/>
        <v>Compras</v>
      </c>
      <c r="D34" s="130">
        <f t="shared" si="14"/>
        <v>77</v>
      </c>
      <c r="E34" s="131">
        <f t="shared" si="32"/>
        <v>54</v>
      </c>
      <c r="F34" s="64">
        <f t="shared" si="15"/>
        <v>0.70129870129870131</v>
      </c>
      <c r="G34" s="63">
        <f t="shared" si="15"/>
        <v>23</v>
      </c>
      <c r="H34" s="64">
        <f t="shared" si="15"/>
        <v>0.29870129870129869</v>
      </c>
      <c r="I34" s="55">
        <f>I16</f>
        <v>7</v>
      </c>
      <c r="J34" s="77">
        <f t="shared" si="3"/>
        <v>0</v>
      </c>
      <c r="K34" s="78">
        <f t="shared" si="3"/>
        <v>0</v>
      </c>
      <c r="L34" s="78">
        <f t="shared" si="3"/>
        <v>0</v>
      </c>
      <c r="M34" s="78">
        <f t="shared" si="3"/>
        <v>0</v>
      </c>
      <c r="N34" s="78">
        <f t="shared" si="3"/>
        <v>0</v>
      </c>
      <c r="O34" s="78">
        <f t="shared" si="3"/>
        <v>0</v>
      </c>
      <c r="P34" s="77">
        <f t="shared" si="4"/>
        <v>0</v>
      </c>
      <c r="Q34" s="78">
        <f t="shared" si="4"/>
        <v>0</v>
      </c>
      <c r="R34" s="78">
        <f t="shared" si="4"/>
        <v>0</v>
      </c>
      <c r="S34" s="78">
        <f t="shared" si="4"/>
        <v>0</v>
      </c>
      <c r="T34" s="78">
        <f t="shared" si="4"/>
        <v>0</v>
      </c>
      <c r="U34" s="78">
        <f t="shared" si="4"/>
        <v>0</v>
      </c>
      <c r="V34" s="77">
        <f t="shared" si="5"/>
        <v>0</v>
      </c>
      <c r="W34" s="78">
        <f t="shared" si="5"/>
        <v>0</v>
      </c>
      <c r="X34" s="78">
        <f t="shared" si="5"/>
        <v>0</v>
      </c>
      <c r="Y34" s="78">
        <f t="shared" si="5"/>
        <v>0</v>
      </c>
      <c r="Z34" s="78">
        <f t="shared" si="5"/>
        <v>0</v>
      </c>
      <c r="AA34" s="78">
        <f t="shared" si="5"/>
        <v>0</v>
      </c>
      <c r="AB34" s="77">
        <f t="shared" si="20"/>
        <v>0</v>
      </c>
      <c r="AC34" s="78">
        <f t="shared" si="20"/>
        <v>0</v>
      </c>
      <c r="AD34" s="78">
        <f t="shared" si="20"/>
        <v>0</v>
      </c>
      <c r="AE34" s="78">
        <f t="shared" si="20"/>
        <v>0</v>
      </c>
      <c r="AF34" s="78">
        <f t="shared" si="20"/>
        <v>0</v>
      </c>
      <c r="AG34" s="78">
        <f t="shared" si="20"/>
        <v>0</v>
      </c>
      <c r="AH34" s="77">
        <f t="shared" si="24"/>
        <v>0</v>
      </c>
      <c r="AI34" s="78">
        <f t="shared" si="24"/>
        <v>0</v>
      </c>
      <c r="AJ34" s="78">
        <f t="shared" si="24"/>
        <v>0</v>
      </c>
      <c r="AK34" s="78">
        <f t="shared" si="24"/>
        <v>0</v>
      </c>
      <c r="AL34" s="78">
        <f t="shared" si="24"/>
        <v>0</v>
      </c>
      <c r="AM34" s="78">
        <f t="shared" si="24"/>
        <v>0</v>
      </c>
      <c r="AN34" s="77">
        <f t="shared" si="8"/>
        <v>0</v>
      </c>
      <c r="AO34" s="78">
        <f t="shared" si="8"/>
        <v>0</v>
      </c>
      <c r="AP34" s="78">
        <f t="shared" si="8"/>
        <v>0</v>
      </c>
      <c r="AQ34" s="78">
        <f t="shared" si="8"/>
        <v>0</v>
      </c>
      <c r="AR34" s="78">
        <f t="shared" si="8"/>
        <v>0</v>
      </c>
      <c r="AS34" s="78">
        <f t="shared" si="8"/>
        <v>0</v>
      </c>
      <c r="AT34" s="77">
        <f t="shared" si="9"/>
        <v>0</v>
      </c>
      <c r="AU34" s="78">
        <f t="shared" si="9"/>
        <v>0</v>
      </c>
      <c r="AV34" s="78">
        <f t="shared" si="9"/>
        <v>0</v>
      </c>
      <c r="AW34" s="78">
        <f t="shared" si="9"/>
        <v>0</v>
      </c>
      <c r="AX34" s="78">
        <f t="shared" si="9"/>
        <v>0</v>
      </c>
      <c r="AY34" s="78">
        <f t="shared" si="9"/>
        <v>0</v>
      </c>
      <c r="AZ34" s="77">
        <f t="shared" si="10"/>
        <v>0</v>
      </c>
      <c r="BA34" s="78">
        <f t="shared" si="10"/>
        <v>0</v>
      </c>
      <c r="BB34" s="78">
        <f t="shared" si="10"/>
        <v>0</v>
      </c>
      <c r="BC34" s="78">
        <f t="shared" si="10"/>
        <v>0</v>
      </c>
      <c r="BD34" s="78">
        <f t="shared" si="10"/>
        <v>0</v>
      </c>
      <c r="BE34" s="78">
        <f t="shared" si="10"/>
        <v>0</v>
      </c>
      <c r="BF34" s="78">
        <f t="shared" ref="BF34:BK34" si="45">IF(AND(BF16&lt;&gt;"",BF16&gt;0),(VLOOKUP(BF$6,$CC$6:$CE$12,3,0)*BF16)/SUM($BF16:$BJ16),0)</f>
        <v>0</v>
      </c>
      <c r="BG34" s="78">
        <f t="shared" si="45"/>
        <v>0</v>
      </c>
      <c r="BH34" s="78">
        <f>IF(AND(BH16&lt;&gt;"",BH16&gt;0),(VLOOKUP(BH$6,$CC$6:$CE$12,3,0)*BH16)/SUM($BF16:$BJ16),0)</f>
        <v>0</v>
      </c>
      <c r="BI34" s="78">
        <f>IF(AND(BI16&lt;&gt;"",BI16&gt;0),(VLOOKUP(BI$6,$CC$6:$CE$12,3,0)*BI16)/SUM($BF16:$BJ16),0)</f>
        <v>0</v>
      </c>
      <c r="BJ34" s="78">
        <f t="shared" si="45"/>
        <v>0</v>
      </c>
      <c r="BK34" s="78">
        <f t="shared" si="45"/>
        <v>0</v>
      </c>
      <c r="BL34" s="77">
        <f t="shared" ref="BL34:BQ34" si="46">IF(AND(BL16&lt;&gt;"",BL16&gt;0),(VLOOKUP(BL$6,$CC$6:$CE$12,3,0)*BL16)/SUM($BL16:$BP16),0)</f>
        <v>0</v>
      </c>
      <c r="BM34" s="77">
        <f>IF(AND(BM16&lt;&gt;"",BM16&gt;0),(VLOOKUP(BM$6,$CC$6:$CE$12,3,0)*BM16)/SUM($BL16:$BP16),0)</f>
        <v>0</v>
      </c>
      <c r="BN34" s="77">
        <f t="shared" si="46"/>
        <v>0</v>
      </c>
      <c r="BO34" s="77">
        <f t="shared" si="46"/>
        <v>0</v>
      </c>
      <c r="BP34" s="77">
        <f t="shared" si="46"/>
        <v>0</v>
      </c>
      <c r="BQ34" s="77">
        <f t="shared" si="46"/>
        <v>0</v>
      </c>
      <c r="BR34" s="77">
        <f>IF(AND(BR16&lt;&gt;"",BR16&gt;0),(VLOOKUP(BR$6,$CC$6:$CE$12,3,0)*BR16)/SUM($BR16:$BV16),0)</f>
        <v>0</v>
      </c>
      <c r="BS34" s="77">
        <f t="shared" ref="BS34:BW34" si="47">IF(AND(BS16&lt;&gt;"",BS16&gt;0),(VLOOKUP(BS$6,$CC$6:$CE$12,3,0)*BS16)/SUM($BR16:$BV16),0)</f>
        <v>0</v>
      </c>
      <c r="BT34" s="77">
        <f>IF(AND(BT16&lt;&gt;"",BT16&gt;0),(VLOOKUP(BT$6,$CC$6:$CE$12,3,0)*BT16)/SUM($BR16:$BV16),0)</f>
        <v>0</v>
      </c>
      <c r="BU34" s="77">
        <f t="shared" si="47"/>
        <v>0</v>
      </c>
      <c r="BV34" s="77">
        <f t="shared" si="47"/>
        <v>0</v>
      </c>
      <c r="BW34" s="77">
        <f t="shared" si="47"/>
        <v>0</v>
      </c>
    </row>
    <row r="35" spans="2:75" x14ac:dyDescent="0.3">
      <c r="B35" s="65">
        <v>11</v>
      </c>
      <c r="C35" s="61" t="str">
        <f t="shared" si="31"/>
        <v>RiesgosYCumplimiento</v>
      </c>
      <c r="D35" s="130">
        <f t="shared" si="14"/>
        <v>78</v>
      </c>
      <c r="E35" s="131">
        <f t="shared" si="32"/>
        <v>73</v>
      </c>
      <c r="F35" s="67">
        <f t="shared" si="15"/>
        <v>0.9358974358974359</v>
      </c>
      <c r="G35" s="66">
        <f t="shared" si="15"/>
        <v>5</v>
      </c>
      <c r="H35" s="67">
        <f t="shared" si="15"/>
        <v>6.4102564102564097E-2</v>
      </c>
      <c r="I35" s="138">
        <f t="shared" si="15"/>
        <v>3</v>
      </c>
      <c r="J35" s="79">
        <f t="shared" si="3"/>
        <v>0</v>
      </c>
      <c r="K35" s="80">
        <f t="shared" si="3"/>
        <v>0</v>
      </c>
      <c r="L35" s="80">
        <f t="shared" si="3"/>
        <v>0</v>
      </c>
      <c r="M35" s="80">
        <f t="shared" si="3"/>
        <v>0</v>
      </c>
      <c r="N35" s="80">
        <f t="shared" si="3"/>
        <v>0</v>
      </c>
      <c r="O35" s="80">
        <f t="shared" si="3"/>
        <v>0</v>
      </c>
      <c r="P35" s="79">
        <f t="shared" si="4"/>
        <v>0</v>
      </c>
      <c r="Q35" s="80">
        <f t="shared" si="4"/>
        <v>0</v>
      </c>
      <c r="R35" s="80">
        <f t="shared" si="4"/>
        <v>0</v>
      </c>
      <c r="S35" s="80">
        <f t="shared" si="4"/>
        <v>0</v>
      </c>
      <c r="T35" s="80">
        <f t="shared" si="4"/>
        <v>0</v>
      </c>
      <c r="U35" s="81">
        <f t="shared" si="4"/>
        <v>0</v>
      </c>
      <c r="V35" s="79">
        <f t="shared" si="5"/>
        <v>0</v>
      </c>
      <c r="W35" s="80">
        <f t="shared" si="5"/>
        <v>0</v>
      </c>
      <c r="X35" s="80">
        <f t="shared" si="5"/>
        <v>0</v>
      </c>
      <c r="Y35" s="80">
        <f t="shared" si="5"/>
        <v>0</v>
      </c>
      <c r="Z35" s="80">
        <f t="shared" si="5"/>
        <v>0</v>
      </c>
      <c r="AA35" s="81">
        <f t="shared" si="5"/>
        <v>0</v>
      </c>
      <c r="AB35" s="79">
        <f t="shared" si="20"/>
        <v>0</v>
      </c>
      <c r="AC35" s="80">
        <f t="shared" si="20"/>
        <v>0</v>
      </c>
      <c r="AD35" s="80">
        <f t="shared" si="20"/>
        <v>0</v>
      </c>
      <c r="AE35" s="80">
        <f t="shared" si="20"/>
        <v>0</v>
      </c>
      <c r="AF35" s="80">
        <f t="shared" si="20"/>
        <v>0</v>
      </c>
      <c r="AG35" s="81">
        <f t="shared" si="20"/>
        <v>0</v>
      </c>
      <c r="AH35" s="79">
        <f t="shared" si="24"/>
        <v>0</v>
      </c>
      <c r="AI35" s="80">
        <f t="shared" si="24"/>
        <v>0</v>
      </c>
      <c r="AJ35" s="80">
        <f t="shared" si="24"/>
        <v>0</v>
      </c>
      <c r="AK35" s="80">
        <f t="shared" si="24"/>
        <v>0</v>
      </c>
      <c r="AL35" s="80">
        <f t="shared" si="24"/>
        <v>0</v>
      </c>
      <c r="AM35" s="81">
        <f t="shared" si="24"/>
        <v>0</v>
      </c>
      <c r="AN35" s="79">
        <f t="shared" si="8"/>
        <v>0</v>
      </c>
      <c r="AO35" s="80">
        <f t="shared" si="8"/>
        <v>0</v>
      </c>
      <c r="AP35" s="80">
        <f t="shared" si="8"/>
        <v>0</v>
      </c>
      <c r="AQ35" s="80">
        <f t="shared" si="8"/>
        <v>0</v>
      </c>
      <c r="AR35" s="80">
        <f t="shared" si="8"/>
        <v>0</v>
      </c>
      <c r="AS35" s="81">
        <f t="shared" si="8"/>
        <v>0</v>
      </c>
      <c r="AT35" s="79">
        <f t="shared" si="9"/>
        <v>0</v>
      </c>
      <c r="AU35" s="80">
        <f t="shared" si="9"/>
        <v>0</v>
      </c>
      <c r="AV35" s="80">
        <f t="shared" si="9"/>
        <v>0</v>
      </c>
      <c r="AW35" s="80">
        <f t="shared" si="9"/>
        <v>0</v>
      </c>
      <c r="AX35" s="80">
        <f t="shared" si="9"/>
        <v>0</v>
      </c>
      <c r="AY35" s="81">
        <f t="shared" si="9"/>
        <v>0</v>
      </c>
      <c r="AZ35" s="79">
        <f t="shared" si="10"/>
        <v>0</v>
      </c>
      <c r="BA35" s="80">
        <f t="shared" si="10"/>
        <v>0</v>
      </c>
      <c r="BB35" s="80">
        <f t="shared" si="10"/>
        <v>0</v>
      </c>
      <c r="BC35" s="80">
        <f t="shared" si="10"/>
        <v>0</v>
      </c>
      <c r="BD35" s="80">
        <f t="shared" si="10"/>
        <v>0</v>
      </c>
      <c r="BE35" s="81">
        <f t="shared" si="10"/>
        <v>0</v>
      </c>
      <c r="BF35" s="78">
        <f t="shared" ref="BF35:BK35" si="48">IF(AND(BF17&lt;&gt;"",BF17&gt;0),(VLOOKUP(BF$6,$CC$6:$CE$12,3,0)*BF17)/SUM($BF17:$BJ17),0)</f>
        <v>0</v>
      </c>
      <c r="BG35" s="78">
        <f t="shared" si="48"/>
        <v>0</v>
      </c>
      <c r="BH35" s="78">
        <f t="shared" si="48"/>
        <v>0</v>
      </c>
      <c r="BI35" s="78">
        <f t="shared" si="48"/>
        <v>0</v>
      </c>
      <c r="BJ35" s="78">
        <f t="shared" si="48"/>
        <v>0</v>
      </c>
      <c r="BK35" s="78">
        <f t="shared" si="48"/>
        <v>0</v>
      </c>
      <c r="BL35" s="77">
        <f>IF(AND(BL17&lt;&gt;"",BL17&gt;0),(VLOOKUP(BL$6,$CC$6:$CE$12,3,0)*BL17)/SUM($BL17:$BP17),0)</f>
        <v>0</v>
      </c>
      <c r="BM35" s="77">
        <f t="shared" ref="BM35:BQ35" si="49">IF(AND(BM17&lt;&gt;"",BM17&gt;0),(VLOOKUP(BM$6,$CC$6:$CE$12,3,0)*BM17)/SUM($BL17:$BP17),0)</f>
        <v>0</v>
      </c>
      <c r="BN35" s="77">
        <f t="shared" si="49"/>
        <v>0</v>
      </c>
      <c r="BO35" s="77">
        <f t="shared" si="49"/>
        <v>0</v>
      </c>
      <c r="BP35" s="77">
        <f t="shared" si="49"/>
        <v>0</v>
      </c>
      <c r="BQ35" s="77">
        <f t="shared" si="49"/>
        <v>0</v>
      </c>
      <c r="BR35" s="77">
        <f t="shared" ref="BR35:BV35" si="50">IF(AND(BR17&lt;&gt;"",BR17&gt;0),(VLOOKUP(BR$6,$CC$6:$CE$12,3,0)*BR17)/SUM($BR17:$BV17),0)</f>
        <v>0</v>
      </c>
      <c r="BS35" s="77">
        <f t="shared" si="50"/>
        <v>0</v>
      </c>
      <c r="BT35" s="77">
        <f t="shared" si="50"/>
        <v>0</v>
      </c>
      <c r="BU35" s="77">
        <f>IF(AND(BU17&lt;&gt;"",BU17&gt;0),(VLOOKUP(BU$6,$CC$6:$CE$12,3,0)*BU17)/SUM($BR17:$BV17),0)</f>
        <v>0</v>
      </c>
      <c r="BV35" s="77">
        <f t="shared" si="50"/>
        <v>0</v>
      </c>
      <c r="BW35" s="77">
        <f>IF(AND(BW17&lt;&gt;"",BW17&gt;0),(VLOOKUP(BW$6,$CC$6:$CE$12,3,0)*BW17)/SUM($BR17:$BV17),0)</f>
        <v>0</v>
      </c>
    </row>
    <row r="36" spans="2:75" x14ac:dyDescent="0.3">
      <c r="D36" s="71">
        <f>SUM(D25:D35)</f>
        <v>1022</v>
      </c>
      <c r="E36" s="71">
        <f t="shared" si="15"/>
        <v>841</v>
      </c>
      <c r="F36" s="72">
        <f t="shared" si="15"/>
        <v>0.82289628180039143</v>
      </c>
      <c r="G36" s="71">
        <f t="shared" si="15"/>
        <v>181</v>
      </c>
      <c r="H36" s="72">
        <f t="shared" si="15"/>
        <v>0.1771037181996086</v>
      </c>
      <c r="I36" s="71">
        <f t="shared" si="15"/>
        <v>59</v>
      </c>
    </row>
    <row r="37" spans="2:75" x14ac:dyDescent="0.3">
      <c r="D37" s="71"/>
      <c r="E37" s="71"/>
      <c r="F37" s="72"/>
      <c r="G37" s="71"/>
      <c r="H37" s="72"/>
      <c r="I37" s="71"/>
    </row>
    <row r="38" spans="2:75" x14ac:dyDescent="0.3">
      <c r="D38" s="71"/>
      <c r="E38" s="71"/>
      <c r="F38" s="72"/>
      <c r="G38" s="71"/>
      <c r="H38" s="72"/>
      <c r="I38" s="71"/>
      <c r="J38" s="82"/>
    </row>
    <row r="39" spans="2:75" ht="15.6" x14ac:dyDescent="0.3">
      <c r="D39" s="71"/>
      <c r="E39" s="71"/>
      <c r="F39" s="72"/>
      <c r="G39" s="71"/>
      <c r="H39" s="72"/>
      <c r="I39" s="71"/>
      <c r="K39" s="83" t="s">
        <v>501</v>
      </c>
    </row>
    <row r="40" spans="2:75" x14ac:dyDescent="0.3">
      <c r="D40" s="71"/>
      <c r="E40" s="71"/>
      <c r="F40" s="72"/>
      <c r="G40" s="71"/>
      <c r="H40" s="72"/>
      <c r="I40" s="71"/>
    </row>
    <row r="41" spans="2:75" x14ac:dyDescent="0.3">
      <c r="D41" s="71"/>
      <c r="E41" s="71"/>
      <c r="F41" s="72"/>
      <c r="G41" s="71"/>
      <c r="H41" s="72"/>
      <c r="I41" s="71"/>
    </row>
    <row r="42" spans="2:75" x14ac:dyDescent="0.3">
      <c r="U42" s="84"/>
    </row>
    <row r="43" spans="2:75" x14ac:dyDescent="0.3">
      <c r="E43" s="187" t="s">
        <v>474</v>
      </c>
      <c r="F43" s="189" t="s">
        <v>5</v>
      </c>
      <c r="G43" s="190"/>
      <c r="H43" s="190"/>
      <c r="I43" s="191"/>
      <c r="J43" s="185" t="s">
        <v>502</v>
      </c>
      <c r="K43" s="183"/>
      <c r="L43" s="183"/>
      <c r="M43" s="183"/>
      <c r="N43" s="183"/>
      <c r="O43" s="183"/>
      <c r="P43" s="183"/>
      <c r="Q43" s="183"/>
      <c r="R43" s="183"/>
      <c r="S43" s="183"/>
      <c r="T43" s="183"/>
    </row>
    <row r="44" spans="2:75" x14ac:dyDescent="0.3">
      <c r="E44" s="188"/>
      <c r="F44" s="192"/>
      <c r="G44" s="193"/>
      <c r="H44" s="193"/>
      <c r="I44" s="194"/>
      <c r="J44" s="85">
        <v>1</v>
      </c>
      <c r="K44" s="86">
        <v>2</v>
      </c>
      <c r="L44" s="86">
        <v>3</v>
      </c>
      <c r="M44" s="86">
        <v>4</v>
      </c>
      <c r="N44" s="86">
        <v>5</v>
      </c>
      <c r="O44" s="86">
        <v>6</v>
      </c>
      <c r="P44" s="86">
        <v>7</v>
      </c>
      <c r="Q44" s="86">
        <v>8</v>
      </c>
      <c r="R44" s="140">
        <v>9</v>
      </c>
      <c r="S44" s="140">
        <v>10</v>
      </c>
      <c r="T44" s="140">
        <v>11</v>
      </c>
      <c r="U44" s="87" t="s">
        <v>503</v>
      </c>
      <c r="W44" s="87" t="s">
        <v>454</v>
      </c>
    </row>
    <row r="45" spans="2:75" x14ac:dyDescent="0.3">
      <c r="E45" s="51">
        <v>1</v>
      </c>
      <c r="F45" s="88" t="s">
        <v>442</v>
      </c>
      <c r="G45" s="89"/>
      <c r="H45" s="89"/>
      <c r="I45" s="90"/>
      <c r="J45" s="91">
        <f t="shared" ref="J45:J55" si="51">SUM(J25:O25)</f>
        <v>0</v>
      </c>
      <c r="K45" s="91">
        <f t="shared" ref="K45:K55" si="52">SUM(P25:U25)</f>
        <v>0</v>
      </c>
      <c r="L45" s="91">
        <f t="shared" ref="L45:L55" si="53">SUM(V25:AA25)</f>
        <v>0</v>
      </c>
      <c r="M45" s="91">
        <f t="shared" ref="M45:M55" si="54">SUM(AB25:AG25)</f>
        <v>0</v>
      </c>
      <c r="N45" s="91">
        <f t="shared" ref="N45:N55" si="55">SUM(AH25:AM25)</f>
        <v>0</v>
      </c>
      <c r="O45" s="91">
        <f t="shared" ref="O45:O55" si="56">SUM(AN25:AS25)</f>
        <v>0</v>
      </c>
      <c r="P45" s="91">
        <f t="shared" ref="P45:P55" si="57">SUM(AT25:AY25)</f>
        <v>0</v>
      </c>
      <c r="Q45" s="91">
        <f>SUM(AZ25:BE25)</f>
        <v>0</v>
      </c>
      <c r="R45" s="141">
        <f>SUM(BF25:BK25)</f>
        <v>0</v>
      </c>
      <c r="S45" s="141">
        <f>SUM(BL25:BQ25)</f>
        <v>0</v>
      </c>
      <c r="T45" s="141">
        <f>SUM(BR25:BW25)</f>
        <v>0</v>
      </c>
      <c r="U45" s="92">
        <f t="shared" ref="U45:U55" si="58">IFERROR(AVERAGEIF(J45:Q45,"&gt;0",J45:Q45),0)</f>
        <v>0</v>
      </c>
      <c r="V45" s="93"/>
      <c r="W45" s="92">
        <v>4.4600389863547756</v>
      </c>
    </row>
    <row r="46" spans="2:75" x14ac:dyDescent="0.3">
      <c r="E46" s="60">
        <v>2</v>
      </c>
      <c r="F46" s="94" t="s">
        <v>45</v>
      </c>
      <c r="I46" s="95"/>
      <c r="J46" s="96">
        <f t="shared" si="51"/>
        <v>0</v>
      </c>
      <c r="K46" s="96">
        <f t="shared" si="52"/>
        <v>0</v>
      </c>
      <c r="L46" s="96">
        <f t="shared" si="53"/>
        <v>0</v>
      </c>
      <c r="M46" s="96">
        <f t="shared" si="54"/>
        <v>0</v>
      </c>
      <c r="N46" s="96">
        <f t="shared" si="55"/>
        <v>0</v>
      </c>
      <c r="O46" s="96">
        <f t="shared" si="56"/>
        <v>0</v>
      </c>
      <c r="P46" s="96">
        <f t="shared" si="57"/>
        <v>0</v>
      </c>
      <c r="Q46" s="96">
        <f t="shared" ref="Q46:Q55" si="59">SUM(AZ26:BE26)</f>
        <v>0</v>
      </c>
      <c r="R46" s="141">
        <f t="shared" ref="R46:R55" si="60">SUM(BF26:BK26)</f>
        <v>0</v>
      </c>
      <c r="S46" s="141">
        <f t="shared" ref="S46:S55" si="61">SUM(BL26:BQ26)</f>
        <v>0</v>
      </c>
      <c r="T46" s="141">
        <f t="shared" ref="T46:T55" si="62">SUM(BR26:BW26)</f>
        <v>0</v>
      </c>
      <c r="U46" s="97">
        <f t="shared" si="58"/>
        <v>0</v>
      </c>
      <c r="V46" s="93"/>
      <c r="W46" s="98">
        <v>4.1269999999999998</v>
      </c>
    </row>
    <row r="47" spans="2:75" x14ac:dyDescent="0.3">
      <c r="E47" s="60">
        <v>3</v>
      </c>
      <c r="F47" s="94" t="s">
        <v>24</v>
      </c>
      <c r="I47" s="95"/>
      <c r="J47" s="96">
        <f t="shared" si="51"/>
        <v>0</v>
      </c>
      <c r="K47" s="96">
        <f t="shared" si="52"/>
        <v>0</v>
      </c>
      <c r="L47" s="96">
        <f t="shared" si="53"/>
        <v>0</v>
      </c>
      <c r="M47" s="96">
        <f t="shared" si="54"/>
        <v>0</v>
      </c>
      <c r="N47" s="96">
        <f t="shared" si="55"/>
        <v>0</v>
      </c>
      <c r="O47" s="96">
        <f t="shared" si="56"/>
        <v>0</v>
      </c>
      <c r="P47" s="96">
        <f t="shared" si="57"/>
        <v>0</v>
      </c>
      <c r="Q47" s="96">
        <f t="shared" si="59"/>
        <v>0</v>
      </c>
      <c r="R47" s="141">
        <f t="shared" si="60"/>
        <v>0</v>
      </c>
      <c r="S47" s="141">
        <f t="shared" si="61"/>
        <v>0</v>
      </c>
      <c r="T47" s="141">
        <f t="shared" si="62"/>
        <v>0</v>
      </c>
      <c r="U47" s="97">
        <f t="shared" si="58"/>
        <v>0</v>
      </c>
      <c r="V47" s="93"/>
      <c r="W47" s="98">
        <v>4.0410000000000004</v>
      </c>
    </row>
    <row r="48" spans="2:75" x14ac:dyDescent="0.3">
      <c r="E48" s="60">
        <v>4</v>
      </c>
      <c r="F48" s="94" t="s">
        <v>43</v>
      </c>
      <c r="I48" s="95"/>
      <c r="J48" s="96">
        <f t="shared" si="51"/>
        <v>0</v>
      </c>
      <c r="K48" s="96">
        <f t="shared" si="52"/>
        <v>0</v>
      </c>
      <c r="L48" s="96">
        <f t="shared" si="53"/>
        <v>0</v>
      </c>
      <c r="M48" s="96">
        <f t="shared" si="54"/>
        <v>0</v>
      </c>
      <c r="N48" s="96">
        <f t="shared" si="55"/>
        <v>0</v>
      </c>
      <c r="O48" s="96">
        <f t="shared" si="56"/>
        <v>0</v>
      </c>
      <c r="P48" s="96">
        <f t="shared" si="57"/>
        <v>0</v>
      </c>
      <c r="Q48" s="96">
        <f t="shared" si="59"/>
        <v>0</v>
      </c>
      <c r="R48" s="141">
        <f t="shared" si="60"/>
        <v>0</v>
      </c>
      <c r="S48" s="141">
        <f t="shared" si="61"/>
        <v>0</v>
      </c>
      <c r="T48" s="141">
        <f t="shared" si="62"/>
        <v>0</v>
      </c>
      <c r="U48" s="97">
        <f t="shared" si="58"/>
        <v>0</v>
      </c>
      <c r="V48" s="93"/>
      <c r="W48" s="98">
        <v>4.1500000000000004</v>
      </c>
    </row>
    <row r="49" spans="5:25" x14ac:dyDescent="0.3">
      <c r="E49" s="60">
        <v>5</v>
      </c>
      <c r="F49" s="94" t="s">
        <v>37</v>
      </c>
      <c r="I49" s="95"/>
      <c r="J49" s="96">
        <f t="shared" si="51"/>
        <v>0</v>
      </c>
      <c r="K49" s="96">
        <f t="shared" si="52"/>
        <v>0</v>
      </c>
      <c r="L49" s="96">
        <f t="shared" si="53"/>
        <v>0</v>
      </c>
      <c r="M49" s="96">
        <f t="shared" si="54"/>
        <v>0</v>
      </c>
      <c r="N49" s="96">
        <f t="shared" si="55"/>
        <v>0</v>
      </c>
      <c r="O49" s="96">
        <f t="shared" si="56"/>
        <v>0</v>
      </c>
      <c r="P49" s="96">
        <f t="shared" si="57"/>
        <v>0</v>
      </c>
      <c r="Q49" s="96">
        <f t="shared" si="59"/>
        <v>0</v>
      </c>
      <c r="R49" s="141">
        <f>SUM(BF29:BK29)</f>
        <v>0</v>
      </c>
      <c r="S49" s="141">
        <f t="shared" si="61"/>
        <v>0</v>
      </c>
      <c r="T49" s="141">
        <f t="shared" si="62"/>
        <v>0</v>
      </c>
      <c r="U49" s="99">
        <f t="shared" si="58"/>
        <v>0</v>
      </c>
      <c r="V49" s="93"/>
      <c r="W49" s="99">
        <v>4.5289999999999999</v>
      </c>
      <c r="Y49" s="146"/>
    </row>
    <row r="50" spans="5:25" x14ac:dyDescent="0.3">
      <c r="E50" s="60">
        <v>6</v>
      </c>
      <c r="F50" s="94" t="s">
        <v>18</v>
      </c>
      <c r="I50" s="95"/>
      <c r="J50" s="96">
        <f t="shared" si="51"/>
        <v>0</v>
      </c>
      <c r="K50" s="96">
        <f t="shared" si="52"/>
        <v>0</v>
      </c>
      <c r="L50" s="96">
        <f t="shared" si="53"/>
        <v>0</v>
      </c>
      <c r="M50" s="96">
        <f t="shared" si="54"/>
        <v>0</v>
      </c>
      <c r="N50" s="96">
        <f t="shared" si="55"/>
        <v>0</v>
      </c>
      <c r="O50" s="96">
        <f t="shared" si="56"/>
        <v>0</v>
      </c>
      <c r="P50" s="96">
        <f t="shared" si="57"/>
        <v>0</v>
      </c>
      <c r="Q50" s="96">
        <f t="shared" si="59"/>
        <v>0</v>
      </c>
      <c r="R50" s="141">
        <f t="shared" si="60"/>
        <v>0</v>
      </c>
      <c r="S50" s="141">
        <f>SUM(BL30:BQ30)</f>
        <v>0</v>
      </c>
      <c r="T50" s="141">
        <f t="shared" si="62"/>
        <v>0</v>
      </c>
      <c r="U50" s="97">
        <f t="shared" si="58"/>
        <v>0</v>
      </c>
      <c r="V50" s="93"/>
      <c r="W50" s="98">
        <v>4.0529999999999999</v>
      </c>
      <c r="Y50" s="146"/>
    </row>
    <row r="51" spans="5:25" x14ac:dyDescent="0.3">
      <c r="E51" s="60">
        <v>7</v>
      </c>
      <c r="F51" s="94" t="s">
        <v>7</v>
      </c>
      <c r="I51" s="95"/>
      <c r="J51" s="96">
        <f t="shared" si="51"/>
        <v>4.1157894736842104</v>
      </c>
      <c r="K51" s="96">
        <f t="shared" si="52"/>
        <v>4.328125</v>
      </c>
      <c r="L51" s="96">
        <f t="shared" si="53"/>
        <v>4.3333333333333339</v>
      </c>
      <c r="M51" s="96">
        <f t="shared" si="54"/>
        <v>4.2758620689655178</v>
      </c>
      <c r="N51" s="96">
        <f t="shared" si="55"/>
        <v>0</v>
      </c>
      <c r="O51" s="96">
        <f t="shared" si="56"/>
        <v>0</v>
      </c>
      <c r="P51" s="96">
        <f t="shared" si="57"/>
        <v>0</v>
      </c>
      <c r="Q51" s="96">
        <f t="shared" si="59"/>
        <v>0</v>
      </c>
      <c r="R51" s="141">
        <f t="shared" si="60"/>
        <v>0</v>
      </c>
      <c r="S51" s="141">
        <f t="shared" si="61"/>
        <v>0</v>
      </c>
      <c r="T51" s="141">
        <f t="shared" si="62"/>
        <v>0</v>
      </c>
      <c r="U51" s="97">
        <f t="shared" si="58"/>
        <v>4.2632774689957653</v>
      </c>
      <c r="V51" s="93"/>
      <c r="W51" s="98">
        <v>4.2709999999999999</v>
      </c>
      <c r="Y51" s="146"/>
    </row>
    <row r="52" spans="5:25" x14ac:dyDescent="0.3">
      <c r="E52" s="60">
        <v>8</v>
      </c>
      <c r="F52" s="94" t="s">
        <v>12</v>
      </c>
      <c r="I52" s="95"/>
      <c r="J52" s="100">
        <f t="shared" si="51"/>
        <v>0</v>
      </c>
      <c r="K52" s="100">
        <f t="shared" si="52"/>
        <v>0</v>
      </c>
      <c r="L52" s="100">
        <f t="shared" si="53"/>
        <v>0</v>
      </c>
      <c r="M52" s="100">
        <f t="shared" si="54"/>
        <v>0</v>
      </c>
      <c r="N52" s="100">
        <f t="shared" si="55"/>
        <v>0</v>
      </c>
      <c r="O52" s="100">
        <f t="shared" si="56"/>
        <v>0</v>
      </c>
      <c r="P52" s="100">
        <f t="shared" si="57"/>
        <v>0</v>
      </c>
      <c r="Q52" s="100">
        <f t="shared" si="59"/>
        <v>0</v>
      </c>
      <c r="R52" s="141">
        <f t="shared" si="60"/>
        <v>0</v>
      </c>
      <c r="S52" s="141">
        <f t="shared" si="61"/>
        <v>0</v>
      </c>
      <c r="T52" s="141">
        <f t="shared" si="62"/>
        <v>0</v>
      </c>
      <c r="U52" s="97">
        <f t="shared" si="58"/>
        <v>0</v>
      </c>
      <c r="V52" s="93"/>
      <c r="W52" s="98">
        <v>4.1929999999999996</v>
      </c>
      <c r="Y52" s="146"/>
    </row>
    <row r="53" spans="5:25" x14ac:dyDescent="0.3">
      <c r="E53" s="60">
        <v>9</v>
      </c>
      <c r="F53" s="94" t="s">
        <v>32</v>
      </c>
      <c r="I53" s="95"/>
      <c r="J53" s="96">
        <f t="shared" si="51"/>
        <v>0</v>
      </c>
      <c r="K53" s="96">
        <f t="shared" si="52"/>
        <v>0</v>
      </c>
      <c r="L53" s="96">
        <f t="shared" si="53"/>
        <v>0</v>
      </c>
      <c r="M53" s="96">
        <f t="shared" si="54"/>
        <v>0</v>
      </c>
      <c r="N53" s="96">
        <f t="shared" si="55"/>
        <v>0</v>
      </c>
      <c r="O53" s="96">
        <f t="shared" si="56"/>
        <v>0</v>
      </c>
      <c r="P53" s="96">
        <f t="shared" si="57"/>
        <v>0</v>
      </c>
      <c r="Q53" s="96">
        <f t="shared" si="59"/>
        <v>0</v>
      </c>
      <c r="R53" s="141">
        <f>SUM(BF33:BK33)</f>
        <v>0</v>
      </c>
      <c r="S53" s="141">
        <f t="shared" si="61"/>
        <v>0</v>
      </c>
      <c r="T53" s="141">
        <f t="shared" si="62"/>
        <v>0</v>
      </c>
      <c r="U53" s="99">
        <f t="shared" si="58"/>
        <v>0</v>
      </c>
      <c r="V53" s="93"/>
      <c r="W53" s="99">
        <v>4.407</v>
      </c>
    </row>
    <row r="54" spans="5:25" x14ac:dyDescent="0.3">
      <c r="E54" s="60">
        <v>10</v>
      </c>
      <c r="F54" s="94" t="s">
        <v>44</v>
      </c>
      <c r="I54" s="95"/>
      <c r="J54" s="96">
        <f t="shared" si="51"/>
        <v>0</v>
      </c>
      <c r="K54" s="96">
        <f t="shared" si="52"/>
        <v>0</v>
      </c>
      <c r="L54" s="96">
        <f t="shared" si="53"/>
        <v>0</v>
      </c>
      <c r="M54" s="96">
        <f t="shared" si="54"/>
        <v>0</v>
      </c>
      <c r="N54" s="96">
        <f t="shared" si="55"/>
        <v>0</v>
      </c>
      <c r="O54" s="96">
        <f t="shared" si="56"/>
        <v>0</v>
      </c>
      <c r="P54" s="96">
        <f t="shared" si="57"/>
        <v>0</v>
      </c>
      <c r="Q54" s="96">
        <f t="shared" si="59"/>
        <v>0</v>
      </c>
      <c r="R54" s="141">
        <f t="shared" si="60"/>
        <v>0</v>
      </c>
      <c r="S54" s="141">
        <f t="shared" si="61"/>
        <v>0</v>
      </c>
      <c r="T54" s="141">
        <f t="shared" si="62"/>
        <v>0</v>
      </c>
      <c r="U54" s="97">
        <f t="shared" si="58"/>
        <v>0</v>
      </c>
      <c r="V54" s="93"/>
      <c r="W54" s="98">
        <v>3.5390000000000001</v>
      </c>
    </row>
    <row r="55" spans="5:25" x14ac:dyDescent="0.3">
      <c r="E55" s="65">
        <v>11</v>
      </c>
      <c r="F55" s="101" t="s">
        <v>29</v>
      </c>
      <c r="G55" s="102"/>
      <c r="H55" s="102"/>
      <c r="I55" s="103"/>
      <c r="J55" s="104">
        <f t="shared" si="51"/>
        <v>0</v>
      </c>
      <c r="K55" s="104">
        <f t="shared" si="52"/>
        <v>0</v>
      </c>
      <c r="L55" s="104">
        <f t="shared" si="53"/>
        <v>0</v>
      </c>
      <c r="M55" s="104">
        <f t="shared" si="54"/>
        <v>0</v>
      </c>
      <c r="N55" s="104">
        <f t="shared" si="55"/>
        <v>0</v>
      </c>
      <c r="O55" s="104">
        <f t="shared" si="56"/>
        <v>0</v>
      </c>
      <c r="P55" s="104">
        <f t="shared" si="57"/>
        <v>0</v>
      </c>
      <c r="Q55" s="104">
        <f t="shared" si="59"/>
        <v>0</v>
      </c>
      <c r="R55" s="141">
        <f t="shared" si="60"/>
        <v>0</v>
      </c>
      <c r="S55" s="141">
        <f t="shared" si="61"/>
        <v>0</v>
      </c>
      <c r="T55" s="141">
        <f t="shared" si="62"/>
        <v>0</v>
      </c>
      <c r="U55" s="105">
        <f t="shared" si="58"/>
        <v>0</v>
      </c>
      <c r="V55" s="93"/>
      <c r="W55" s="106">
        <v>4.2439999999999998</v>
      </c>
    </row>
    <row r="57" spans="5:25" ht="15.6" x14ac:dyDescent="0.3">
      <c r="J57" s="184" t="s">
        <v>489</v>
      </c>
      <c r="K57" s="184"/>
      <c r="L57" s="184"/>
      <c r="O57" s="83"/>
    </row>
    <row r="58" spans="5:25" x14ac:dyDescent="0.3">
      <c r="J58" s="50" t="s">
        <v>497</v>
      </c>
      <c r="K58" s="50" t="s">
        <v>498</v>
      </c>
      <c r="L58" s="50" t="s">
        <v>499</v>
      </c>
    </row>
    <row r="59" spans="5:25" x14ac:dyDescent="0.3">
      <c r="J59" s="58" t="s">
        <v>491</v>
      </c>
      <c r="K59" s="58" t="s">
        <v>471</v>
      </c>
      <c r="L59" s="59">
        <v>1</v>
      </c>
    </row>
    <row r="60" spans="5:25" x14ac:dyDescent="0.3">
      <c r="J60" s="58" t="s">
        <v>492</v>
      </c>
      <c r="K60" s="58" t="s">
        <v>470</v>
      </c>
      <c r="L60" s="59">
        <v>2</v>
      </c>
    </row>
    <row r="61" spans="5:25" x14ac:dyDescent="0.3">
      <c r="J61" s="58" t="s">
        <v>493</v>
      </c>
      <c r="K61" s="58" t="s">
        <v>469</v>
      </c>
      <c r="L61" s="59">
        <v>3</v>
      </c>
    </row>
    <row r="62" spans="5:25" x14ac:dyDescent="0.3">
      <c r="J62" s="58" t="s">
        <v>494</v>
      </c>
      <c r="K62" s="58" t="s">
        <v>467</v>
      </c>
      <c r="L62" s="59">
        <v>4</v>
      </c>
    </row>
    <row r="63" spans="5:25" x14ac:dyDescent="0.3">
      <c r="J63" s="58" t="s">
        <v>495</v>
      </c>
      <c r="K63" s="58" t="s">
        <v>468</v>
      </c>
      <c r="L63" s="59">
        <v>5</v>
      </c>
    </row>
    <row r="64" spans="5:25" x14ac:dyDescent="0.3">
      <c r="J64" s="58" t="s">
        <v>496</v>
      </c>
      <c r="K64" s="58" t="s">
        <v>473</v>
      </c>
      <c r="L64" s="59">
        <v>0</v>
      </c>
    </row>
    <row r="72" spans="10:10" ht="18" x14ac:dyDescent="0.4">
      <c r="J72" t="s">
        <v>504</v>
      </c>
    </row>
  </sheetData>
  <mergeCells count="41">
    <mergeCell ref="CC5:CE5"/>
    <mergeCell ref="B4:B6"/>
    <mergeCell ref="C4:C6"/>
    <mergeCell ref="D4:D6"/>
    <mergeCell ref="E4:H4"/>
    <mergeCell ref="E5:F5"/>
    <mergeCell ref="I5:I6"/>
    <mergeCell ref="J5:O5"/>
    <mergeCell ref="P5:U5"/>
    <mergeCell ref="V5:AA5"/>
    <mergeCell ref="AB5:AG5"/>
    <mergeCell ref="AH5:AM5"/>
    <mergeCell ref="AN5:AS5"/>
    <mergeCell ref="AT5:AY5"/>
    <mergeCell ref="AZ5:BE5"/>
    <mergeCell ref="BF5:BK5"/>
    <mergeCell ref="E43:E44"/>
    <mergeCell ref="F43:I44"/>
    <mergeCell ref="B22:B24"/>
    <mergeCell ref="C22:C24"/>
    <mergeCell ref="D22:D24"/>
    <mergeCell ref="E22:H22"/>
    <mergeCell ref="E23:F23"/>
    <mergeCell ref="I23:I24"/>
    <mergeCell ref="J57:L57"/>
    <mergeCell ref="AB23:AG23"/>
    <mergeCell ref="AH23:AM23"/>
    <mergeCell ref="AN23:AS23"/>
    <mergeCell ref="AT23:AY23"/>
    <mergeCell ref="V23:AA23"/>
    <mergeCell ref="J43:T43"/>
    <mergeCell ref="J23:O23"/>
    <mergeCell ref="P23:U23"/>
    <mergeCell ref="BL5:BQ5"/>
    <mergeCell ref="BR5:BW5"/>
    <mergeCell ref="I4:BW4"/>
    <mergeCell ref="BF23:BK23"/>
    <mergeCell ref="BL23:BQ23"/>
    <mergeCell ref="BR23:BW23"/>
    <mergeCell ref="I22:BW22"/>
    <mergeCell ref="AZ23:BE23"/>
  </mergeCells>
  <conditionalFormatting sqref="J7:BE17">
    <cfRule type="expression" dxfId="18" priority="9">
      <formula>J7=""</formula>
    </cfRule>
  </conditionalFormatting>
  <conditionalFormatting sqref="J25:BE35">
    <cfRule type="expression" dxfId="17" priority="8">
      <formula>J25=0</formula>
    </cfRule>
  </conditionalFormatting>
  <conditionalFormatting sqref="BF7:BK17">
    <cfRule type="expression" dxfId="16" priority="7">
      <formula>BF7=""</formula>
    </cfRule>
  </conditionalFormatting>
  <conditionalFormatting sqref="BL7:BQ17">
    <cfRule type="expression" dxfId="15" priority="6">
      <formula>BL7=""</formula>
    </cfRule>
  </conditionalFormatting>
  <conditionalFormatting sqref="BR7:BW17">
    <cfRule type="expression" dxfId="14" priority="5">
      <formula>BR7=""</formula>
    </cfRule>
  </conditionalFormatting>
  <conditionalFormatting sqref="BL25:BQ35">
    <cfRule type="expression" dxfId="13" priority="3">
      <formula>BL25=0</formula>
    </cfRule>
  </conditionalFormatting>
  <conditionalFormatting sqref="BR25:BW35">
    <cfRule type="expression" dxfId="12" priority="2">
      <formula>BR25=0</formula>
    </cfRule>
  </conditionalFormatting>
  <conditionalFormatting sqref="BF25:BK35">
    <cfRule type="expression" dxfId="11" priority="1">
      <formula>BF25=0</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FBA05-6B25-4398-9DBD-2886CBF137E8}">
  <sheetPr codeName="Hoja3"/>
  <dimension ref="B2:CE54"/>
  <sheetViews>
    <sheetView zoomScale="86" workbookViewId="0">
      <selection activeCell="E12" sqref="E12"/>
    </sheetView>
  </sheetViews>
  <sheetFormatPr baseColWidth="10" defaultRowHeight="14.4" x14ac:dyDescent="0.3"/>
  <cols>
    <col min="1" max="1" width="3.33203125" customWidth="1"/>
    <col min="2" max="2" width="4.33203125" bestFit="1" customWidth="1"/>
    <col min="3" max="3" width="25.109375" bestFit="1" customWidth="1"/>
    <col min="5" max="5" width="5.6640625" bestFit="1" customWidth="1"/>
    <col min="6" max="6" width="6" bestFit="1" customWidth="1"/>
    <col min="7" max="7" width="5.6640625" bestFit="1" customWidth="1"/>
    <col min="8" max="8" width="4.88671875" bestFit="1" customWidth="1"/>
    <col min="9" max="9" width="5" bestFit="1" customWidth="1"/>
    <col min="10" max="14" width="7.33203125" bestFit="1" customWidth="1"/>
    <col min="15" max="15" width="8.88671875" bestFit="1" customWidth="1"/>
    <col min="16" max="17" width="7.33203125" bestFit="1" customWidth="1"/>
    <col min="18" max="18" width="8.109375" bestFit="1" customWidth="1"/>
    <col min="19" max="32" width="7.33203125" bestFit="1" customWidth="1"/>
    <col min="33" max="34" width="5.33203125" bestFit="1" customWidth="1"/>
    <col min="35" max="38" width="7.33203125" bestFit="1" customWidth="1"/>
    <col min="39" max="39" width="5.33203125" bestFit="1" customWidth="1"/>
    <col min="40" max="40" width="6.88671875" bestFit="1" customWidth="1"/>
    <col min="41" max="44" width="7.33203125" bestFit="1" customWidth="1"/>
    <col min="45" max="45" width="5.33203125" bestFit="1" customWidth="1"/>
    <col min="46" max="46" width="6.88671875" bestFit="1" customWidth="1"/>
    <col min="47" max="50" width="7.33203125" bestFit="1" customWidth="1"/>
    <col min="51" max="51" width="5.33203125" bestFit="1" customWidth="1"/>
    <col min="52" max="56" width="7.33203125" bestFit="1" customWidth="1"/>
    <col min="57" max="57" width="5.33203125" bestFit="1" customWidth="1"/>
    <col min="59" max="59" width="5.6640625" bestFit="1" customWidth="1"/>
    <col min="60" max="60" width="9.5546875" bestFit="1" customWidth="1"/>
    <col min="61" max="61" width="6.88671875" bestFit="1" customWidth="1"/>
  </cols>
  <sheetData>
    <row r="2" spans="2:83" ht="18" x14ac:dyDescent="0.35">
      <c r="B2" s="44" t="s">
        <v>472</v>
      </c>
      <c r="J2">
        <v>1</v>
      </c>
      <c r="K2">
        <v>2</v>
      </c>
      <c r="L2">
        <v>3</v>
      </c>
      <c r="M2">
        <v>4</v>
      </c>
      <c r="N2">
        <v>5</v>
      </c>
      <c r="O2">
        <v>0</v>
      </c>
    </row>
    <row r="3" spans="2:83" x14ac:dyDescent="0.3">
      <c r="J3" t="s">
        <v>471</v>
      </c>
      <c r="K3" t="s">
        <v>470</v>
      </c>
      <c r="L3" t="s">
        <v>469</v>
      </c>
      <c r="M3" t="s">
        <v>467</v>
      </c>
      <c r="N3" t="s">
        <v>468</v>
      </c>
      <c r="O3" t="s">
        <v>473</v>
      </c>
    </row>
    <row r="4" spans="2:83" x14ac:dyDescent="0.3">
      <c r="B4" s="195" t="s">
        <v>474</v>
      </c>
      <c r="C4" s="195" t="s">
        <v>5</v>
      </c>
      <c r="D4" s="195" t="s">
        <v>475</v>
      </c>
      <c r="E4" s="184" t="s">
        <v>476</v>
      </c>
      <c r="F4" s="184"/>
      <c r="G4" s="184"/>
      <c r="H4" s="184"/>
      <c r="I4" s="182" t="s">
        <v>477</v>
      </c>
      <c r="J4" s="183"/>
      <c r="K4" s="183"/>
      <c r="L4" s="183"/>
      <c r="M4" s="183"/>
      <c r="N4" s="183"/>
      <c r="O4" s="183"/>
      <c r="P4" s="183"/>
      <c r="Q4" s="183"/>
      <c r="R4" s="183"/>
      <c r="S4" s="183"/>
      <c r="T4" s="183"/>
      <c r="U4" s="183"/>
      <c r="V4" s="183"/>
      <c r="W4" s="183"/>
      <c r="X4" s="183"/>
      <c r="Y4" s="183"/>
      <c r="Z4" s="183"/>
      <c r="AA4" s="183"/>
      <c r="AB4" s="183"/>
      <c r="AC4" s="183"/>
      <c r="AD4" s="183"/>
      <c r="AE4" s="183"/>
      <c r="AF4" s="183"/>
      <c r="AG4" s="183"/>
      <c r="AH4" s="183"/>
      <c r="AI4" s="183"/>
      <c r="AJ4" s="183"/>
      <c r="AK4" s="183"/>
      <c r="AL4" s="183"/>
      <c r="AM4" s="183"/>
      <c r="AN4" s="183"/>
      <c r="AO4" s="183"/>
      <c r="AP4" s="183"/>
      <c r="AQ4" s="183"/>
      <c r="AR4" s="183"/>
      <c r="AS4" s="183"/>
      <c r="AT4" s="183"/>
      <c r="AU4" s="183"/>
      <c r="AV4" s="183"/>
      <c r="AW4" s="183"/>
      <c r="AX4" s="183"/>
      <c r="AY4" s="183"/>
      <c r="AZ4" s="183"/>
      <c r="BA4" s="183"/>
      <c r="BB4" s="183"/>
      <c r="BC4" s="183"/>
      <c r="BD4" s="183"/>
      <c r="BE4" s="183"/>
      <c r="BF4" s="183"/>
      <c r="BG4" s="183"/>
      <c r="BH4" s="183"/>
      <c r="BI4" s="183"/>
      <c r="BJ4" s="183"/>
      <c r="BK4" s="183"/>
      <c r="BL4" s="183"/>
      <c r="BM4" s="183"/>
      <c r="BN4" s="183"/>
      <c r="BO4" s="183"/>
      <c r="BP4" s="183"/>
      <c r="BQ4" s="183"/>
      <c r="BR4" s="183"/>
      <c r="BS4" s="183"/>
      <c r="BT4" s="183"/>
      <c r="BU4" s="183"/>
      <c r="BV4" s="183"/>
      <c r="BW4" s="183"/>
    </row>
    <row r="5" spans="2:83" x14ac:dyDescent="0.3">
      <c r="B5" s="195"/>
      <c r="C5" s="195"/>
      <c r="D5" s="195"/>
      <c r="E5" s="184" t="s">
        <v>478</v>
      </c>
      <c r="F5" s="184"/>
      <c r="G5" s="45" t="s">
        <v>479</v>
      </c>
      <c r="H5" s="45"/>
      <c r="I5" s="197" t="s">
        <v>480</v>
      </c>
      <c r="J5" s="186" t="s">
        <v>481</v>
      </c>
      <c r="K5" s="180"/>
      <c r="L5" s="180"/>
      <c r="M5" s="180"/>
      <c r="N5" s="180"/>
      <c r="O5" s="180"/>
      <c r="P5" s="180" t="s">
        <v>482</v>
      </c>
      <c r="Q5" s="180"/>
      <c r="R5" s="180"/>
      <c r="S5" s="180"/>
      <c r="T5" s="180"/>
      <c r="U5" s="180"/>
      <c r="V5" s="180" t="s">
        <v>483</v>
      </c>
      <c r="W5" s="180"/>
      <c r="X5" s="180"/>
      <c r="Y5" s="180"/>
      <c r="Z5" s="180"/>
      <c r="AA5" s="180"/>
      <c r="AB5" s="180" t="s">
        <v>484</v>
      </c>
      <c r="AC5" s="180"/>
      <c r="AD5" s="180"/>
      <c r="AE5" s="180"/>
      <c r="AF5" s="180"/>
      <c r="AG5" s="180"/>
      <c r="AH5" s="180" t="s">
        <v>485</v>
      </c>
      <c r="AI5" s="180"/>
      <c r="AJ5" s="180"/>
      <c r="AK5" s="180"/>
      <c r="AL5" s="180"/>
      <c r="AM5" s="180"/>
      <c r="AN5" s="180" t="s">
        <v>486</v>
      </c>
      <c r="AO5" s="180"/>
      <c r="AP5" s="180"/>
      <c r="AQ5" s="180"/>
      <c r="AR5" s="180"/>
      <c r="AS5" s="180"/>
      <c r="AT5" s="180" t="s">
        <v>487</v>
      </c>
      <c r="AU5" s="180"/>
      <c r="AV5" s="180"/>
      <c r="AW5" s="180"/>
      <c r="AX5" s="180"/>
      <c r="AY5" s="180"/>
      <c r="AZ5" s="180" t="s">
        <v>488</v>
      </c>
      <c r="BA5" s="180"/>
      <c r="BB5" s="180"/>
      <c r="BC5" s="180"/>
      <c r="BD5" s="180"/>
      <c r="BE5" s="181"/>
      <c r="BF5" s="180" t="s">
        <v>516</v>
      </c>
      <c r="BG5" s="180"/>
      <c r="BH5" s="180"/>
      <c r="BI5" s="180"/>
      <c r="BJ5" s="180"/>
      <c r="BK5" s="181"/>
      <c r="BL5" s="180" t="s">
        <v>517</v>
      </c>
      <c r="BM5" s="180"/>
      <c r="BN5" s="180"/>
      <c r="BO5" s="180"/>
      <c r="BP5" s="180"/>
      <c r="BQ5" s="181"/>
      <c r="BR5" s="180" t="s">
        <v>518</v>
      </c>
      <c r="BS5" s="180"/>
      <c r="BT5" s="180"/>
      <c r="BU5" s="180"/>
      <c r="BV5" s="180"/>
      <c r="BW5" s="181"/>
      <c r="CC5" s="184" t="s">
        <v>489</v>
      </c>
      <c r="CD5" s="184"/>
      <c r="CE5" s="184"/>
    </row>
    <row r="6" spans="2:83" x14ac:dyDescent="0.3">
      <c r="B6" s="196"/>
      <c r="C6" s="196"/>
      <c r="D6" s="196"/>
      <c r="E6" s="46" t="s">
        <v>480</v>
      </c>
      <c r="F6" s="46" t="s">
        <v>490</v>
      </c>
      <c r="G6" s="46" t="s">
        <v>480</v>
      </c>
      <c r="H6" s="46" t="s">
        <v>490</v>
      </c>
      <c r="I6" s="197"/>
      <c r="J6" s="47" t="s">
        <v>491</v>
      </c>
      <c r="K6" s="48" t="s">
        <v>492</v>
      </c>
      <c r="L6" s="48" t="s">
        <v>493</v>
      </c>
      <c r="M6" s="48" t="s">
        <v>494</v>
      </c>
      <c r="N6" s="48" t="s">
        <v>495</v>
      </c>
      <c r="O6" s="48" t="s">
        <v>496</v>
      </c>
      <c r="P6" s="48" t="s">
        <v>491</v>
      </c>
      <c r="Q6" s="48" t="s">
        <v>492</v>
      </c>
      <c r="R6" s="48" t="s">
        <v>493</v>
      </c>
      <c r="S6" s="48" t="s">
        <v>494</v>
      </c>
      <c r="T6" s="48" t="s">
        <v>495</v>
      </c>
      <c r="U6" s="48" t="s">
        <v>496</v>
      </c>
      <c r="V6" s="48" t="s">
        <v>491</v>
      </c>
      <c r="W6" s="48" t="s">
        <v>492</v>
      </c>
      <c r="X6" s="48" t="s">
        <v>493</v>
      </c>
      <c r="Y6" s="48" t="s">
        <v>494</v>
      </c>
      <c r="Z6" s="48" t="s">
        <v>495</v>
      </c>
      <c r="AA6" s="48" t="s">
        <v>496</v>
      </c>
      <c r="AB6" s="48" t="s">
        <v>491</v>
      </c>
      <c r="AC6" s="48" t="s">
        <v>492</v>
      </c>
      <c r="AD6" s="48" t="s">
        <v>493</v>
      </c>
      <c r="AE6" s="48" t="s">
        <v>494</v>
      </c>
      <c r="AF6" s="48" t="s">
        <v>495</v>
      </c>
      <c r="AG6" s="48" t="s">
        <v>496</v>
      </c>
      <c r="AH6" s="48" t="s">
        <v>491</v>
      </c>
      <c r="AI6" s="48" t="s">
        <v>492</v>
      </c>
      <c r="AJ6" s="48" t="s">
        <v>493</v>
      </c>
      <c r="AK6" s="48" t="s">
        <v>494</v>
      </c>
      <c r="AL6" s="48" t="s">
        <v>495</v>
      </c>
      <c r="AM6" s="48" t="s">
        <v>496</v>
      </c>
      <c r="AN6" s="48" t="s">
        <v>491</v>
      </c>
      <c r="AO6" s="48" t="s">
        <v>492</v>
      </c>
      <c r="AP6" s="48" t="s">
        <v>493</v>
      </c>
      <c r="AQ6" s="48" t="s">
        <v>494</v>
      </c>
      <c r="AR6" s="48" t="s">
        <v>495</v>
      </c>
      <c r="AS6" s="48" t="s">
        <v>496</v>
      </c>
      <c r="AT6" s="48" t="s">
        <v>491</v>
      </c>
      <c r="AU6" s="48" t="s">
        <v>492</v>
      </c>
      <c r="AV6" s="48" t="s">
        <v>493</v>
      </c>
      <c r="AW6" s="48" t="s">
        <v>494</v>
      </c>
      <c r="AX6" s="48" t="s">
        <v>495</v>
      </c>
      <c r="AY6" s="48" t="s">
        <v>496</v>
      </c>
      <c r="AZ6" s="48" t="s">
        <v>491</v>
      </c>
      <c r="BA6" s="48" t="s">
        <v>492</v>
      </c>
      <c r="BB6" s="48" t="s">
        <v>493</v>
      </c>
      <c r="BC6" s="48" t="s">
        <v>494</v>
      </c>
      <c r="BD6" s="48" t="s">
        <v>495</v>
      </c>
      <c r="BE6" s="49" t="s">
        <v>496</v>
      </c>
      <c r="BF6" s="48" t="s">
        <v>491</v>
      </c>
      <c r="BG6" s="48" t="s">
        <v>492</v>
      </c>
      <c r="BH6" s="48" t="s">
        <v>493</v>
      </c>
      <c r="BI6" s="48" t="s">
        <v>494</v>
      </c>
      <c r="BJ6" s="48" t="s">
        <v>495</v>
      </c>
      <c r="BK6" s="49" t="s">
        <v>496</v>
      </c>
      <c r="BL6" s="48" t="s">
        <v>491</v>
      </c>
      <c r="BM6" s="48" t="s">
        <v>492</v>
      </c>
      <c r="BN6" s="48" t="s">
        <v>493</v>
      </c>
      <c r="BO6" s="48" t="s">
        <v>494</v>
      </c>
      <c r="BP6" s="48" t="s">
        <v>495</v>
      </c>
      <c r="BQ6" s="49" t="s">
        <v>496</v>
      </c>
      <c r="BR6" s="48" t="s">
        <v>491</v>
      </c>
      <c r="BS6" s="48" t="s">
        <v>492</v>
      </c>
      <c r="BT6" s="48" t="s">
        <v>493</v>
      </c>
      <c r="BU6" s="48" t="s">
        <v>494</v>
      </c>
      <c r="BV6" s="48" t="s">
        <v>495</v>
      </c>
      <c r="BW6" s="49" t="s">
        <v>496</v>
      </c>
      <c r="CC6" s="50" t="s">
        <v>497</v>
      </c>
      <c r="CD6" s="50" t="s">
        <v>498</v>
      </c>
      <c r="CE6" s="50" t="s">
        <v>499</v>
      </c>
    </row>
    <row r="7" spans="2:83" ht="15" thickBot="1" x14ac:dyDescent="0.35">
      <c r="B7" s="51">
        <v>1</v>
      </c>
      <c r="C7" s="132" t="s">
        <v>66</v>
      </c>
      <c r="D7" s="118"/>
      <c r="E7" s="119"/>
      <c r="F7" s="54"/>
      <c r="G7" s="53"/>
      <c r="H7" s="54"/>
      <c r="I7" s="55"/>
      <c r="J7" s="56"/>
      <c r="L7">
        <v>1</v>
      </c>
      <c r="M7">
        <v>7</v>
      </c>
      <c r="N7">
        <v>7</v>
      </c>
      <c r="O7">
        <v>1</v>
      </c>
      <c r="P7" s="56"/>
      <c r="S7">
        <v>5</v>
      </c>
      <c r="T7">
        <v>4</v>
      </c>
      <c r="U7" s="57">
        <v>7</v>
      </c>
      <c r="V7" s="56"/>
      <c r="X7">
        <v>1</v>
      </c>
      <c r="Y7">
        <v>5</v>
      </c>
      <c r="Z7">
        <v>9</v>
      </c>
      <c r="AA7" s="57">
        <v>1</v>
      </c>
      <c r="AB7" s="56"/>
      <c r="AE7">
        <v>4</v>
      </c>
      <c r="AF7">
        <v>11</v>
      </c>
      <c r="AG7" s="57">
        <v>1</v>
      </c>
      <c r="AH7" s="56"/>
      <c r="AM7" s="57"/>
      <c r="AN7" s="56"/>
      <c r="AS7" s="57"/>
      <c r="AT7" s="56"/>
      <c r="AY7" s="57"/>
      <c r="AZ7" s="56"/>
      <c r="BE7" s="57"/>
      <c r="BF7" s="56"/>
      <c r="BK7" s="57"/>
      <c r="BL7" s="56"/>
      <c r="BQ7" s="57"/>
      <c r="BR7" s="56"/>
      <c r="BW7" s="57"/>
      <c r="CC7" s="58" t="s">
        <v>491</v>
      </c>
      <c r="CD7" s="58" t="s">
        <v>471</v>
      </c>
      <c r="CE7" s="59">
        <v>1</v>
      </c>
    </row>
    <row r="8" spans="2:83" x14ac:dyDescent="0.3">
      <c r="B8" s="60">
        <v>2</v>
      </c>
      <c r="C8" s="132" t="s">
        <v>70</v>
      </c>
      <c r="D8" s="62"/>
      <c r="E8" s="63"/>
      <c r="F8" s="64"/>
      <c r="G8" s="63"/>
      <c r="H8" s="64"/>
      <c r="I8" s="55"/>
      <c r="J8" s="56">
        <v>1</v>
      </c>
      <c r="K8">
        <v>3</v>
      </c>
      <c r="L8">
        <v>5</v>
      </c>
      <c r="M8">
        <v>6</v>
      </c>
      <c r="N8">
        <v>10</v>
      </c>
      <c r="P8" s="56"/>
      <c r="R8">
        <v>3</v>
      </c>
      <c r="S8">
        <v>6</v>
      </c>
      <c r="T8">
        <v>8</v>
      </c>
      <c r="U8" s="57">
        <v>8</v>
      </c>
      <c r="V8" s="56"/>
      <c r="X8">
        <v>4</v>
      </c>
      <c r="Y8">
        <v>12</v>
      </c>
      <c r="Z8">
        <v>8</v>
      </c>
      <c r="AA8" s="57">
        <v>1</v>
      </c>
      <c r="AB8" s="56"/>
      <c r="AD8">
        <v>3</v>
      </c>
      <c r="AE8">
        <v>14</v>
      </c>
      <c r="AF8">
        <v>8</v>
      </c>
      <c r="AG8" s="57"/>
      <c r="AH8" s="56"/>
      <c r="AM8" s="57"/>
      <c r="AN8" s="56"/>
      <c r="AS8" s="57"/>
      <c r="AT8" s="56"/>
      <c r="AY8" s="57"/>
      <c r="AZ8" s="56"/>
      <c r="BE8" s="57"/>
      <c r="BF8" s="56"/>
      <c r="BK8" s="57"/>
      <c r="BL8" s="56"/>
      <c r="BQ8" s="57"/>
      <c r="BR8" s="56"/>
      <c r="BW8" s="57"/>
      <c r="CC8" s="58" t="s">
        <v>492</v>
      </c>
      <c r="CD8" s="58" t="s">
        <v>470</v>
      </c>
      <c r="CE8" s="59">
        <v>2</v>
      </c>
    </row>
    <row r="9" spans="2:83" x14ac:dyDescent="0.3">
      <c r="B9" s="60">
        <v>3</v>
      </c>
      <c r="C9" s="133" t="s">
        <v>62</v>
      </c>
      <c r="D9" s="62"/>
      <c r="E9" s="63"/>
      <c r="F9" s="64"/>
      <c r="G9" s="63"/>
      <c r="H9" s="64"/>
      <c r="I9" s="55"/>
      <c r="J9" s="56"/>
      <c r="L9">
        <v>1</v>
      </c>
      <c r="M9">
        <v>9</v>
      </c>
      <c r="N9">
        <v>4</v>
      </c>
      <c r="P9" s="56"/>
      <c r="R9">
        <v>3</v>
      </c>
      <c r="S9">
        <v>5</v>
      </c>
      <c r="T9">
        <v>5</v>
      </c>
      <c r="U9" s="57">
        <v>1</v>
      </c>
      <c r="V9" s="56"/>
      <c r="Y9">
        <v>6</v>
      </c>
      <c r="Z9">
        <v>6</v>
      </c>
      <c r="AA9" s="57">
        <v>2</v>
      </c>
      <c r="AB9" s="56"/>
      <c r="AD9">
        <v>2</v>
      </c>
      <c r="AE9">
        <v>3</v>
      </c>
      <c r="AF9">
        <v>8</v>
      </c>
      <c r="AG9" s="57">
        <v>1</v>
      </c>
      <c r="AH9" s="56"/>
      <c r="AM9" s="57"/>
      <c r="AN9" s="56"/>
      <c r="AS9" s="57"/>
      <c r="AT9" s="56"/>
      <c r="AY9" s="57"/>
      <c r="AZ9" s="56"/>
      <c r="BE9" s="57"/>
      <c r="BF9" s="56"/>
      <c r="BK9" s="57"/>
      <c r="BL9" s="56"/>
      <c r="BQ9" s="57"/>
      <c r="BR9" s="56"/>
      <c r="BW9" s="57"/>
      <c r="CC9" s="58" t="s">
        <v>493</v>
      </c>
      <c r="CD9" s="58" t="s">
        <v>469</v>
      </c>
      <c r="CE9" s="59">
        <v>3</v>
      </c>
    </row>
    <row r="10" spans="2:83" x14ac:dyDescent="0.3">
      <c r="B10" s="60">
        <v>4</v>
      </c>
      <c r="C10" s="132" t="s">
        <v>74</v>
      </c>
      <c r="D10" s="62"/>
      <c r="E10" s="63"/>
      <c r="F10" s="64"/>
      <c r="G10" s="63"/>
      <c r="H10" s="64"/>
      <c r="I10" s="55"/>
      <c r="J10" s="56"/>
      <c r="K10">
        <v>1</v>
      </c>
      <c r="L10">
        <v>4</v>
      </c>
      <c r="M10">
        <v>6</v>
      </c>
      <c r="N10">
        <v>1</v>
      </c>
      <c r="P10" s="56"/>
      <c r="R10">
        <v>1</v>
      </c>
      <c r="S10">
        <v>3</v>
      </c>
      <c r="T10">
        <v>2</v>
      </c>
      <c r="U10" s="57">
        <v>6</v>
      </c>
      <c r="V10" s="56"/>
      <c r="X10">
        <v>3</v>
      </c>
      <c r="Y10">
        <v>4</v>
      </c>
      <c r="Z10">
        <v>1</v>
      </c>
      <c r="AA10" s="57">
        <v>4</v>
      </c>
      <c r="AB10" s="56"/>
      <c r="AC10">
        <v>1</v>
      </c>
      <c r="AD10">
        <v>3</v>
      </c>
      <c r="AE10">
        <v>4</v>
      </c>
      <c r="AG10" s="57">
        <v>4</v>
      </c>
      <c r="AH10" s="56"/>
      <c r="AM10" s="57"/>
      <c r="AN10" s="56"/>
      <c r="AS10" s="57"/>
      <c r="AT10" s="56"/>
      <c r="AY10" s="57"/>
      <c r="AZ10" s="56"/>
      <c r="BE10" s="57"/>
      <c r="BF10" s="56"/>
      <c r="BK10" s="57"/>
      <c r="BL10" s="56"/>
      <c r="BQ10" s="57"/>
      <c r="BR10" s="56"/>
      <c r="BW10" s="57"/>
      <c r="CC10" s="58" t="s">
        <v>494</v>
      </c>
      <c r="CD10" s="58" t="s">
        <v>467</v>
      </c>
      <c r="CE10" s="59">
        <v>4</v>
      </c>
    </row>
    <row r="11" spans="2:83" x14ac:dyDescent="0.3">
      <c r="B11" s="60">
        <v>5</v>
      </c>
      <c r="C11" s="132" t="s">
        <v>89</v>
      </c>
      <c r="D11" s="62"/>
      <c r="E11" s="63"/>
      <c r="F11" s="64"/>
      <c r="G11" s="63"/>
      <c r="H11" s="64"/>
      <c r="I11" s="55"/>
      <c r="J11" s="56"/>
      <c r="L11">
        <v>3</v>
      </c>
      <c r="M11">
        <v>12</v>
      </c>
      <c r="N11">
        <v>14</v>
      </c>
      <c r="P11" s="56"/>
      <c r="R11">
        <v>2</v>
      </c>
      <c r="S11">
        <v>6</v>
      </c>
      <c r="T11">
        <v>11</v>
      </c>
      <c r="U11" s="57">
        <v>10</v>
      </c>
      <c r="V11" s="56"/>
      <c r="Y11">
        <v>15</v>
      </c>
      <c r="Z11">
        <v>13</v>
      </c>
      <c r="AA11" s="57">
        <v>1</v>
      </c>
      <c r="AB11" s="56"/>
      <c r="AC11">
        <v>1</v>
      </c>
      <c r="AD11">
        <v>1</v>
      </c>
      <c r="AE11">
        <v>14</v>
      </c>
      <c r="AF11">
        <v>10</v>
      </c>
      <c r="AG11" s="57">
        <v>3</v>
      </c>
      <c r="AH11" s="56"/>
      <c r="AM11" s="57"/>
      <c r="AN11" s="56"/>
      <c r="AS11" s="57"/>
      <c r="AT11" s="56"/>
      <c r="AY11" s="57"/>
      <c r="AZ11" s="56"/>
      <c r="BE11" s="57"/>
      <c r="BF11" s="56"/>
      <c r="BK11" s="57"/>
      <c r="BL11" s="56"/>
      <c r="BQ11" s="57"/>
      <c r="BR11" s="56"/>
      <c r="BW11" s="57"/>
      <c r="CC11" s="58" t="s">
        <v>495</v>
      </c>
      <c r="CD11" s="58" t="s">
        <v>468</v>
      </c>
      <c r="CE11" s="59">
        <v>5</v>
      </c>
    </row>
    <row r="12" spans="2:83" x14ac:dyDescent="0.3">
      <c r="D12" s="71"/>
      <c r="E12" s="71"/>
      <c r="F12" s="72"/>
      <c r="G12" s="71"/>
      <c r="H12" s="72"/>
      <c r="I12" s="71">
        <f>SUM(I7:I11)</f>
        <v>0</v>
      </c>
      <c r="CC12" s="58" t="s">
        <v>496</v>
      </c>
      <c r="CD12" s="58" t="s">
        <v>473</v>
      </c>
      <c r="CE12" s="59">
        <v>0</v>
      </c>
    </row>
    <row r="13" spans="2:83" x14ac:dyDescent="0.3">
      <c r="D13" s="71"/>
      <c r="E13" s="71"/>
      <c r="F13" s="72"/>
      <c r="G13" s="71"/>
      <c r="H13" s="72"/>
      <c r="I13" s="71"/>
    </row>
    <row r="14" spans="2:83" ht="15.6" x14ac:dyDescent="0.3">
      <c r="B14" s="83" t="s">
        <v>581</v>
      </c>
      <c r="C14" s="74"/>
      <c r="E14" s="72"/>
      <c r="F14" s="72"/>
      <c r="G14" s="72"/>
      <c r="H14" s="72"/>
      <c r="O14" t="s">
        <v>582</v>
      </c>
    </row>
    <row r="16" spans="2:83" x14ac:dyDescent="0.3">
      <c r="B16" s="195" t="s">
        <v>474</v>
      </c>
      <c r="C16" s="195" t="s">
        <v>5</v>
      </c>
      <c r="D16" s="195" t="s">
        <v>475</v>
      </c>
      <c r="E16" s="184" t="s">
        <v>476</v>
      </c>
      <c r="F16" s="184"/>
      <c r="G16" s="184"/>
      <c r="H16" s="184"/>
      <c r="I16" s="182" t="s">
        <v>477</v>
      </c>
      <c r="J16" s="183"/>
      <c r="K16" s="183"/>
      <c r="L16" s="183"/>
      <c r="M16" s="183"/>
      <c r="N16" s="183"/>
      <c r="O16" s="183"/>
      <c r="P16" s="183"/>
      <c r="Q16" s="183"/>
      <c r="R16" s="183"/>
      <c r="S16" s="183"/>
      <c r="T16" s="183"/>
      <c r="U16" s="183"/>
      <c r="V16" s="183"/>
      <c r="W16" s="183"/>
      <c r="X16" s="183"/>
      <c r="Y16" s="183"/>
      <c r="Z16" s="183"/>
      <c r="AA16" s="183"/>
      <c r="AB16" s="183"/>
      <c r="AC16" s="183"/>
      <c r="AD16" s="183"/>
      <c r="AE16" s="183"/>
      <c r="AF16" s="183"/>
      <c r="AG16" s="183"/>
      <c r="AH16" s="183"/>
      <c r="AI16" s="183"/>
      <c r="AJ16" s="183"/>
      <c r="AK16" s="183"/>
      <c r="AL16" s="183"/>
      <c r="AM16" s="183"/>
      <c r="AN16" s="183"/>
      <c r="AO16" s="183"/>
      <c r="AP16" s="183"/>
      <c r="AQ16" s="183"/>
      <c r="AR16" s="183"/>
      <c r="AS16" s="183"/>
      <c r="AT16" s="183"/>
      <c r="AU16" s="183"/>
      <c r="AV16" s="183"/>
      <c r="AW16" s="183"/>
      <c r="AX16" s="183"/>
      <c r="AY16" s="183"/>
      <c r="AZ16" s="183"/>
      <c r="BA16" s="183"/>
      <c r="BB16" s="183"/>
      <c r="BC16" s="183"/>
      <c r="BD16" s="183"/>
      <c r="BE16" s="183"/>
      <c r="BF16" s="183"/>
      <c r="BG16" s="183"/>
      <c r="BH16" s="183"/>
      <c r="BI16" s="183"/>
      <c r="BJ16" s="183"/>
      <c r="BK16" s="183"/>
      <c r="BL16" s="183"/>
      <c r="BM16" s="183"/>
      <c r="BN16" s="183"/>
      <c r="BO16" s="183"/>
      <c r="BP16" s="183"/>
      <c r="BQ16" s="183"/>
      <c r="BR16" s="183"/>
      <c r="BS16" s="183"/>
      <c r="BT16" s="183"/>
      <c r="BU16" s="183"/>
      <c r="BV16" s="183"/>
      <c r="BW16" s="183"/>
    </row>
    <row r="17" spans="2:75" x14ac:dyDescent="0.3">
      <c r="B17" s="195"/>
      <c r="C17" s="195"/>
      <c r="D17" s="195"/>
      <c r="E17" s="184" t="s">
        <v>478</v>
      </c>
      <c r="F17" s="184"/>
      <c r="G17" s="45" t="s">
        <v>479</v>
      </c>
      <c r="H17" s="45"/>
      <c r="I17" s="197" t="s">
        <v>480</v>
      </c>
      <c r="J17" s="186" t="s">
        <v>481</v>
      </c>
      <c r="K17" s="180"/>
      <c r="L17" s="180"/>
      <c r="M17" s="180"/>
      <c r="N17" s="180"/>
      <c r="O17" s="180"/>
      <c r="P17" s="180" t="s">
        <v>482</v>
      </c>
      <c r="Q17" s="180"/>
      <c r="R17" s="180"/>
      <c r="S17" s="180"/>
      <c r="T17" s="180"/>
      <c r="U17" s="180"/>
      <c r="V17" s="180" t="s">
        <v>483</v>
      </c>
      <c r="W17" s="180"/>
      <c r="X17" s="180"/>
      <c r="Y17" s="180"/>
      <c r="Z17" s="180"/>
      <c r="AA17" s="180"/>
      <c r="AB17" s="180" t="s">
        <v>484</v>
      </c>
      <c r="AC17" s="180"/>
      <c r="AD17" s="180"/>
      <c r="AE17" s="180"/>
      <c r="AF17" s="180"/>
      <c r="AG17" s="180"/>
      <c r="AH17" s="180" t="s">
        <v>485</v>
      </c>
      <c r="AI17" s="180"/>
      <c r="AJ17" s="180"/>
      <c r="AK17" s="180"/>
      <c r="AL17" s="180"/>
      <c r="AM17" s="180"/>
      <c r="AN17" s="180" t="s">
        <v>486</v>
      </c>
      <c r="AO17" s="180"/>
      <c r="AP17" s="180"/>
      <c r="AQ17" s="180"/>
      <c r="AR17" s="180"/>
      <c r="AS17" s="180"/>
      <c r="AT17" s="180" t="s">
        <v>487</v>
      </c>
      <c r="AU17" s="180"/>
      <c r="AV17" s="180"/>
      <c r="AW17" s="180"/>
      <c r="AX17" s="180"/>
      <c r="AY17" s="180"/>
      <c r="AZ17" s="180" t="s">
        <v>488</v>
      </c>
      <c r="BA17" s="180"/>
      <c r="BB17" s="180"/>
      <c r="BC17" s="180"/>
      <c r="BD17" s="180"/>
      <c r="BE17" s="181"/>
      <c r="BF17" s="180" t="s">
        <v>516</v>
      </c>
      <c r="BG17" s="180"/>
      <c r="BH17" s="180"/>
      <c r="BI17" s="180"/>
      <c r="BJ17" s="180"/>
      <c r="BK17" s="181"/>
      <c r="BL17" s="180" t="s">
        <v>517</v>
      </c>
      <c r="BM17" s="180"/>
      <c r="BN17" s="180"/>
      <c r="BO17" s="180"/>
      <c r="BP17" s="180"/>
      <c r="BQ17" s="181"/>
      <c r="BR17" s="180" t="s">
        <v>518</v>
      </c>
      <c r="BS17" s="180"/>
      <c r="BT17" s="180"/>
      <c r="BU17" s="180"/>
      <c r="BV17" s="180"/>
      <c r="BW17" s="181"/>
    </row>
    <row r="18" spans="2:75" x14ac:dyDescent="0.3">
      <c r="B18" s="196"/>
      <c r="C18" s="196"/>
      <c r="D18" s="196"/>
      <c r="E18" s="46" t="s">
        <v>480</v>
      </c>
      <c r="F18" s="46" t="s">
        <v>490</v>
      </c>
      <c r="G18" s="46" t="s">
        <v>480</v>
      </c>
      <c r="H18" s="46" t="s">
        <v>490</v>
      </c>
      <c r="I18" s="197"/>
      <c r="J18" s="75" t="s">
        <v>491</v>
      </c>
      <c r="K18" s="76" t="s">
        <v>492</v>
      </c>
      <c r="L18" s="76" t="s">
        <v>493</v>
      </c>
      <c r="M18" s="76" t="s">
        <v>494</v>
      </c>
      <c r="N18" s="76" t="s">
        <v>495</v>
      </c>
      <c r="O18" s="76" t="s">
        <v>496</v>
      </c>
      <c r="P18" s="48" t="s">
        <v>491</v>
      </c>
      <c r="Q18" s="48" t="s">
        <v>492</v>
      </c>
      <c r="R18" s="48" t="s">
        <v>493</v>
      </c>
      <c r="S18" s="48" t="s">
        <v>494</v>
      </c>
      <c r="T18" s="48" t="s">
        <v>495</v>
      </c>
      <c r="U18" s="48" t="s">
        <v>496</v>
      </c>
      <c r="V18" s="48" t="s">
        <v>491</v>
      </c>
      <c r="W18" s="48" t="s">
        <v>492</v>
      </c>
      <c r="X18" s="48" t="s">
        <v>493</v>
      </c>
      <c r="Y18" s="48" t="s">
        <v>494</v>
      </c>
      <c r="Z18" s="48" t="s">
        <v>495</v>
      </c>
      <c r="AA18" s="48" t="s">
        <v>496</v>
      </c>
      <c r="AB18" s="48" t="s">
        <v>491</v>
      </c>
      <c r="AC18" s="48" t="s">
        <v>492</v>
      </c>
      <c r="AD18" s="48" t="s">
        <v>493</v>
      </c>
      <c r="AE18" s="48" t="s">
        <v>494</v>
      </c>
      <c r="AF18" s="48" t="s">
        <v>495</v>
      </c>
      <c r="AG18" s="48" t="s">
        <v>496</v>
      </c>
      <c r="AH18" s="48" t="s">
        <v>491</v>
      </c>
      <c r="AI18" s="48" t="s">
        <v>492</v>
      </c>
      <c r="AJ18" s="48" t="s">
        <v>493</v>
      </c>
      <c r="AK18" s="48" t="s">
        <v>494</v>
      </c>
      <c r="AL18" s="48" t="s">
        <v>495</v>
      </c>
      <c r="AM18" s="48" t="s">
        <v>496</v>
      </c>
      <c r="AN18" s="48" t="s">
        <v>491</v>
      </c>
      <c r="AO18" s="48" t="s">
        <v>492</v>
      </c>
      <c r="AP18" s="48" t="s">
        <v>493</v>
      </c>
      <c r="AQ18" s="48" t="s">
        <v>494</v>
      </c>
      <c r="AR18" s="48" t="s">
        <v>495</v>
      </c>
      <c r="AS18" s="48" t="s">
        <v>496</v>
      </c>
      <c r="AT18" s="48" t="s">
        <v>491</v>
      </c>
      <c r="AU18" s="48" t="s">
        <v>492</v>
      </c>
      <c r="AV18" s="48" t="s">
        <v>493</v>
      </c>
      <c r="AW18" s="48" t="s">
        <v>494</v>
      </c>
      <c r="AX18" s="48" t="s">
        <v>495</v>
      </c>
      <c r="AY18" s="48" t="s">
        <v>496</v>
      </c>
      <c r="AZ18" s="48" t="s">
        <v>491</v>
      </c>
      <c r="BA18" s="48" t="s">
        <v>492</v>
      </c>
      <c r="BB18" s="48" t="s">
        <v>493</v>
      </c>
      <c r="BC18" s="48" t="s">
        <v>494</v>
      </c>
      <c r="BD18" s="48" t="s">
        <v>495</v>
      </c>
      <c r="BE18" s="49" t="s">
        <v>496</v>
      </c>
      <c r="BF18" s="48" t="s">
        <v>491</v>
      </c>
      <c r="BG18" s="48" t="s">
        <v>492</v>
      </c>
      <c r="BH18" s="48" t="s">
        <v>493</v>
      </c>
      <c r="BI18" s="48" t="s">
        <v>494</v>
      </c>
      <c r="BJ18" s="48" t="s">
        <v>495</v>
      </c>
      <c r="BK18" s="49" t="s">
        <v>496</v>
      </c>
      <c r="BL18" s="48" t="s">
        <v>491</v>
      </c>
      <c r="BM18" s="48" t="s">
        <v>492</v>
      </c>
      <c r="BN18" s="48" t="s">
        <v>493</v>
      </c>
      <c r="BO18" s="48" t="s">
        <v>494</v>
      </c>
      <c r="BP18" s="48" t="s">
        <v>495</v>
      </c>
      <c r="BQ18" s="49" t="s">
        <v>496</v>
      </c>
      <c r="BR18" s="48" t="s">
        <v>491</v>
      </c>
      <c r="BS18" s="48" t="s">
        <v>492</v>
      </c>
      <c r="BT18" s="48" t="s">
        <v>493</v>
      </c>
      <c r="BU18" s="48" t="s">
        <v>494</v>
      </c>
      <c r="BV18" s="48" t="s">
        <v>495</v>
      </c>
      <c r="BW18" s="49" t="s">
        <v>496</v>
      </c>
    </row>
    <row r="19" spans="2:75" x14ac:dyDescent="0.3">
      <c r="B19" s="51">
        <v>1</v>
      </c>
      <c r="C19" s="132" t="s">
        <v>66</v>
      </c>
      <c r="D19" s="130"/>
      <c r="E19" s="131"/>
      <c r="F19" s="54">
        <f t="shared" ref="F19:I24" si="0">F7</f>
        <v>0</v>
      </c>
      <c r="G19" s="53">
        <f t="shared" si="0"/>
        <v>0</v>
      </c>
      <c r="H19" s="54">
        <f t="shared" si="0"/>
        <v>0</v>
      </c>
      <c r="I19" s="55">
        <f t="shared" si="0"/>
        <v>0</v>
      </c>
      <c r="J19" s="77">
        <f>IF(AND(J7&lt;&gt;"",J7&gt;0),(VLOOKUP(J$6,$CC$6:$CE$11,3,0)*J7)/SUM($J7:$N7),0)</f>
        <v>0</v>
      </c>
      <c r="K19" s="78">
        <f t="shared" ref="J19:L23" si="1">IF(AND(K7&lt;&gt;"",K7&gt;0),(VLOOKUP(K$6,$CC$6:$CE$11,3,0)*K7)/SUM($J7:$N7),0)</f>
        <v>0</v>
      </c>
      <c r="L19" s="78">
        <f t="shared" si="1"/>
        <v>0.2</v>
      </c>
      <c r="M19" s="78">
        <f>IF(AND(M7&lt;&gt;"",M7&gt;0),(VLOOKUP(M$6,$CC$6:$CE$12,3,0)*M7)/SUM($J7:$N7),0)</f>
        <v>1.8666666666666667</v>
      </c>
      <c r="N19" s="78">
        <f>IF(AND(N7&lt;&gt;"",N7&gt;0),(VLOOKUP(N$6,$CC$6:$CE$12,3,0)*N7)/SUM($J7:$N7),0)</f>
        <v>2.3333333333333335</v>
      </c>
      <c r="O19" s="78">
        <f>IF(AND(O7&lt;&gt;"",O7&gt;0),(VLOOKUP(O$6,$CC$6:$CE$12,3,0)*O7)/SUM($J7:$N7),0)</f>
        <v>0</v>
      </c>
      <c r="P19" s="77">
        <f t="shared" ref="P19:T23" si="2">IF(AND(P7&lt;&gt;"",P7&gt;0),(VLOOKUP(P$6,$CC$6:$CE$11,3,0)*P7)/SUM($P7:$T7),0)</f>
        <v>0</v>
      </c>
      <c r="Q19" s="78">
        <f t="shared" si="2"/>
        <v>0</v>
      </c>
      <c r="R19" s="78">
        <f t="shared" si="2"/>
        <v>0</v>
      </c>
      <c r="S19" s="78">
        <f t="shared" si="2"/>
        <v>2.2222222222222223</v>
      </c>
      <c r="T19" s="78">
        <f t="shared" si="2"/>
        <v>2.2222222222222223</v>
      </c>
      <c r="U19" s="78">
        <f t="shared" ref="U19:U23" si="3">IF(AND(U7&lt;&gt;"",U7&gt;0),(VLOOKUP(U$6,$CC$6:$CE$12,3,0)*U7)/SUM($P7:$T7),0)</f>
        <v>0</v>
      </c>
      <c r="V19" s="77">
        <f t="shared" ref="V19:Z23" si="4">IF(AND(V7&lt;&gt;"",V7&gt;0),(VLOOKUP(V$6,$CC$6:$CE$11,3,0)*V7)/SUM($V7:$Z7),0)</f>
        <v>0</v>
      </c>
      <c r="W19" s="78">
        <f t="shared" si="4"/>
        <v>0</v>
      </c>
      <c r="X19" s="78">
        <f t="shared" si="4"/>
        <v>0.2</v>
      </c>
      <c r="Y19" s="78">
        <f t="shared" si="4"/>
        <v>1.3333333333333333</v>
      </c>
      <c r="Z19" s="78">
        <f t="shared" si="4"/>
        <v>3</v>
      </c>
      <c r="AA19" s="78">
        <f>IF(AND(AA7&lt;&gt;"",AA7&gt;0),(VLOOKUP(AA$6,$CC$6:$CE$12,3,0)*AA7)/SUM($V7:$Z7),0)</f>
        <v>0</v>
      </c>
      <c r="AB19" s="77">
        <f t="shared" ref="AB19:AF23" si="5">IF(AND(AB7&lt;&gt;"",AB7&gt;0),(VLOOKUP(AB$6,$CC$6:$CE$11,3,0)*AB7)/SUM($AB7:$AF7),0)</f>
        <v>0</v>
      </c>
      <c r="AC19" s="78">
        <f t="shared" si="5"/>
        <v>0</v>
      </c>
      <c r="AD19" s="78">
        <f t="shared" si="5"/>
        <v>0</v>
      </c>
      <c r="AE19" s="78">
        <f t="shared" si="5"/>
        <v>1.0666666666666667</v>
      </c>
      <c r="AF19" s="78">
        <f t="shared" si="5"/>
        <v>3.6666666666666665</v>
      </c>
      <c r="AG19" s="78">
        <f>IF(AND(AG7&lt;&gt;"",AG7&gt;0),(VLOOKUP(AG$6,$CC$6:$CE$12,3,0)*AG7)/SUM($AB7:$AF7),0)</f>
        <v>0</v>
      </c>
      <c r="AH19" s="77">
        <f t="shared" ref="AH19:AL23" si="6">IF(AND(AH7&lt;&gt;"",AH7&gt;0),(VLOOKUP(AH$6,$CC$6:$CE$11,3,0)*AH7)/SUM($AH7:$AL7),0)</f>
        <v>0</v>
      </c>
      <c r="AI19" s="78">
        <f t="shared" si="6"/>
        <v>0</v>
      </c>
      <c r="AJ19" s="78">
        <f t="shared" si="6"/>
        <v>0</v>
      </c>
      <c r="AK19" s="78">
        <f t="shared" si="6"/>
        <v>0</v>
      </c>
      <c r="AL19" s="78">
        <f t="shared" si="6"/>
        <v>0</v>
      </c>
      <c r="AM19" s="78">
        <f>IF(AND(AM7&lt;&gt;"",AM7&gt;0),(VLOOKUP(AM$6,$CC$6:$CE$12,3,0)*AM7)/SUM($AH7:$AL7),0)</f>
        <v>0</v>
      </c>
      <c r="AN19" s="77">
        <f t="shared" ref="AN19:AR23" si="7">IF(AND(AN7&lt;&gt;"",AN7&gt;0),(VLOOKUP(AN$6,$CC$6:$CE$11,3,0)*AN7)/SUM($AN7:$AR7),0)</f>
        <v>0</v>
      </c>
      <c r="AO19" s="78">
        <f t="shared" si="7"/>
        <v>0</v>
      </c>
      <c r="AP19" s="78">
        <f t="shared" si="7"/>
        <v>0</v>
      </c>
      <c r="AQ19" s="78">
        <f t="shared" si="7"/>
        <v>0</v>
      </c>
      <c r="AR19" s="78">
        <f t="shared" si="7"/>
        <v>0</v>
      </c>
      <c r="AS19" s="78">
        <f>IF(AND(AS7&lt;&gt;"",AS7&gt;0),(VLOOKUP(AS$6,$CC$6:$CE$12,3,0)*AS7)/SUM($AN7:$AR7),0)</f>
        <v>0</v>
      </c>
      <c r="AT19" s="77">
        <f t="shared" ref="AT19:AX23" si="8">IF(AND(AT7&lt;&gt;"",AT7&gt;0),(VLOOKUP(AT$6,$CC$6:$CE$11,3,0)*AT7)/SUM($AT7:$AX7),0)</f>
        <v>0</v>
      </c>
      <c r="AU19" s="78">
        <f t="shared" si="8"/>
        <v>0</v>
      </c>
      <c r="AV19" s="78">
        <f t="shared" si="8"/>
        <v>0</v>
      </c>
      <c r="AW19" s="78">
        <f t="shared" si="8"/>
        <v>0</v>
      </c>
      <c r="AX19" s="78">
        <f t="shared" si="8"/>
        <v>0</v>
      </c>
      <c r="AY19" s="78">
        <f>IF(AND(AY7&lt;&gt;"",AY7&gt;0),(VLOOKUP(AY$6,$CC$6:$CE$12,3,0)*AY7)/SUM($AT7:$AX7),0)</f>
        <v>0</v>
      </c>
      <c r="AZ19" s="77">
        <f t="shared" ref="AZ19:BD23" si="9">IF(AND(AZ7&lt;&gt;"",AZ7&gt;0),(VLOOKUP(AZ$6,$CC$6:$CE$11,3,0)*AZ7)/SUM($AZ7:$BD7),0)</f>
        <v>0</v>
      </c>
      <c r="BA19" s="78">
        <f t="shared" si="9"/>
        <v>0</v>
      </c>
      <c r="BB19" s="78">
        <f t="shared" si="9"/>
        <v>0</v>
      </c>
      <c r="BC19" s="78">
        <f t="shared" si="9"/>
        <v>0</v>
      </c>
      <c r="BD19" s="78">
        <f t="shared" si="9"/>
        <v>0</v>
      </c>
      <c r="BE19" s="78">
        <f>IF(AND(BE7&lt;&gt;"",BE7&gt;0),(VLOOKUP(BE$6,$CC$6:$CE$12,3,0)*BE7)/SUM($AZ7:$BD7),0)</f>
        <v>0</v>
      </c>
      <c r="BF19" s="78">
        <f>IF(AND(BF7&lt;&gt;"",BF7&gt;0),(VLOOKUP(BF$6,$CC$6:$CE$12,3,0)*BF7)/SUM($BF7:$BJ7),0)</f>
        <v>0</v>
      </c>
      <c r="BG19" s="78">
        <f t="shared" ref="BG19:BJ19" si="10">IF(AND(BG7&lt;&gt;"",BG7&gt;0),(VLOOKUP(BG$6,$CC$6:$CE$12,3,0)*BG7)/SUM($BF7:$BJ7),0)</f>
        <v>0</v>
      </c>
      <c r="BH19" s="78">
        <f t="shared" si="10"/>
        <v>0</v>
      </c>
      <c r="BI19" s="78">
        <f t="shared" si="10"/>
        <v>0</v>
      </c>
      <c r="BJ19" s="78">
        <f t="shared" si="10"/>
        <v>0</v>
      </c>
      <c r="BK19" s="78">
        <f>IF(AND(BK7&lt;&gt;"",BK7&gt;0),(VLOOKUP(BK$6,$CC$6:$CE$12,3,0)*BK7)/SUM($BF7:$BJ7),0)</f>
        <v>0</v>
      </c>
      <c r="BL19" s="78">
        <f>IF(AND(BL7&lt;&gt;"",BL7&gt;0),(VLOOKUP(BL$6,$CC$6:$CE$12,3,0)*BL7)/SUM($BL7:$BP7),0)</f>
        <v>0</v>
      </c>
      <c r="BM19" s="78">
        <f t="shared" ref="BM19:BQ19" si="11">IF(AND(BM7&lt;&gt;"",BM7&gt;0),(VLOOKUP(BM$6,$CC$6:$CE$12,3,0)*BM7)/SUM($BL7:$BP7),0)</f>
        <v>0</v>
      </c>
      <c r="BN19" s="78">
        <f t="shared" si="11"/>
        <v>0</v>
      </c>
      <c r="BO19" s="78">
        <f t="shared" si="11"/>
        <v>0</v>
      </c>
      <c r="BP19" s="78">
        <f t="shared" si="11"/>
        <v>0</v>
      </c>
      <c r="BQ19" s="78">
        <f t="shared" si="11"/>
        <v>0</v>
      </c>
      <c r="BR19" s="78">
        <f>IF(AND(BR7&lt;&gt;"",BR7&gt;0),(VLOOKUP(BR$6,$CC$6:$CE$12,3,0)*BR7)/SUM($BR7:$BV7),0)</f>
        <v>0</v>
      </c>
      <c r="BS19" s="78">
        <f t="shared" ref="BS19:BW19" si="12">IF(AND(BS7&lt;&gt;"",BS7&gt;0),(VLOOKUP(BS$6,$CC$6:$CE$12,3,0)*BS7)/SUM($BR7:$BV7),0)</f>
        <v>0</v>
      </c>
      <c r="BT19" s="78">
        <f t="shared" si="12"/>
        <v>0</v>
      </c>
      <c r="BU19" s="78">
        <f t="shared" si="12"/>
        <v>0</v>
      </c>
      <c r="BV19" s="78">
        <f t="shared" si="12"/>
        <v>0</v>
      </c>
      <c r="BW19" s="78">
        <f t="shared" si="12"/>
        <v>0</v>
      </c>
    </row>
    <row r="20" spans="2:75" x14ac:dyDescent="0.3">
      <c r="B20" s="60">
        <v>2</v>
      </c>
      <c r="C20" s="132" t="s">
        <v>70</v>
      </c>
      <c r="D20" s="62"/>
      <c r="E20" s="63"/>
      <c r="F20" s="64">
        <f t="shared" si="0"/>
        <v>0</v>
      </c>
      <c r="G20" s="63">
        <f t="shared" si="0"/>
        <v>0</v>
      </c>
      <c r="H20" s="64">
        <f t="shared" si="0"/>
        <v>0</v>
      </c>
      <c r="I20" s="55">
        <f t="shared" si="0"/>
        <v>0</v>
      </c>
      <c r="J20" s="77">
        <f t="shared" si="1"/>
        <v>0.04</v>
      </c>
      <c r="K20" s="78">
        <f t="shared" si="1"/>
        <v>0.24</v>
      </c>
      <c r="L20" s="78">
        <f t="shared" si="1"/>
        <v>0.6</v>
      </c>
      <c r="M20" s="78">
        <f>IF(AND(M8&lt;&gt;"",M8&gt;0),(VLOOKUP(M$6,$CC$6:$CE$12,3,0)*M8)/SUM($J8:$N8),0)</f>
        <v>0.96</v>
      </c>
      <c r="N20" s="78">
        <f t="shared" ref="N20" si="13">IF(AND(N8&lt;&gt;"",N8&gt;0),(VLOOKUP(N$6,$CC$6:$CE$12,3,0)*N8)/SUM($J8:$N8),0)</f>
        <v>2</v>
      </c>
      <c r="O20" s="78">
        <f t="shared" ref="O20:O23" si="14">IF(AND(O8&lt;&gt;"",O8&gt;0),(VLOOKUP(O$6,$CC$6:$CE$12,3,0)*O8)/SUM($J8:$N8),0)</f>
        <v>0</v>
      </c>
      <c r="P20" s="77">
        <f t="shared" si="2"/>
        <v>0</v>
      </c>
      <c r="Q20" s="78">
        <f t="shared" si="2"/>
        <v>0</v>
      </c>
      <c r="R20" s="78">
        <f t="shared" si="2"/>
        <v>0.52941176470588236</v>
      </c>
      <c r="S20" s="78">
        <f t="shared" si="2"/>
        <v>1.411764705882353</v>
      </c>
      <c r="T20" s="78">
        <f t="shared" si="2"/>
        <v>2.3529411764705883</v>
      </c>
      <c r="U20" s="78">
        <f t="shared" si="3"/>
        <v>0</v>
      </c>
      <c r="V20" s="77">
        <f t="shared" si="4"/>
        <v>0</v>
      </c>
      <c r="W20" s="78">
        <f t="shared" si="4"/>
        <v>0</v>
      </c>
      <c r="X20" s="78">
        <f t="shared" si="4"/>
        <v>0.5</v>
      </c>
      <c r="Y20" s="78">
        <f t="shared" si="4"/>
        <v>2</v>
      </c>
      <c r="Z20" s="78">
        <f t="shared" si="4"/>
        <v>1.6666666666666667</v>
      </c>
      <c r="AA20" s="78">
        <f t="shared" ref="AA20:AA23" si="15">IF(AND(AA8&lt;&gt;"",AA8&gt;0),(VLOOKUP(AA$6,$CC$6:$CE$12,3,0)*AA8)/SUM($V8:$Z8),0)</f>
        <v>0</v>
      </c>
      <c r="AB20" s="77">
        <f t="shared" si="5"/>
        <v>0</v>
      </c>
      <c r="AC20" s="78">
        <f t="shared" si="5"/>
        <v>0</v>
      </c>
      <c r="AD20" s="78">
        <f t="shared" si="5"/>
        <v>0.36</v>
      </c>
      <c r="AE20" s="78">
        <f t="shared" si="5"/>
        <v>2.2400000000000002</v>
      </c>
      <c r="AF20" s="78">
        <f t="shared" si="5"/>
        <v>1.6</v>
      </c>
      <c r="AG20" s="78">
        <f>IF(AND(AG8&lt;&gt;"",AG8&gt;0),(VLOOKUP(AG$6,$CC$6:$CE$12,3,0)*AG8)/SUM($AB8:$AF8),0)</f>
        <v>0</v>
      </c>
      <c r="AH20" s="77">
        <f t="shared" si="6"/>
        <v>0</v>
      </c>
      <c r="AI20" s="78">
        <f t="shared" si="6"/>
        <v>0</v>
      </c>
      <c r="AJ20" s="78">
        <f t="shared" si="6"/>
        <v>0</v>
      </c>
      <c r="AK20" s="78">
        <f t="shared" si="6"/>
        <v>0</v>
      </c>
      <c r="AL20" s="78">
        <f t="shared" si="6"/>
        <v>0</v>
      </c>
      <c r="AM20" s="78">
        <f t="shared" ref="AM20:AM23" si="16">IF(AND(AM8&lt;&gt;"",AM8&gt;0),(VLOOKUP(AM$6,$CC$6:$CE$12,3,0)*AM8)/SUM($AH8:$AL8),0)</f>
        <v>0</v>
      </c>
      <c r="AN20" s="77">
        <f t="shared" si="7"/>
        <v>0</v>
      </c>
      <c r="AO20" s="78">
        <f t="shared" si="7"/>
        <v>0</v>
      </c>
      <c r="AP20" s="78">
        <f t="shared" si="7"/>
        <v>0</v>
      </c>
      <c r="AQ20" s="78">
        <f t="shared" si="7"/>
        <v>0</v>
      </c>
      <c r="AR20" s="78">
        <f t="shared" si="7"/>
        <v>0</v>
      </c>
      <c r="AS20" s="78">
        <f t="shared" ref="AS20:AS23" si="17">IF(AND(AS8&lt;&gt;"",AS8&gt;0),(VLOOKUP(AS$6,$CC$6:$CE$12,3,0)*AS8)/SUM($AN8:$AR8),0)</f>
        <v>0</v>
      </c>
      <c r="AT20" s="77">
        <f t="shared" si="8"/>
        <v>0</v>
      </c>
      <c r="AU20" s="78">
        <f t="shared" si="8"/>
        <v>0</v>
      </c>
      <c r="AV20" s="78">
        <f>IF(AND(AV8&lt;&gt;"",AV8&gt;0),(VLOOKUP(AV$6,$CC$6:$CE$11,3,0)*AV8)/SUM($AT8:$AX8),0)</f>
        <v>0</v>
      </c>
      <c r="AW20" s="78">
        <f t="shared" si="8"/>
        <v>0</v>
      </c>
      <c r="AX20" s="78">
        <f>IF(AND(AX8&lt;&gt;"",AX8&gt;0),(VLOOKUP(AX$6,$CC$6:$CE$11,3,0)*AX8)/SUM($AT8:$AX8),0)</f>
        <v>0</v>
      </c>
      <c r="AY20" s="78">
        <f t="shared" ref="AY20:AY22" si="18">IF(AND(AY8&lt;&gt;"",AY8&gt;0),(VLOOKUP(AY$6,$CC$6:$CE$12,3,0)*AY8)/SUM($AT8:$AX8),0)</f>
        <v>0</v>
      </c>
      <c r="AZ20" s="77">
        <f>IF(AND(AZ8&lt;&gt;"",AZ8&gt;0),(VLOOKUP(AZ$6,$CC$6:$CE$11,3,0)*AZ8)/SUM($AZ8:$BD8),0)</f>
        <v>0</v>
      </c>
      <c r="BA20" s="78">
        <f t="shared" si="9"/>
        <v>0</v>
      </c>
      <c r="BB20" s="78">
        <f t="shared" si="9"/>
        <v>0</v>
      </c>
      <c r="BC20" s="78">
        <f t="shared" si="9"/>
        <v>0</v>
      </c>
      <c r="BD20" s="78">
        <f t="shared" si="9"/>
        <v>0</v>
      </c>
      <c r="BE20" s="78">
        <f t="shared" ref="BE20:BE23" si="19">IF(AND(BE8&lt;&gt;"",BE8&gt;0),(VLOOKUP(BE$6,$CC$6:$CE$12,3,0)*BE8)/SUM($AZ8:$BD8),0)</f>
        <v>0</v>
      </c>
      <c r="BF20" s="78">
        <f t="shared" ref="BF20:BK23" si="20">IF(AND(BF8&lt;&gt;"",BF8&gt;0),(VLOOKUP(BF$6,$CC$6:$CE$12,3,0)*BF8)/SUM($BF8:$BJ8),0)</f>
        <v>0</v>
      </c>
      <c r="BG20" s="78">
        <f t="shared" si="20"/>
        <v>0</v>
      </c>
      <c r="BH20" s="78">
        <f t="shared" si="20"/>
        <v>0</v>
      </c>
      <c r="BI20" s="78">
        <f t="shared" si="20"/>
        <v>0</v>
      </c>
      <c r="BJ20" s="78">
        <f>IF(AND(BJ8&lt;&gt;"",BJ8&gt;0),(VLOOKUP(BJ$6,$CC$6:$CE$12,3,0)*BJ8)/SUM($BF8:$BJ8),0)</f>
        <v>0</v>
      </c>
      <c r="BK20" s="78">
        <f t="shared" si="20"/>
        <v>0</v>
      </c>
      <c r="BL20" s="78">
        <f t="shared" ref="BL20:BQ20" si="21">IF(AND(BL8&lt;&gt;"",BL8&gt;0),(VLOOKUP(BL$6,$CC$6:$CE$12,3,0)*BL8)/SUM($BL8:$BP8),0)</f>
        <v>0</v>
      </c>
      <c r="BM20" s="78">
        <f>IF(AND(BM8&lt;&gt;"",BM8&gt;0),(VLOOKUP(BM$6,$CC$6:$CE$12,3,0)*BM8)/SUM($BL8:$BP8),0)</f>
        <v>0</v>
      </c>
      <c r="BN20" s="78">
        <f t="shared" si="21"/>
        <v>0</v>
      </c>
      <c r="BO20" s="78">
        <f t="shared" si="21"/>
        <v>0</v>
      </c>
      <c r="BP20" s="78">
        <f>IF(AND(BP8&lt;&gt;"",BP8&gt;0),(VLOOKUP(BP$6,$CC$6:$CE$12,3,0)*BP8)/SUM($BL8:$BP8),0)</f>
        <v>0</v>
      </c>
      <c r="BQ20" s="78">
        <f t="shared" si="21"/>
        <v>0</v>
      </c>
      <c r="BR20" s="78">
        <f t="shared" ref="BR20:BW20" si="22">IF(AND(BR8&lt;&gt;"",BR8&gt;0),(VLOOKUP(BR$6,$CC$6:$CE$12,3,0)*BR8)/SUM($BR8:$BV8),0)</f>
        <v>0</v>
      </c>
      <c r="BS20" s="78">
        <f t="shared" si="22"/>
        <v>0</v>
      </c>
      <c r="BT20" s="78">
        <f t="shared" si="22"/>
        <v>0</v>
      </c>
      <c r="BU20" s="78">
        <f t="shared" si="22"/>
        <v>0</v>
      </c>
      <c r="BV20" s="78">
        <f t="shared" si="22"/>
        <v>0</v>
      </c>
      <c r="BW20" s="78">
        <f t="shared" si="22"/>
        <v>0</v>
      </c>
    </row>
    <row r="21" spans="2:75" x14ac:dyDescent="0.3">
      <c r="B21" s="60">
        <v>3</v>
      </c>
      <c r="C21" s="133" t="s">
        <v>62</v>
      </c>
      <c r="D21" s="62"/>
      <c r="E21" s="63"/>
      <c r="F21" s="64">
        <f t="shared" si="0"/>
        <v>0</v>
      </c>
      <c r="G21" s="63">
        <f t="shared" si="0"/>
        <v>0</v>
      </c>
      <c r="H21" s="64">
        <f t="shared" si="0"/>
        <v>0</v>
      </c>
      <c r="I21" s="55">
        <f t="shared" si="0"/>
        <v>0</v>
      </c>
      <c r="J21" s="77">
        <f t="shared" si="1"/>
        <v>0</v>
      </c>
      <c r="K21" s="78">
        <f t="shared" si="1"/>
        <v>0</v>
      </c>
      <c r="L21" s="78">
        <f t="shared" si="1"/>
        <v>0.21428571428571427</v>
      </c>
      <c r="M21" s="78">
        <f t="shared" ref="M21:N21" si="23">IF(AND(M9&lt;&gt;"",M9&gt;0),(VLOOKUP(M$6,$CC$6:$CE$12,3,0)*M9)/SUM($J9:$N9),0)</f>
        <v>2.5714285714285716</v>
      </c>
      <c r="N21" s="78">
        <f t="shared" si="23"/>
        <v>1.4285714285714286</v>
      </c>
      <c r="O21" s="78">
        <f>IF(AND(O9&lt;&gt;"",O9&gt;0),(VLOOKUP(O$6,$CC$6:$CE$12,3,0)*O9)/SUM($J9:$N9),0)</f>
        <v>0</v>
      </c>
      <c r="P21" s="77">
        <f t="shared" si="2"/>
        <v>0</v>
      </c>
      <c r="Q21" s="78">
        <f t="shared" si="2"/>
        <v>0</v>
      </c>
      <c r="R21" s="78">
        <f t="shared" si="2"/>
        <v>0.69230769230769229</v>
      </c>
      <c r="S21" s="78">
        <f t="shared" si="2"/>
        <v>1.5384615384615385</v>
      </c>
      <c r="T21" s="78">
        <f t="shared" si="2"/>
        <v>1.9230769230769231</v>
      </c>
      <c r="U21" s="78">
        <f t="shared" si="3"/>
        <v>0</v>
      </c>
      <c r="V21" s="77">
        <f t="shared" si="4"/>
        <v>0</v>
      </c>
      <c r="W21" s="78">
        <f t="shared" si="4"/>
        <v>0</v>
      </c>
      <c r="X21" s="78">
        <f t="shared" si="4"/>
        <v>0</v>
      </c>
      <c r="Y21" s="78">
        <f t="shared" si="4"/>
        <v>2</v>
      </c>
      <c r="Z21" s="78">
        <f t="shared" si="4"/>
        <v>2.5</v>
      </c>
      <c r="AA21" s="78">
        <f t="shared" si="15"/>
        <v>0</v>
      </c>
      <c r="AB21" s="77">
        <f t="shared" si="5"/>
        <v>0</v>
      </c>
      <c r="AC21" s="78">
        <f t="shared" si="5"/>
        <v>0</v>
      </c>
      <c r="AD21" s="78">
        <f t="shared" si="5"/>
        <v>0.46153846153846156</v>
      </c>
      <c r="AE21" s="78">
        <f t="shared" si="5"/>
        <v>0.92307692307692313</v>
      </c>
      <c r="AF21" s="78">
        <f t="shared" si="5"/>
        <v>3.0769230769230771</v>
      </c>
      <c r="AG21" s="78">
        <f t="shared" ref="AG21:AG23" si="24">IF(AND(AG9&lt;&gt;"",AG9&gt;0),(VLOOKUP(AG$6,$CC$6:$CE$12,3,0)*AG9)/SUM($AB9:$AF9),0)</f>
        <v>0</v>
      </c>
      <c r="AH21" s="77">
        <f t="shared" si="6"/>
        <v>0</v>
      </c>
      <c r="AI21" s="78">
        <f t="shared" si="6"/>
        <v>0</v>
      </c>
      <c r="AJ21" s="78">
        <f t="shared" si="6"/>
        <v>0</v>
      </c>
      <c r="AK21" s="78">
        <f t="shared" si="6"/>
        <v>0</v>
      </c>
      <c r="AL21" s="78">
        <f t="shared" si="6"/>
        <v>0</v>
      </c>
      <c r="AM21" s="78">
        <f t="shared" si="16"/>
        <v>0</v>
      </c>
      <c r="AN21" s="77">
        <f t="shared" si="7"/>
        <v>0</v>
      </c>
      <c r="AO21" s="78">
        <f t="shared" si="7"/>
        <v>0</v>
      </c>
      <c r="AP21" s="78">
        <f t="shared" si="7"/>
        <v>0</v>
      </c>
      <c r="AQ21" s="78">
        <f t="shared" si="7"/>
        <v>0</v>
      </c>
      <c r="AR21" s="78">
        <f t="shared" si="7"/>
        <v>0</v>
      </c>
      <c r="AS21" s="78">
        <f t="shared" si="17"/>
        <v>0</v>
      </c>
      <c r="AT21" s="77">
        <f t="shared" si="8"/>
        <v>0</v>
      </c>
      <c r="AU21" s="78">
        <f t="shared" si="8"/>
        <v>0</v>
      </c>
      <c r="AV21" s="78">
        <f t="shared" si="8"/>
        <v>0</v>
      </c>
      <c r="AW21" s="78">
        <f t="shared" si="8"/>
        <v>0</v>
      </c>
      <c r="AX21" s="78">
        <f t="shared" si="8"/>
        <v>0</v>
      </c>
      <c r="AY21" s="78">
        <f t="shared" si="18"/>
        <v>0</v>
      </c>
      <c r="AZ21" s="77">
        <f t="shared" si="9"/>
        <v>0</v>
      </c>
      <c r="BA21" s="78">
        <f t="shared" si="9"/>
        <v>0</v>
      </c>
      <c r="BB21" s="78">
        <f t="shared" si="9"/>
        <v>0</v>
      </c>
      <c r="BC21" s="78">
        <f>IF(AND(BC9&lt;&gt;"",BC9&gt;0),(VLOOKUP(BC$6,$CC$6:$CE$11,3,0)*BC9)/SUM($AZ9:$BD9),0)</f>
        <v>0</v>
      </c>
      <c r="BD21" s="78">
        <f t="shared" si="9"/>
        <v>0</v>
      </c>
      <c r="BE21" s="78">
        <f t="shared" si="19"/>
        <v>0</v>
      </c>
      <c r="BF21" s="78">
        <f t="shared" si="20"/>
        <v>0</v>
      </c>
      <c r="BG21" s="78">
        <f t="shared" si="20"/>
        <v>0</v>
      </c>
      <c r="BH21" s="78">
        <f t="shared" si="20"/>
        <v>0</v>
      </c>
      <c r="BI21" s="78">
        <f t="shared" si="20"/>
        <v>0</v>
      </c>
      <c r="BJ21" s="78">
        <f>IF(AND(BJ9&lt;&gt;"",BJ9&gt;0),(VLOOKUP(BJ$6,$CC$6:$CE$12,3,0)*BJ9)/SUM($BF9:$BJ9),0)</f>
        <v>0</v>
      </c>
      <c r="BK21" s="78">
        <f t="shared" si="20"/>
        <v>0</v>
      </c>
      <c r="BL21" s="78">
        <f t="shared" ref="BL21:BO21" si="25">IF(AND(BL9&lt;&gt;"",BL9&gt;0),(VLOOKUP(BL$6,$CC$6:$CE$12,3,0)*BL9)/SUM($BL9:$BP9),0)</f>
        <v>0</v>
      </c>
      <c r="BM21" s="78">
        <f t="shared" si="25"/>
        <v>0</v>
      </c>
      <c r="BN21" s="78">
        <f t="shared" si="25"/>
        <v>0</v>
      </c>
      <c r="BO21" s="78">
        <f t="shared" si="25"/>
        <v>0</v>
      </c>
      <c r="BP21" s="78">
        <f>IF(AND(BP9&lt;&gt;"",BP9&gt;0),(VLOOKUP(BP$6,$CC$6:$CE$12,3,0)*BP9)/SUM($BL9:$BP9),0)</f>
        <v>0</v>
      </c>
      <c r="BQ21" s="78">
        <f>IF(AND(BQ9&lt;&gt;"",BQ9&gt;0),(VLOOKUP(BQ$6,$CC$6:$CE$12,3,0)*BQ9)/SUM($BL9:$BP9),0)</f>
        <v>0</v>
      </c>
      <c r="BR21" s="78">
        <f t="shared" ref="BR21:BW21" si="26">IF(AND(BR9&lt;&gt;"",BR9&gt;0),(VLOOKUP(BR$6,$CC$6:$CE$12,3,0)*BR9)/SUM($BR9:$BV9),0)</f>
        <v>0</v>
      </c>
      <c r="BS21" s="78">
        <f t="shared" si="26"/>
        <v>0</v>
      </c>
      <c r="BT21" s="78">
        <f t="shared" si="26"/>
        <v>0</v>
      </c>
      <c r="BU21" s="78">
        <f t="shared" si="26"/>
        <v>0</v>
      </c>
      <c r="BV21" s="78">
        <f t="shared" si="26"/>
        <v>0</v>
      </c>
      <c r="BW21" s="78">
        <f t="shared" si="26"/>
        <v>0</v>
      </c>
    </row>
    <row r="22" spans="2:75" x14ac:dyDescent="0.3">
      <c r="B22" s="60">
        <v>4</v>
      </c>
      <c r="C22" s="132" t="s">
        <v>74</v>
      </c>
      <c r="D22" s="62"/>
      <c r="E22" s="63"/>
      <c r="F22" s="64">
        <f t="shared" si="0"/>
        <v>0</v>
      </c>
      <c r="G22" s="63">
        <f t="shared" si="0"/>
        <v>0</v>
      </c>
      <c r="H22" s="64">
        <f t="shared" si="0"/>
        <v>0</v>
      </c>
      <c r="I22" s="55">
        <f t="shared" si="0"/>
        <v>0</v>
      </c>
      <c r="J22" s="77">
        <f t="shared" si="1"/>
        <v>0</v>
      </c>
      <c r="K22" s="78">
        <f t="shared" si="1"/>
        <v>0.16666666666666666</v>
      </c>
      <c r="L22" s="78">
        <f t="shared" si="1"/>
        <v>1</v>
      </c>
      <c r="M22" s="78">
        <f t="shared" ref="M22:N22" si="27">IF(AND(M10&lt;&gt;"",M10&gt;0),(VLOOKUP(M$6,$CC$6:$CE$12,3,0)*M10)/SUM($J10:$N10),0)</f>
        <v>2</v>
      </c>
      <c r="N22" s="78">
        <f t="shared" si="27"/>
        <v>0.41666666666666669</v>
      </c>
      <c r="O22" s="78">
        <f>IF(AND(O10&lt;&gt;"",O10&gt;0),(VLOOKUP(O$6,$CC$6:$CE$12,3,0)*O10)/SUM($J10:$N10),0)</f>
        <v>0</v>
      </c>
      <c r="P22" s="77">
        <f t="shared" si="2"/>
        <v>0</v>
      </c>
      <c r="Q22" s="78">
        <f t="shared" si="2"/>
        <v>0</v>
      </c>
      <c r="R22" s="78">
        <f t="shared" si="2"/>
        <v>0.5</v>
      </c>
      <c r="S22" s="78">
        <f t="shared" si="2"/>
        <v>2</v>
      </c>
      <c r="T22" s="78">
        <f t="shared" si="2"/>
        <v>1.6666666666666667</v>
      </c>
      <c r="U22" s="78">
        <f t="shared" si="3"/>
        <v>0</v>
      </c>
      <c r="V22" s="77">
        <f t="shared" si="4"/>
        <v>0</v>
      </c>
      <c r="W22" s="78">
        <f t="shared" si="4"/>
        <v>0</v>
      </c>
      <c r="X22" s="78">
        <f t="shared" si="4"/>
        <v>1.125</v>
      </c>
      <c r="Y22" s="78">
        <f t="shared" si="4"/>
        <v>2</v>
      </c>
      <c r="Z22" s="78">
        <f t="shared" si="4"/>
        <v>0.625</v>
      </c>
      <c r="AA22" s="78">
        <f t="shared" si="15"/>
        <v>0</v>
      </c>
      <c r="AB22" s="77">
        <f t="shared" si="5"/>
        <v>0</v>
      </c>
      <c r="AC22" s="78">
        <f t="shared" si="5"/>
        <v>0.25</v>
      </c>
      <c r="AD22" s="78">
        <f t="shared" si="5"/>
        <v>1.125</v>
      </c>
      <c r="AE22" s="78">
        <f t="shared" si="5"/>
        <v>2</v>
      </c>
      <c r="AF22" s="78">
        <f t="shared" si="5"/>
        <v>0</v>
      </c>
      <c r="AG22" s="78">
        <f t="shared" si="24"/>
        <v>0</v>
      </c>
      <c r="AH22" s="77">
        <f t="shared" si="6"/>
        <v>0</v>
      </c>
      <c r="AI22" s="78">
        <f t="shared" si="6"/>
        <v>0</v>
      </c>
      <c r="AJ22" s="78">
        <f t="shared" si="6"/>
        <v>0</v>
      </c>
      <c r="AK22" s="78">
        <f t="shared" si="6"/>
        <v>0</v>
      </c>
      <c r="AL22" s="78">
        <f t="shared" si="6"/>
        <v>0</v>
      </c>
      <c r="AM22" s="78">
        <f t="shared" si="16"/>
        <v>0</v>
      </c>
      <c r="AN22" s="77">
        <f t="shared" si="7"/>
        <v>0</v>
      </c>
      <c r="AO22" s="78">
        <f t="shared" si="7"/>
        <v>0</v>
      </c>
      <c r="AP22" s="78">
        <f t="shared" si="7"/>
        <v>0</v>
      </c>
      <c r="AQ22" s="78">
        <f t="shared" si="7"/>
        <v>0</v>
      </c>
      <c r="AR22" s="78">
        <f t="shared" si="7"/>
        <v>0</v>
      </c>
      <c r="AS22" s="78">
        <f t="shared" si="17"/>
        <v>0</v>
      </c>
      <c r="AT22" s="77">
        <f t="shared" si="8"/>
        <v>0</v>
      </c>
      <c r="AU22" s="78">
        <f t="shared" si="8"/>
        <v>0</v>
      </c>
      <c r="AV22" s="78">
        <f t="shared" si="8"/>
        <v>0</v>
      </c>
      <c r="AW22" s="78">
        <f t="shared" si="8"/>
        <v>0</v>
      </c>
      <c r="AX22" s="78">
        <f t="shared" si="8"/>
        <v>0</v>
      </c>
      <c r="AY22" s="78">
        <f t="shared" si="18"/>
        <v>0</v>
      </c>
      <c r="AZ22" s="77">
        <f t="shared" si="9"/>
        <v>0</v>
      </c>
      <c r="BA22" s="78">
        <f t="shared" si="9"/>
        <v>0</v>
      </c>
      <c r="BB22" s="78">
        <f t="shared" si="9"/>
        <v>0</v>
      </c>
      <c r="BC22" s="78">
        <f t="shared" si="9"/>
        <v>0</v>
      </c>
      <c r="BD22" s="78">
        <f t="shared" si="9"/>
        <v>0</v>
      </c>
      <c r="BE22" s="78">
        <f t="shared" si="19"/>
        <v>0</v>
      </c>
      <c r="BF22" s="78">
        <f t="shared" si="20"/>
        <v>0</v>
      </c>
      <c r="BG22" s="78">
        <f t="shared" si="20"/>
        <v>0</v>
      </c>
      <c r="BH22" s="78">
        <f t="shared" si="20"/>
        <v>0</v>
      </c>
      <c r="BI22" s="78">
        <f t="shared" si="20"/>
        <v>0</v>
      </c>
      <c r="BJ22" s="78">
        <f>IF(AND(BJ10&lt;&gt;"",BJ10&gt;0),(VLOOKUP(BJ$6,$CC$6:$CE$12,3,0)*BJ10)/SUM($BF10:$BJ10),0)</f>
        <v>0</v>
      </c>
      <c r="BK22" s="78">
        <f>IF(AND(BK10&lt;&gt;"",BK10&gt;0),(VLOOKUP(BK$6,$CC$6:$CE$12,3,0)*BK10)/SUM($BF10:$BJ10),0)</f>
        <v>0</v>
      </c>
      <c r="BL22" s="78">
        <f t="shared" ref="BL22:BQ22" si="28">IF(AND(BL10&lt;&gt;"",BL10&gt;0),(VLOOKUP(BL$6,$CC$6:$CE$12,3,0)*BL10)/SUM($BL10:$BP10),0)</f>
        <v>0</v>
      </c>
      <c r="BM22" s="78">
        <f t="shared" si="28"/>
        <v>0</v>
      </c>
      <c r="BN22" s="78">
        <f t="shared" si="28"/>
        <v>0</v>
      </c>
      <c r="BO22" s="78">
        <f t="shared" si="28"/>
        <v>0</v>
      </c>
      <c r="BP22" s="78">
        <f t="shared" si="28"/>
        <v>0</v>
      </c>
      <c r="BQ22" s="78">
        <f t="shared" si="28"/>
        <v>0</v>
      </c>
      <c r="BR22" s="78">
        <f t="shared" ref="BR22:BW22" si="29">IF(AND(BR10&lt;&gt;"",BR10&gt;0),(VLOOKUP(BR$6,$CC$6:$CE$12,3,0)*BR10)/SUM($BR10:$BV10),0)</f>
        <v>0</v>
      </c>
      <c r="BS22" s="78">
        <f t="shared" si="29"/>
        <v>0</v>
      </c>
      <c r="BT22" s="78">
        <f t="shared" si="29"/>
        <v>0</v>
      </c>
      <c r="BU22" s="78">
        <f t="shared" si="29"/>
        <v>0</v>
      </c>
      <c r="BV22" s="78">
        <f t="shared" si="29"/>
        <v>0</v>
      </c>
      <c r="BW22" s="78">
        <f t="shared" si="29"/>
        <v>0</v>
      </c>
    </row>
    <row r="23" spans="2:75" x14ac:dyDescent="0.3">
      <c r="B23" s="60">
        <v>5</v>
      </c>
      <c r="C23" s="132" t="s">
        <v>89</v>
      </c>
      <c r="D23" s="62"/>
      <c r="E23" s="63"/>
      <c r="F23" s="64">
        <f t="shared" si="0"/>
        <v>0</v>
      </c>
      <c r="G23" s="63">
        <f t="shared" si="0"/>
        <v>0</v>
      </c>
      <c r="H23" s="64">
        <f t="shared" si="0"/>
        <v>0</v>
      </c>
      <c r="I23" s="55">
        <f t="shared" si="0"/>
        <v>0</v>
      </c>
      <c r="J23" s="77">
        <f t="shared" si="1"/>
        <v>0</v>
      </c>
      <c r="K23" s="78">
        <f t="shared" si="1"/>
        <v>0</v>
      </c>
      <c r="L23" s="78">
        <f t="shared" si="1"/>
        <v>0.31034482758620691</v>
      </c>
      <c r="M23" s="78">
        <f t="shared" ref="M23:N23" si="30">IF(AND(M11&lt;&gt;"",M11&gt;0),(VLOOKUP(M$6,$CC$6:$CE$12,3,0)*M11)/SUM($J11:$N11),0)</f>
        <v>1.6551724137931034</v>
      </c>
      <c r="N23" s="78">
        <f t="shared" si="30"/>
        <v>2.4137931034482758</v>
      </c>
      <c r="O23" s="78">
        <f t="shared" si="14"/>
        <v>0</v>
      </c>
      <c r="P23" s="77">
        <f t="shared" si="2"/>
        <v>0</v>
      </c>
      <c r="Q23" s="78">
        <f t="shared" si="2"/>
        <v>0</v>
      </c>
      <c r="R23" s="78">
        <f t="shared" si="2"/>
        <v>0.31578947368421051</v>
      </c>
      <c r="S23" s="78">
        <f t="shared" si="2"/>
        <v>1.263157894736842</v>
      </c>
      <c r="T23" s="78">
        <f t="shared" si="2"/>
        <v>2.8947368421052633</v>
      </c>
      <c r="U23" s="78">
        <f t="shared" si="3"/>
        <v>0</v>
      </c>
      <c r="V23" s="77">
        <f t="shared" si="4"/>
        <v>0</v>
      </c>
      <c r="W23" s="78">
        <f t="shared" si="4"/>
        <v>0</v>
      </c>
      <c r="X23" s="78">
        <f t="shared" si="4"/>
        <v>0</v>
      </c>
      <c r="Y23" s="78">
        <f t="shared" si="4"/>
        <v>2.1428571428571428</v>
      </c>
      <c r="Z23" s="78">
        <f t="shared" si="4"/>
        <v>2.3214285714285716</v>
      </c>
      <c r="AA23" s="78">
        <f t="shared" si="15"/>
        <v>0</v>
      </c>
      <c r="AB23" s="77">
        <f t="shared" si="5"/>
        <v>0</v>
      </c>
      <c r="AC23" s="78">
        <f t="shared" si="5"/>
        <v>7.6923076923076927E-2</v>
      </c>
      <c r="AD23" s="78">
        <f t="shared" si="5"/>
        <v>0.11538461538461539</v>
      </c>
      <c r="AE23" s="78">
        <f t="shared" si="5"/>
        <v>2.1538461538461537</v>
      </c>
      <c r="AF23" s="78">
        <f t="shared" si="5"/>
        <v>1.9230769230769231</v>
      </c>
      <c r="AG23" s="78">
        <f t="shared" si="24"/>
        <v>0</v>
      </c>
      <c r="AH23" s="77">
        <f t="shared" si="6"/>
        <v>0</v>
      </c>
      <c r="AI23" s="78">
        <f t="shared" si="6"/>
        <v>0</v>
      </c>
      <c r="AJ23" s="78">
        <f t="shared" si="6"/>
        <v>0</v>
      </c>
      <c r="AK23" s="78">
        <f t="shared" si="6"/>
        <v>0</v>
      </c>
      <c r="AL23" s="78">
        <f t="shared" si="6"/>
        <v>0</v>
      </c>
      <c r="AM23" s="78">
        <f t="shared" si="16"/>
        <v>0</v>
      </c>
      <c r="AN23" s="77">
        <f t="shared" si="7"/>
        <v>0</v>
      </c>
      <c r="AO23" s="78">
        <f t="shared" si="7"/>
        <v>0</v>
      </c>
      <c r="AP23" s="78">
        <f t="shared" si="7"/>
        <v>0</v>
      </c>
      <c r="AQ23" s="78">
        <f t="shared" si="7"/>
        <v>0</v>
      </c>
      <c r="AR23" s="78">
        <f t="shared" si="7"/>
        <v>0</v>
      </c>
      <c r="AS23" s="78">
        <f t="shared" si="17"/>
        <v>0</v>
      </c>
      <c r="AT23" s="77">
        <f t="shared" si="8"/>
        <v>0</v>
      </c>
      <c r="AU23" s="78">
        <f t="shared" si="8"/>
        <v>0</v>
      </c>
      <c r="AV23" s="78">
        <f t="shared" si="8"/>
        <v>0</v>
      </c>
      <c r="AW23" s="78">
        <f t="shared" si="8"/>
        <v>0</v>
      </c>
      <c r="AX23" s="78">
        <f t="shared" si="8"/>
        <v>0</v>
      </c>
      <c r="AY23" s="78">
        <f>IF(AND(AY11&lt;&gt;"",AY11&gt;0),(VLOOKUP(AY$6,$CC$6:$CE$12,3,0)*AY11)/SUM($AT11:$AX11),0)</f>
        <v>0</v>
      </c>
      <c r="AZ23" s="77">
        <f t="shared" si="9"/>
        <v>0</v>
      </c>
      <c r="BA23" s="78">
        <f t="shared" si="9"/>
        <v>0</v>
      </c>
      <c r="BB23" s="78">
        <f t="shared" si="9"/>
        <v>0</v>
      </c>
      <c r="BC23" s="78">
        <f t="shared" si="9"/>
        <v>0</v>
      </c>
      <c r="BD23" s="78">
        <f>IF(AND(BD11&lt;&gt;"",BD11&gt;0),(VLOOKUP(BD$6,$CC$6:$CE$11,3,0)*BD11)/SUM($AZ11:$BD11),0)</f>
        <v>0</v>
      </c>
      <c r="BE23" s="78">
        <f t="shared" si="19"/>
        <v>0</v>
      </c>
      <c r="BF23" s="78">
        <f t="shared" si="20"/>
        <v>0</v>
      </c>
      <c r="BG23" s="78">
        <f t="shared" si="20"/>
        <v>0</v>
      </c>
      <c r="BH23" s="78">
        <f t="shared" si="20"/>
        <v>0</v>
      </c>
      <c r="BI23" s="78">
        <f t="shared" si="20"/>
        <v>0</v>
      </c>
      <c r="BJ23" s="78">
        <f t="shared" si="20"/>
        <v>0</v>
      </c>
      <c r="BK23" s="78">
        <f>IF(AND(BK11&lt;&gt;"",BK11&gt;0),(VLOOKUP(BK$6,$CC$6:$CE$12,3,0)*BK11)/SUM($BF11:$BJ11),0)</f>
        <v>0</v>
      </c>
      <c r="BL23" s="78">
        <f t="shared" ref="BL23:BQ23" si="31">IF(AND(BL11&lt;&gt;"",BL11&gt;0),(VLOOKUP(BL$6,$CC$6:$CE$12,3,0)*BL11)/SUM($BL11:$BP11),0)</f>
        <v>0</v>
      </c>
      <c r="BM23" s="78">
        <f t="shared" si="31"/>
        <v>0</v>
      </c>
      <c r="BN23" s="78">
        <f t="shared" si="31"/>
        <v>0</v>
      </c>
      <c r="BO23" s="78">
        <f t="shared" si="31"/>
        <v>0</v>
      </c>
      <c r="BP23" s="78">
        <f t="shared" si="31"/>
        <v>0</v>
      </c>
      <c r="BQ23" s="78">
        <f t="shared" si="31"/>
        <v>0</v>
      </c>
      <c r="BR23" s="78">
        <f t="shared" ref="BR23:BW23" si="32">IF(AND(BR11&lt;&gt;"",BR11&gt;0),(VLOOKUP(BR$6,$CC$6:$CE$12,3,0)*BR11)/SUM($BR11:$BV11),0)</f>
        <v>0</v>
      </c>
      <c r="BS23" s="78">
        <f t="shared" si="32"/>
        <v>0</v>
      </c>
      <c r="BT23" s="78">
        <f t="shared" si="32"/>
        <v>0</v>
      </c>
      <c r="BU23" s="78">
        <f t="shared" si="32"/>
        <v>0</v>
      </c>
      <c r="BV23" s="78">
        <f t="shared" si="32"/>
        <v>0</v>
      </c>
      <c r="BW23" s="78">
        <f t="shared" si="32"/>
        <v>0</v>
      </c>
    </row>
    <row r="24" spans="2:75" x14ac:dyDescent="0.3">
      <c r="D24" s="71"/>
      <c r="E24" s="71"/>
      <c r="F24" s="72">
        <f t="shared" si="0"/>
        <v>0</v>
      </c>
      <c r="G24" s="71">
        <f t="shared" si="0"/>
        <v>0</v>
      </c>
      <c r="H24" s="72">
        <f t="shared" si="0"/>
        <v>0</v>
      </c>
      <c r="I24" s="71">
        <f t="shared" si="0"/>
        <v>0</v>
      </c>
    </row>
    <row r="25" spans="2:75" x14ac:dyDescent="0.3">
      <c r="D25" s="71"/>
      <c r="E25" s="71"/>
      <c r="F25" s="72"/>
      <c r="G25" s="71"/>
      <c r="H25" s="72"/>
      <c r="I25" s="71"/>
    </row>
    <row r="26" spans="2:75" x14ac:dyDescent="0.3">
      <c r="D26" s="71"/>
      <c r="E26" s="71"/>
      <c r="F26" s="72"/>
      <c r="G26" s="71"/>
      <c r="H26" s="72"/>
      <c r="I26" s="71"/>
      <c r="J26" s="82"/>
    </row>
    <row r="27" spans="2:75" ht="15.6" x14ac:dyDescent="0.3">
      <c r="D27" s="71"/>
      <c r="E27" s="71"/>
      <c r="F27" s="72"/>
      <c r="G27" s="71"/>
      <c r="H27" s="72"/>
      <c r="I27" s="71"/>
      <c r="K27" s="83" t="s">
        <v>501</v>
      </c>
    </row>
    <row r="28" spans="2:75" x14ac:dyDescent="0.3">
      <c r="D28" s="71"/>
      <c r="E28" s="71"/>
      <c r="F28" s="72"/>
      <c r="G28" s="71"/>
      <c r="H28" s="72"/>
      <c r="I28" s="71"/>
    </row>
    <row r="29" spans="2:75" x14ac:dyDescent="0.3">
      <c r="D29" s="71"/>
      <c r="E29" s="71"/>
      <c r="F29" s="72"/>
      <c r="G29" s="71"/>
      <c r="H29" s="72"/>
      <c r="I29" s="71"/>
    </row>
    <row r="30" spans="2:75" x14ac:dyDescent="0.3">
      <c r="U30" s="84"/>
    </row>
    <row r="31" spans="2:75" x14ac:dyDescent="0.3">
      <c r="E31" s="187" t="s">
        <v>474</v>
      </c>
      <c r="F31" s="189" t="s">
        <v>5</v>
      </c>
      <c r="G31" s="190"/>
      <c r="H31" s="190"/>
      <c r="I31" s="191"/>
      <c r="J31" s="185" t="s">
        <v>502</v>
      </c>
      <c r="K31" s="183"/>
      <c r="L31" s="183"/>
      <c r="M31" s="183"/>
      <c r="N31" s="183"/>
      <c r="O31" s="183"/>
      <c r="P31" s="183"/>
      <c r="Q31" s="183"/>
      <c r="R31" s="183"/>
      <c r="S31" s="183"/>
      <c r="T31" s="183"/>
    </row>
    <row r="32" spans="2:75" x14ac:dyDescent="0.3">
      <c r="E32" s="188"/>
      <c r="F32" s="192"/>
      <c r="G32" s="193"/>
      <c r="H32" s="193"/>
      <c r="I32" s="194"/>
      <c r="J32" s="85">
        <v>1</v>
      </c>
      <c r="K32" s="86">
        <v>2</v>
      </c>
      <c r="L32" s="86">
        <v>3</v>
      </c>
      <c r="M32" s="86">
        <v>4</v>
      </c>
      <c r="N32" s="86">
        <v>5</v>
      </c>
      <c r="O32" s="86">
        <v>6</v>
      </c>
      <c r="P32" s="86">
        <v>7</v>
      </c>
      <c r="Q32" s="86">
        <v>8</v>
      </c>
      <c r="R32" s="140">
        <v>9</v>
      </c>
      <c r="S32" s="140">
        <v>10</v>
      </c>
      <c r="T32" s="140">
        <v>11</v>
      </c>
      <c r="U32" s="87" t="s">
        <v>503</v>
      </c>
      <c r="X32" s="87" t="s">
        <v>454</v>
      </c>
    </row>
    <row r="33" spans="5:24" x14ac:dyDescent="0.3">
      <c r="E33" s="51">
        <v>1</v>
      </c>
      <c r="F33" s="88" t="s">
        <v>66</v>
      </c>
      <c r="G33" s="89"/>
      <c r="H33" s="89"/>
      <c r="I33" s="90"/>
      <c r="J33" s="91">
        <f>SUM(J19:O19)</f>
        <v>4.4000000000000004</v>
      </c>
      <c r="K33" s="91">
        <f>SUM(P19:U19)</f>
        <v>4.4444444444444446</v>
      </c>
      <c r="L33" s="91">
        <f>SUM(V19:AA19)</f>
        <v>4.5333333333333332</v>
      </c>
      <c r="M33" s="91">
        <f>SUM(AB19:AG19)</f>
        <v>4.7333333333333334</v>
      </c>
      <c r="N33" s="91">
        <f>SUM(AH19:AM19)</f>
        <v>0</v>
      </c>
      <c r="O33" s="91">
        <f>SUM(AN19:AS19)</f>
        <v>0</v>
      </c>
      <c r="P33" s="91">
        <f>SUM(AT19:AY19)</f>
        <v>0</v>
      </c>
      <c r="Q33" s="91">
        <f>SUM(AZ19:BE19)</f>
        <v>0</v>
      </c>
      <c r="R33" s="91">
        <f>SUM(BF19:BK19)</f>
        <v>0</v>
      </c>
      <c r="S33" s="141">
        <f>SUM(BL19:BQ19)</f>
        <v>0</v>
      </c>
      <c r="T33" s="141">
        <f>SUM(BR19:BW19)</f>
        <v>0</v>
      </c>
      <c r="U33" s="92">
        <f>IFERROR(AVERAGEIF(J33:Q33,"&gt;0",J33:Q33),0)</f>
        <v>4.5277777777777777</v>
      </c>
      <c r="V33" s="93"/>
      <c r="X33" s="92">
        <v>4.4600389863547756</v>
      </c>
    </row>
    <row r="34" spans="5:24" x14ac:dyDescent="0.3">
      <c r="E34" s="60">
        <v>2</v>
      </c>
      <c r="F34" s="94" t="s">
        <v>70</v>
      </c>
      <c r="I34" s="95"/>
      <c r="J34" s="96">
        <f>SUM(J20:O20)</f>
        <v>3.84</v>
      </c>
      <c r="K34" s="96">
        <f>SUM(P20:U20)</f>
        <v>4.2941176470588243</v>
      </c>
      <c r="L34" s="96">
        <f>SUM(V20:AA20)</f>
        <v>4.166666666666667</v>
      </c>
      <c r="M34" s="96">
        <f>SUM(AB20:AG20)</f>
        <v>4.2</v>
      </c>
      <c r="N34" s="96">
        <f>SUM(AH20:AM20)</f>
        <v>0</v>
      </c>
      <c r="O34" s="96">
        <f>SUM(AN20:AS20)</f>
        <v>0</v>
      </c>
      <c r="P34" s="96">
        <f>SUM(AT20:AY20)</f>
        <v>0</v>
      </c>
      <c r="Q34" s="96">
        <f>SUM(AZ20:BE20)</f>
        <v>0</v>
      </c>
      <c r="R34" s="91">
        <f t="shared" ref="R34:R37" si="33">SUM(BF20:BK20)</f>
        <v>0</v>
      </c>
      <c r="S34" s="141">
        <f t="shared" ref="S34:S37" si="34">SUM(BL20:BQ20)</f>
        <v>0</v>
      </c>
      <c r="T34" s="141">
        <f t="shared" ref="T34:T37" si="35">SUM(BR20:BW20)</f>
        <v>0</v>
      </c>
      <c r="U34" s="97">
        <f>IFERROR(AVERAGEIF(J34:Q34,"&gt;0",J34:Q34),0)</f>
        <v>4.1251960784313724</v>
      </c>
      <c r="V34" s="93"/>
      <c r="X34" s="98">
        <v>4.1269999999999998</v>
      </c>
    </row>
    <row r="35" spans="5:24" x14ac:dyDescent="0.3">
      <c r="E35" s="60">
        <v>3</v>
      </c>
      <c r="F35" s="94" t="s">
        <v>62</v>
      </c>
      <c r="I35" s="95"/>
      <c r="J35" s="96">
        <f>SUM(J21:O21)</f>
        <v>4.2142857142857144</v>
      </c>
      <c r="K35" s="96">
        <f>SUM(P21:U21)</f>
        <v>4.1538461538461542</v>
      </c>
      <c r="L35" s="96">
        <f>SUM(V21:AA21)</f>
        <v>4.5</v>
      </c>
      <c r="M35" s="96">
        <f>SUM(AB21:AG21)</f>
        <v>4.4615384615384617</v>
      </c>
      <c r="N35" s="96">
        <f>SUM(AH21:AM21)</f>
        <v>0</v>
      </c>
      <c r="O35" s="96">
        <f>SUM(AN21:AS21)</f>
        <v>0</v>
      </c>
      <c r="P35" s="96">
        <f>SUM(AT21:AY21)</f>
        <v>0</v>
      </c>
      <c r="Q35" s="96">
        <f>SUM(AZ21:BE21)</f>
        <v>0</v>
      </c>
      <c r="R35" s="91">
        <f t="shared" si="33"/>
        <v>0</v>
      </c>
      <c r="S35" s="141">
        <f t="shared" si="34"/>
        <v>0</v>
      </c>
      <c r="T35" s="141">
        <f>SUM(BR21:BW21)</f>
        <v>0</v>
      </c>
      <c r="U35" s="97">
        <f>IFERROR(AVERAGEIF(J35:Q35,"&gt;0",J35:Q35),0)</f>
        <v>4.3324175824175821</v>
      </c>
      <c r="V35" s="93"/>
      <c r="X35" s="98">
        <v>4.0410000000000004</v>
      </c>
    </row>
    <row r="36" spans="5:24" x14ac:dyDescent="0.3">
      <c r="E36" s="60">
        <v>4</v>
      </c>
      <c r="F36" s="94" t="s">
        <v>74</v>
      </c>
      <c r="I36" s="95"/>
      <c r="J36" s="96">
        <f>SUM(J22:O22)</f>
        <v>3.5833333333333335</v>
      </c>
      <c r="K36" s="96">
        <f>SUM(P22:U22)</f>
        <v>4.166666666666667</v>
      </c>
      <c r="L36" s="96">
        <f>SUM(V22:AA22)</f>
        <v>3.75</v>
      </c>
      <c r="M36" s="96">
        <f>SUM(AB22:AG22)</f>
        <v>3.375</v>
      </c>
      <c r="N36" s="96">
        <f>SUM(AH22:AM22)</f>
        <v>0</v>
      </c>
      <c r="O36" s="96">
        <f>SUM(AN22:AS22)</f>
        <v>0</v>
      </c>
      <c r="P36" s="96">
        <f>SUM(AT22:AY22)</f>
        <v>0</v>
      </c>
      <c r="Q36" s="96">
        <f>SUM(AZ22:BE22)</f>
        <v>0</v>
      </c>
      <c r="R36" s="91">
        <f>SUM(BF22:BK22)</f>
        <v>0</v>
      </c>
      <c r="S36" s="141">
        <f t="shared" si="34"/>
        <v>0</v>
      </c>
      <c r="T36" s="141">
        <f t="shared" si="35"/>
        <v>0</v>
      </c>
      <c r="U36" s="97">
        <f>IFERROR(AVERAGEIF(J36:Q36,"&gt;0",J36:Q36),0)</f>
        <v>3.71875</v>
      </c>
      <c r="V36" s="93"/>
      <c r="X36" s="98">
        <v>4.1500000000000004</v>
      </c>
    </row>
    <row r="37" spans="5:24" x14ac:dyDescent="0.3">
      <c r="E37" s="60">
        <v>5</v>
      </c>
      <c r="F37" s="94" t="s">
        <v>89</v>
      </c>
      <c r="I37" s="95"/>
      <c r="J37" s="96">
        <f>SUM(J23:O23)</f>
        <v>4.3793103448275863</v>
      </c>
      <c r="K37" s="96">
        <f>SUM(P23:U23)</f>
        <v>4.4736842105263159</v>
      </c>
      <c r="L37" s="96">
        <f>SUM(V23:AA23)</f>
        <v>4.4642857142857144</v>
      </c>
      <c r="M37" s="96">
        <f>SUM(AB23:AG23)</f>
        <v>4.2692307692307692</v>
      </c>
      <c r="N37" s="96">
        <f>SUM(AH23:AM23)</f>
        <v>0</v>
      </c>
      <c r="O37" s="96">
        <f>SUM(AN23:AS23)</f>
        <v>0</v>
      </c>
      <c r="P37" s="96">
        <f>SUM(AT23:AY23)</f>
        <v>0</v>
      </c>
      <c r="Q37" s="96">
        <f>SUM(AZ23:BE23)</f>
        <v>0</v>
      </c>
      <c r="R37" s="91">
        <f t="shared" si="33"/>
        <v>0</v>
      </c>
      <c r="S37" s="141">
        <f t="shared" si="34"/>
        <v>0</v>
      </c>
      <c r="T37" s="141">
        <f t="shared" si="35"/>
        <v>0</v>
      </c>
      <c r="U37" s="99">
        <f>IFERROR(AVERAGEIF(J37:Q37,"&gt;0",J37:Q37),0)</f>
        <v>4.3966277597175969</v>
      </c>
      <c r="V37" s="93"/>
      <c r="X37" s="99">
        <v>4.5289999999999999</v>
      </c>
    </row>
    <row r="39" spans="5:24" ht="15.6" x14ac:dyDescent="0.3">
      <c r="J39" s="184" t="s">
        <v>489</v>
      </c>
      <c r="K39" s="184"/>
      <c r="L39" s="184"/>
      <c r="O39" s="83"/>
    </row>
    <row r="40" spans="5:24" x14ac:dyDescent="0.3">
      <c r="J40" s="50" t="s">
        <v>497</v>
      </c>
      <c r="K40" s="50" t="s">
        <v>498</v>
      </c>
      <c r="L40" s="50" t="s">
        <v>499</v>
      </c>
    </row>
    <row r="41" spans="5:24" x14ac:dyDescent="0.3">
      <c r="J41" s="58" t="s">
        <v>491</v>
      </c>
      <c r="K41" s="58" t="s">
        <v>471</v>
      </c>
      <c r="L41" s="59">
        <v>1</v>
      </c>
    </row>
    <row r="42" spans="5:24" x14ac:dyDescent="0.3">
      <c r="J42" s="58" t="s">
        <v>492</v>
      </c>
      <c r="K42" s="58" t="s">
        <v>470</v>
      </c>
      <c r="L42" s="59">
        <v>2</v>
      </c>
    </row>
    <row r="43" spans="5:24" x14ac:dyDescent="0.3">
      <c r="J43" s="58" t="s">
        <v>493</v>
      </c>
      <c r="K43" s="58" t="s">
        <v>469</v>
      </c>
      <c r="L43" s="59">
        <v>3</v>
      </c>
    </row>
    <row r="44" spans="5:24" x14ac:dyDescent="0.3">
      <c r="J44" s="58" t="s">
        <v>494</v>
      </c>
      <c r="K44" s="58" t="s">
        <v>467</v>
      </c>
      <c r="L44" s="59">
        <v>4</v>
      </c>
    </row>
    <row r="45" spans="5:24" x14ac:dyDescent="0.3">
      <c r="J45" s="58" t="s">
        <v>495</v>
      </c>
      <c r="K45" s="58" t="s">
        <v>468</v>
      </c>
      <c r="L45" s="59">
        <v>5</v>
      </c>
    </row>
    <row r="46" spans="5:24" x14ac:dyDescent="0.3">
      <c r="J46" s="58" t="s">
        <v>496</v>
      </c>
      <c r="K46" s="58" t="s">
        <v>473</v>
      </c>
      <c r="L46" s="59">
        <v>0</v>
      </c>
    </row>
    <row r="54" spans="10:10" ht="18" x14ac:dyDescent="0.4">
      <c r="J54" t="s">
        <v>504</v>
      </c>
    </row>
  </sheetData>
  <mergeCells count="41">
    <mergeCell ref="B4:B6"/>
    <mergeCell ref="C4:C6"/>
    <mergeCell ref="D4:D6"/>
    <mergeCell ref="E4:H4"/>
    <mergeCell ref="I4:BW4"/>
    <mergeCell ref="E5:F5"/>
    <mergeCell ref="I5:I6"/>
    <mergeCell ref="J5:O5"/>
    <mergeCell ref="P5:U5"/>
    <mergeCell ref="V5:AA5"/>
    <mergeCell ref="BL5:BQ5"/>
    <mergeCell ref="BR5:BW5"/>
    <mergeCell ref="CC5:CE5"/>
    <mergeCell ref="B16:B18"/>
    <mergeCell ref="C16:C18"/>
    <mergeCell ref="D16:D18"/>
    <mergeCell ref="E16:H16"/>
    <mergeCell ref="I16:BW16"/>
    <mergeCell ref="E17:F17"/>
    <mergeCell ref="I17:I18"/>
    <mergeCell ref="AB5:AG5"/>
    <mergeCell ref="AH5:AM5"/>
    <mergeCell ref="AN5:AS5"/>
    <mergeCell ref="AT5:AY5"/>
    <mergeCell ref="AZ5:BE5"/>
    <mergeCell ref="BF5:BK5"/>
    <mergeCell ref="BR17:BW17"/>
    <mergeCell ref="V17:AA17"/>
    <mergeCell ref="J39:L39"/>
    <mergeCell ref="AT17:AY17"/>
    <mergeCell ref="E31:E32"/>
    <mergeCell ref="F31:I32"/>
    <mergeCell ref="J17:O17"/>
    <mergeCell ref="P17:U17"/>
    <mergeCell ref="J31:T31"/>
    <mergeCell ref="AZ17:BE17"/>
    <mergeCell ref="BF17:BK17"/>
    <mergeCell ref="BL17:BQ17"/>
    <mergeCell ref="AB17:AG17"/>
    <mergeCell ref="AH17:AM17"/>
    <mergeCell ref="AN17:AS17"/>
  </mergeCells>
  <conditionalFormatting sqref="J7:BE11">
    <cfRule type="expression" dxfId="10" priority="14">
      <formula>J7=""</formula>
    </cfRule>
  </conditionalFormatting>
  <conditionalFormatting sqref="P19:AF23 AH19:BK23 J19:N23">
    <cfRule type="expression" dxfId="9" priority="13">
      <formula>J19=0</formula>
    </cfRule>
  </conditionalFormatting>
  <conditionalFormatting sqref="BF7:BK11">
    <cfRule type="expression" dxfId="8" priority="12">
      <formula>BF7=""</formula>
    </cfRule>
  </conditionalFormatting>
  <conditionalFormatting sqref="BL7:BQ11">
    <cfRule type="expression" dxfId="7" priority="11">
      <formula>BL7=""</formula>
    </cfRule>
  </conditionalFormatting>
  <conditionalFormatting sqref="BR7:BW11">
    <cfRule type="expression" dxfId="6" priority="10">
      <formula>BR7=""</formula>
    </cfRule>
  </conditionalFormatting>
  <conditionalFormatting sqref="O19:O23">
    <cfRule type="expression" dxfId="5" priority="4">
      <formula>O19=0</formula>
    </cfRule>
  </conditionalFormatting>
  <conditionalFormatting sqref="AG19:AG23">
    <cfRule type="expression" dxfId="4" priority="3">
      <formula>AG19=0</formula>
    </cfRule>
  </conditionalFormatting>
  <conditionalFormatting sqref="BL19:BQ23">
    <cfRule type="expression" dxfId="3" priority="2">
      <formula>BL19=0</formula>
    </cfRule>
  </conditionalFormatting>
  <conditionalFormatting sqref="BR19:BW23">
    <cfRule type="expression" dxfId="2" priority="1">
      <formula>BR19=0</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D586F-7CEB-4EC3-881C-704FF8BBFE70}">
  <sheetPr codeName="Hoja4"/>
  <dimension ref="A1:L32"/>
  <sheetViews>
    <sheetView workbookViewId="0">
      <pane ySplit="1" topLeftCell="A2" activePane="bottomLeft" state="frozenSplit"/>
      <selection pane="bottomLeft" sqref="A1:A1048509"/>
    </sheetView>
  </sheetViews>
  <sheetFormatPr baseColWidth="10" defaultRowHeight="14.4" x14ac:dyDescent="0.3"/>
  <cols>
    <col min="1" max="1" width="255.77734375" bestFit="1" customWidth="1"/>
  </cols>
  <sheetData>
    <row r="1" spans="1:12" x14ac:dyDescent="0.3">
      <c r="A1" s="154" t="s">
        <v>654</v>
      </c>
      <c r="B1" s="154"/>
      <c r="C1" s="154"/>
      <c r="D1" s="154"/>
      <c r="E1" s="154"/>
      <c r="F1" s="154"/>
      <c r="G1" s="154"/>
      <c r="H1" s="154"/>
      <c r="I1" s="154"/>
      <c r="J1" s="154"/>
      <c r="K1" s="154"/>
      <c r="L1" s="154"/>
    </row>
    <row r="3" spans="1:12" x14ac:dyDescent="0.3">
      <c r="A3" t="s">
        <v>594</v>
      </c>
    </row>
    <row r="4" spans="1:12" x14ac:dyDescent="0.3">
      <c r="A4" t="s">
        <v>597</v>
      </c>
    </row>
    <row r="5" spans="1:12" x14ac:dyDescent="0.3">
      <c r="A5" t="s">
        <v>601</v>
      </c>
    </row>
    <row r="6" spans="1:12" x14ac:dyDescent="0.3">
      <c r="A6" t="s">
        <v>602</v>
      </c>
    </row>
    <row r="7" spans="1:12" x14ac:dyDescent="0.3">
      <c r="A7" t="s">
        <v>605</v>
      </c>
    </row>
    <row r="8" spans="1:12" x14ac:dyDescent="0.3">
      <c r="A8" t="s">
        <v>606</v>
      </c>
    </row>
    <row r="9" spans="1:12" x14ac:dyDescent="0.3">
      <c r="A9" t="s">
        <v>607</v>
      </c>
    </row>
    <row r="10" spans="1:12" x14ac:dyDescent="0.3">
      <c r="A10" t="s">
        <v>609</v>
      </c>
    </row>
    <row r="11" spans="1:12" x14ac:dyDescent="0.3">
      <c r="A11" t="s">
        <v>610</v>
      </c>
    </row>
    <row r="12" spans="1:12" x14ac:dyDescent="0.3">
      <c r="A12" t="s">
        <v>611</v>
      </c>
    </row>
    <row r="13" spans="1:12" x14ac:dyDescent="0.3">
      <c r="A13" t="s">
        <v>613</v>
      </c>
    </row>
    <row r="14" spans="1:12" x14ac:dyDescent="0.3">
      <c r="A14" t="s">
        <v>616</v>
      </c>
    </row>
    <row r="15" spans="1:12" x14ac:dyDescent="0.3">
      <c r="A15" t="s">
        <v>618</v>
      </c>
    </row>
    <row r="16" spans="1:12" x14ac:dyDescent="0.3">
      <c r="A16" t="s">
        <v>619</v>
      </c>
    </row>
    <row r="17" spans="1:1" x14ac:dyDescent="0.3">
      <c r="A17" t="s">
        <v>622</v>
      </c>
    </row>
    <row r="18" spans="1:1" x14ac:dyDescent="0.3">
      <c r="A18" t="s">
        <v>623</v>
      </c>
    </row>
    <row r="19" spans="1:1" x14ac:dyDescent="0.3">
      <c r="A19" t="s">
        <v>626</v>
      </c>
    </row>
    <row r="20" spans="1:1" x14ac:dyDescent="0.3">
      <c r="A20" t="s">
        <v>627</v>
      </c>
    </row>
    <row r="21" spans="1:1" x14ac:dyDescent="0.3">
      <c r="A21" t="s">
        <v>628</v>
      </c>
    </row>
    <row r="22" spans="1:1" x14ac:dyDescent="0.3">
      <c r="A22" t="s">
        <v>629</v>
      </c>
    </row>
    <row r="23" spans="1:1" x14ac:dyDescent="0.3">
      <c r="A23" t="s">
        <v>630</v>
      </c>
    </row>
    <row r="24" spans="1:1" x14ac:dyDescent="0.3">
      <c r="A24" t="s">
        <v>631</v>
      </c>
    </row>
    <row r="25" spans="1:1" x14ac:dyDescent="0.3">
      <c r="A25" t="s">
        <v>632</v>
      </c>
    </row>
    <row r="26" spans="1:1" x14ac:dyDescent="0.3">
      <c r="A26" t="s">
        <v>634</v>
      </c>
    </row>
    <row r="27" spans="1:1" x14ac:dyDescent="0.3">
      <c r="A27" t="s">
        <v>635</v>
      </c>
    </row>
    <row r="28" spans="1:1" x14ac:dyDescent="0.3">
      <c r="A28" t="s">
        <v>640</v>
      </c>
    </row>
    <row r="29" spans="1:1" x14ac:dyDescent="0.3">
      <c r="A29" t="s">
        <v>644</v>
      </c>
    </row>
    <row r="30" spans="1:1" x14ac:dyDescent="0.3">
      <c r="A30" t="s">
        <v>648</v>
      </c>
    </row>
    <row r="31" spans="1:1" x14ac:dyDescent="0.3">
      <c r="A31" t="s">
        <v>651</v>
      </c>
    </row>
    <row r="32" spans="1:1" x14ac:dyDescent="0.3">
      <c r="A32" t="s">
        <v>653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627CF-826F-4F15-A298-1CAA012D474E}">
  <sheetPr codeName="Hoja5"/>
  <dimension ref="A1:J389"/>
  <sheetViews>
    <sheetView workbookViewId="0">
      <selection activeCell="E404" sqref="E404"/>
    </sheetView>
  </sheetViews>
  <sheetFormatPr baseColWidth="10" defaultRowHeight="14.4" x14ac:dyDescent="0.3"/>
  <cols>
    <col min="1" max="1" width="18.33203125" customWidth="1"/>
    <col min="9" max="9" width="34" bestFit="1" customWidth="1"/>
    <col min="10" max="10" width="18.5546875" bestFit="1" customWidth="1"/>
  </cols>
  <sheetData>
    <row r="1" spans="1:10" x14ac:dyDescent="0.3">
      <c r="A1" t="s">
        <v>586</v>
      </c>
      <c r="B1" t="s">
        <v>452</v>
      </c>
      <c r="C1" t="s">
        <v>657</v>
      </c>
      <c r="D1" t="s">
        <v>58</v>
      </c>
      <c r="E1" t="s">
        <v>5</v>
      </c>
      <c r="F1" t="s">
        <v>665</v>
      </c>
    </row>
    <row r="2" spans="1:10" x14ac:dyDescent="0.3">
      <c r="A2" s="156" t="s">
        <v>592</v>
      </c>
      <c r="B2" t="s">
        <v>8</v>
      </c>
      <c r="C2" s="159">
        <v>4</v>
      </c>
      <c r="D2" t="str">
        <f>VLOOKUP(A2,DataUsuario!B:D,2,FALSE)</f>
        <v>Gestión Humana y Sostenibilidad</v>
      </c>
      <c r="E2" t="str">
        <f>VLOOKUP(A2,DataUsuario!B:D,3,FALSE)</f>
        <v>Seguridad</v>
      </c>
      <c r="F2" t="s">
        <v>62</v>
      </c>
    </row>
    <row r="3" spans="1:10" x14ac:dyDescent="0.3">
      <c r="A3" s="157" t="s">
        <v>192</v>
      </c>
      <c r="B3" t="s">
        <v>8</v>
      </c>
      <c r="C3" s="160">
        <v>3</v>
      </c>
      <c r="D3" t="str">
        <f>VLOOKUP(A3,DataUsuario!B:D,2,FALSE)</f>
        <v>Agrícola</v>
      </c>
      <c r="E3" t="str">
        <f>VLOOKUP(A3,DataUsuario!B:D,3,FALSE)</f>
        <v>Mantenimiento de Riego y Bombas</v>
      </c>
      <c r="F3" t="s">
        <v>89</v>
      </c>
    </row>
    <row r="4" spans="1:10" x14ac:dyDescent="0.3">
      <c r="A4" s="156" t="s">
        <v>92</v>
      </c>
      <c r="B4" t="s">
        <v>8</v>
      </c>
      <c r="C4" s="159">
        <v>5</v>
      </c>
      <c r="D4" t="str">
        <f>VLOOKUP(A4,DataUsuario!B:D,2,FALSE)</f>
        <v>Administración y Finanzas</v>
      </c>
      <c r="E4" t="str">
        <f>VLOOKUP(A4,DataUsuario!B:D,3,FALSE)</f>
        <v>Control de Gestión</v>
      </c>
      <c r="F4" t="s">
        <v>66</v>
      </c>
      <c r="G4" t="s">
        <v>8</v>
      </c>
    </row>
    <row r="5" spans="1:10" x14ac:dyDescent="0.3">
      <c r="A5" s="157" t="s">
        <v>145</v>
      </c>
      <c r="B5" t="s">
        <v>8</v>
      </c>
      <c r="C5" s="160">
        <v>4</v>
      </c>
      <c r="D5" t="str">
        <f>VLOOKUP(A5,DataUsuario!B:D,2,FALSE)</f>
        <v>Administración y Finanzas</v>
      </c>
      <c r="E5" t="str">
        <f>VLOOKUP(A5,DataUsuario!B:D,3,FALSE)</f>
        <v>Legal</v>
      </c>
      <c r="F5" t="s">
        <v>66</v>
      </c>
      <c r="G5" t="s">
        <v>9</v>
      </c>
    </row>
    <row r="6" spans="1:10" x14ac:dyDescent="0.3">
      <c r="A6" s="156" t="s">
        <v>341</v>
      </c>
      <c r="B6" t="s">
        <v>8</v>
      </c>
      <c r="C6" s="159">
        <v>5</v>
      </c>
      <c r="D6" t="str">
        <f>VLOOKUP(A6,DataUsuario!B:D,2,FALSE)</f>
        <v>Administración y Finanzas</v>
      </c>
      <c r="E6" t="str">
        <f>VLOOKUP(A6,DataUsuario!B:D,3,FALSE)</f>
        <v>Contabilidad Tributaria</v>
      </c>
      <c r="F6" t="s">
        <v>66</v>
      </c>
      <c r="G6" t="s">
        <v>10</v>
      </c>
    </row>
    <row r="7" spans="1:10" x14ac:dyDescent="0.3">
      <c r="A7" s="157" t="s">
        <v>115</v>
      </c>
      <c r="B7" t="s">
        <v>8</v>
      </c>
      <c r="C7" s="160">
        <v>4</v>
      </c>
      <c r="D7" t="str">
        <f>VLOOKUP(A7,DataUsuario!B:D,2,FALSE)</f>
        <v>Industrial y de Mantenimiento</v>
      </c>
      <c r="E7" t="str">
        <f>VLOOKUP(A7,DataUsuario!B:D,3,FALSE)</f>
        <v>Mantenimiento de Transportes</v>
      </c>
      <c r="F7" t="s">
        <v>74</v>
      </c>
      <c r="G7" t="s">
        <v>11</v>
      </c>
    </row>
    <row r="8" spans="1:10" x14ac:dyDescent="0.3">
      <c r="A8" s="156" t="s">
        <v>299</v>
      </c>
      <c r="B8" t="s">
        <v>8</v>
      </c>
      <c r="C8" s="159">
        <v>4</v>
      </c>
      <c r="D8" t="str">
        <f>VLOOKUP(A8,DataUsuario!B:D,2,FALSE)</f>
        <v>Administración y Finanzas</v>
      </c>
      <c r="E8" t="str">
        <f>VLOOKUP(A8,DataUsuario!B:D,3,FALSE)</f>
        <v>Legal</v>
      </c>
      <c r="F8" t="s">
        <v>66</v>
      </c>
    </row>
    <row r="9" spans="1:10" x14ac:dyDescent="0.3">
      <c r="A9" s="157" t="s">
        <v>322</v>
      </c>
      <c r="B9" t="s">
        <v>8</v>
      </c>
      <c r="C9" s="160">
        <v>4</v>
      </c>
      <c r="D9" t="str">
        <f>VLOOKUP(A9,DataUsuario!B:D,2,FALSE)</f>
        <v>Administración y Finanzas</v>
      </c>
      <c r="E9" t="str">
        <f>VLOOKUP(A9,DataUsuario!B:D,3,FALSE)</f>
        <v>Finanzas y Tesorería</v>
      </c>
      <c r="F9" t="s">
        <v>66</v>
      </c>
    </row>
    <row r="10" spans="1:10" x14ac:dyDescent="0.3">
      <c r="A10" s="156" t="s">
        <v>138</v>
      </c>
      <c r="B10" t="s">
        <v>8</v>
      </c>
      <c r="C10" s="159">
        <v>4</v>
      </c>
      <c r="D10" t="str">
        <f>VLOOKUP(A10,DataUsuario!B:D,2,FALSE)</f>
        <v>Gestión Humana y Sostenibilidad</v>
      </c>
      <c r="E10" t="str">
        <f>VLOOKUP(A10,DataUsuario!B:D,3,FALSE)</f>
        <v>Gestion del Talento</v>
      </c>
      <c r="F10" t="s">
        <v>62</v>
      </c>
      <c r="I10" s="174" t="s">
        <v>5</v>
      </c>
      <c r="J10" t="s">
        <v>669</v>
      </c>
    </row>
    <row r="11" spans="1:10" x14ac:dyDescent="0.3">
      <c r="A11" s="157" t="s">
        <v>595</v>
      </c>
      <c r="B11" t="s">
        <v>8</v>
      </c>
      <c r="C11" s="160">
        <v>4</v>
      </c>
      <c r="D11" t="str">
        <f>VLOOKUP(A11,DataUsuario!B:D,2,FALSE)</f>
        <v>Operaciones</v>
      </c>
      <c r="E11" t="str">
        <f>VLOOKUP(A11,DataUsuario!B:D,3,FALSE)</f>
        <v>Transporte</v>
      </c>
      <c r="F11" t="s">
        <v>70</v>
      </c>
    </row>
    <row r="12" spans="1:10" x14ac:dyDescent="0.3">
      <c r="A12" s="156" t="s">
        <v>82</v>
      </c>
      <c r="B12" t="s">
        <v>8</v>
      </c>
      <c r="C12" s="159">
        <v>4</v>
      </c>
      <c r="D12" t="str">
        <f>VLOOKUP(A12,DataUsuario!B:D,2,FALSE)</f>
        <v>Industrial y de Mantenimiento</v>
      </c>
      <c r="E12" t="str">
        <f>VLOOKUP(A12,DataUsuario!B:D,3,FALSE)</f>
        <v>Producción</v>
      </c>
      <c r="F12" t="s">
        <v>74</v>
      </c>
      <c r="I12" s="174" t="s">
        <v>666</v>
      </c>
      <c r="J12" t="s">
        <v>668</v>
      </c>
    </row>
    <row r="13" spans="1:10" x14ac:dyDescent="0.3">
      <c r="A13" s="157" t="s">
        <v>378</v>
      </c>
      <c r="B13" t="s">
        <v>8</v>
      </c>
      <c r="C13" s="160">
        <v>4</v>
      </c>
      <c r="D13" t="str">
        <f>VLOOKUP(A13,DataUsuario!B:D,2,FALSE)</f>
        <v>Industrial y de Mantenimiento</v>
      </c>
      <c r="E13" t="str">
        <f>VLOOKUP(A13,DataUsuario!B:D,3,FALSE)</f>
        <v>Gerencia industrial y de Mantenimiento</v>
      </c>
      <c r="F13" t="s">
        <v>74</v>
      </c>
      <c r="I13" s="146" t="s">
        <v>11</v>
      </c>
      <c r="J13">
        <v>96</v>
      </c>
    </row>
    <row r="14" spans="1:10" x14ac:dyDescent="0.3">
      <c r="A14" s="156" t="s">
        <v>435</v>
      </c>
      <c r="B14" t="s">
        <v>8</v>
      </c>
      <c r="C14" s="159">
        <v>5</v>
      </c>
      <c r="D14" t="str">
        <f>VLOOKUP(A14,DataUsuario!B:D,2,FALSE)</f>
        <v>Operaciones</v>
      </c>
      <c r="E14" t="str">
        <f>VLOOKUP(A14,DataUsuario!B:D,3,FALSE)</f>
        <v>Almacenes y Distribución PT</v>
      </c>
      <c r="F14" t="s">
        <v>70</v>
      </c>
      <c r="I14" s="175">
        <v>2</v>
      </c>
      <c r="J14">
        <v>2</v>
      </c>
    </row>
    <row r="15" spans="1:10" x14ac:dyDescent="0.3">
      <c r="A15" s="157" t="s">
        <v>431</v>
      </c>
      <c r="B15" t="s">
        <v>8</v>
      </c>
      <c r="C15" s="160">
        <v>4</v>
      </c>
      <c r="D15" t="str">
        <f>VLOOKUP(A15,DataUsuario!B:D,2,FALSE)</f>
        <v>Agrícola</v>
      </c>
      <c r="E15" t="str">
        <f>VLOOKUP(A15,DataUsuario!B:D,3,FALSE)</f>
        <v>Fundo San Vicente</v>
      </c>
      <c r="F15" t="s">
        <v>89</v>
      </c>
      <c r="I15" s="175">
        <v>3</v>
      </c>
      <c r="J15">
        <v>9</v>
      </c>
    </row>
    <row r="16" spans="1:10" x14ac:dyDescent="0.3">
      <c r="A16" s="156" t="s">
        <v>133</v>
      </c>
      <c r="B16" t="s">
        <v>8</v>
      </c>
      <c r="C16" s="159">
        <v>4</v>
      </c>
      <c r="D16" t="str">
        <f>VLOOKUP(A16,DataUsuario!B:D,2,FALSE)</f>
        <v>Industrial y de Mantenimiento</v>
      </c>
      <c r="E16" t="str">
        <f>VLOOKUP(A16,DataUsuario!B:D,3,FALSE)</f>
        <v>Electricidad</v>
      </c>
      <c r="F16" t="s">
        <v>74</v>
      </c>
      <c r="I16" s="175">
        <v>4</v>
      </c>
      <c r="J16">
        <v>39</v>
      </c>
    </row>
    <row r="17" spans="1:10" x14ac:dyDescent="0.3">
      <c r="A17" s="157" t="s">
        <v>598</v>
      </c>
      <c r="B17" t="s">
        <v>8</v>
      </c>
      <c r="C17" s="160">
        <v>4</v>
      </c>
      <c r="D17" t="str">
        <f>VLOOKUP(A17,DataUsuario!B:D,2,FALSE)</f>
        <v>Agrícola</v>
      </c>
      <c r="E17" t="str">
        <f>VLOOKUP(A17,DataUsuario!B:D,3,FALSE)</f>
        <v>Fundo San Vicente</v>
      </c>
      <c r="F17" t="s">
        <v>89</v>
      </c>
      <c r="I17" s="175">
        <v>5</v>
      </c>
      <c r="J17">
        <v>37</v>
      </c>
    </row>
    <row r="18" spans="1:10" x14ac:dyDescent="0.3">
      <c r="A18" s="156" t="s">
        <v>221</v>
      </c>
      <c r="B18" t="s">
        <v>8</v>
      </c>
      <c r="C18" s="159">
        <v>5</v>
      </c>
      <c r="D18" t="str">
        <f>VLOOKUP(A18,DataUsuario!B:D,2,FALSE)</f>
        <v>Administración y Finanzas</v>
      </c>
      <c r="E18" t="str">
        <f>VLOOKUP(A18,DataUsuario!B:D,3,FALSE)</f>
        <v>Sistemas y TI</v>
      </c>
      <c r="F18" t="s">
        <v>66</v>
      </c>
      <c r="I18" s="175" t="s">
        <v>655</v>
      </c>
      <c r="J18">
        <v>9</v>
      </c>
    </row>
    <row r="19" spans="1:10" x14ac:dyDescent="0.3">
      <c r="A19" s="157" t="s">
        <v>376</v>
      </c>
      <c r="B19" t="s">
        <v>8</v>
      </c>
      <c r="C19" s="160">
        <v>5</v>
      </c>
      <c r="D19" t="str">
        <f>VLOOKUP(A19,DataUsuario!B:D,2,FALSE)</f>
        <v>Administración y Finanzas</v>
      </c>
      <c r="E19" t="str">
        <f>VLOOKUP(A19,DataUsuario!B:D,3,FALSE)</f>
        <v>Control de Gestión</v>
      </c>
      <c r="F19" t="s">
        <v>66</v>
      </c>
      <c r="I19" s="146" t="s">
        <v>8</v>
      </c>
      <c r="J19">
        <v>96</v>
      </c>
    </row>
    <row r="20" spans="1:10" x14ac:dyDescent="0.3">
      <c r="A20" s="156" t="s">
        <v>207</v>
      </c>
      <c r="B20" t="s">
        <v>8</v>
      </c>
      <c r="C20" s="159">
        <v>4</v>
      </c>
      <c r="D20" t="str">
        <f>VLOOKUP(A20,DataUsuario!B:D,2,FALSE)</f>
        <v>Administración y Finanzas</v>
      </c>
      <c r="E20" t="str">
        <f>VLOOKUP(A20,DataUsuario!B:D,3,FALSE)</f>
        <v>Riesgos y Cumplimiento</v>
      </c>
      <c r="F20" t="s">
        <v>66</v>
      </c>
      <c r="I20" s="175">
        <v>1</v>
      </c>
      <c r="J20">
        <v>1</v>
      </c>
    </row>
    <row r="21" spans="1:10" x14ac:dyDescent="0.3">
      <c r="A21" s="157" t="s">
        <v>170</v>
      </c>
      <c r="B21" t="s">
        <v>8</v>
      </c>
      <c r="C21" s="160">
        <v>4</v>
      </c>
      <c r="D21" t="str">
        <f>VLOOKUP(A21,DataUsuario!B:D,2,FALSE)</f>
        <v>Operaciones</v>
      </c>
      <c r="E21" t="str">
        <f>VLOOKUP(A21,DataUsuario!B:D,3,FALSE)</f>
        <v>Mantenimiento CAT</v>
      </c>
      <c r="F21" t="s">
        <v>70</v>
      </c>
      <c r="I21" s="175">
        <v>2</v>
      </c>
      <c r="J21">
        <v>4</v>
      </c>
    </row>
    <row r="22" spans="1:10" x14ac:dyDescent="0.3">
      <c r="A22" s="156" t="s">
        <v>603</v>
      </c>
      <c r="B22" t="s">
        <v>8</v>
      </c>
      <c r="C22" s="159">
        <v>4</v>
      </c>
      <c r="D22" t="str">
        <f>VLOOKUP(A22,DataUsuario!B:D,2,FALSE)</f>
        <v>Agrícola</v>
      </c>
      <c r="E22" t="str">
        <f>VLOOKUP(A22,DataUsuario!B:D,3,FALSE)</f>
        <v>Mantenimiento de Riego y Bombas</v>
      </c>
      <c r="F22" t="s">
        <v>89</v>
      </c>
      <c r="I22" s="175">
        <v>3</v>
      </c>
      <c r="J22">
        <v>14</v>
      </c>
    </row>
    <row r="23" spans="1:10" x14ac:dyDescent="0.3">
      <c r="A23" s="157" t="s">
        <v>318</v>
      </c>
      <c r="B23" t="s">
        <v>8</v>
      </c>
      <c r="C23" s="160">
        <v>2</v>
      </c>
      <c r="D23" t="str">
        <f>VLOOKUP(A23,DataUsuario!B:D,2,FALSE)</f>
        <v>Operaciones</v>
      </c>
      <c r="E23" t="str">
        <f>VLOOKUP(A23,DataUsuario!B:D,3,FALSE)</f>
        <v>Cosecha</v>
      </c>
      <c r="F23" t="s">
        <v>70</v>
      </c>
      <c r="I23" s="175">
        <v>4</v>
      </c>
      <c r="J23">
        <v>40</v>
      </c>
    </row>
    <row r="24" spans="1:10" x14ac:dyDescent="0.3">
      <c r="A24" s="156" t="s">
        <v>604</v>
      </c>
      <c r="B24" t="s">
        <v>8</v>
      </c>
      <c r="C24" s="159">
        <v>5</v>
      </c>
      <c r="D24" t="str">
        <f>VLOOKUP(A24,DataUsuario!B:D,2,FALSE)</f>
        <v>Industrial y de Mantenimiento</v>
      </c>
      <c r="E24" t="str">
        <f>VLOOKUP(A24,DataUsuario!B:D,3,FALSE)</f>
        <v>Mantenimiento Industrial</v>
      </c>
      <c r="F24" t="s">
        <v>74</v>
      </c>
      <c r="I24" s="175">
        <v>5</v>
      </c>
      <c r="J24">
        <v>36</v>
      </c>
    </row>
    <row r="25" spans="1:10" x14ac:dyDescent="0.3">
      <c r="A25" s="157" t="s">
        <v>312</v>
      </c>
      <c r="B25" t="s">
        <v>8</v>
      </c>
      <c r="C25" s="160">
        <v>5</v>
      </c>
      <c r="D25" t="str">
        <f>VLOOKUP(A25,DataUsuario!B:D,2,FALSE)</f>
        <v>Operaciones</v>
      </c>
      <c r="E25" t="str">
        <f>VLOOKUP(A25,DataUsuario!B:D,3,FALSE)</f>
        <v>Calidad</v>
      </c>
      <c r="F25" t="s">
        <v>70</v>
      </c>
      <c r="I25" s="175" t="s">
        <v>655</v>
      </c>
      <c r="J25">
        <v>1</v>
      </c>
    </row>
    <row r="26" spans="1:10" x14ac:dyDescent="0.3">
      <c r="A26" s="156" t="s">
        <v>176</v>
      </c>
      <c r="B26" t="s">
        <v>8</v>
      </c>
      <c r="C26" s="159">
        <v>5</v>
      </c>
      <c r="D26" t="str">
        <f>VLOOKUP(A26,DataUsuario!B:D,2,FALSE)</f>
        <v>Administración y Finanzas</v>
      </c>
      <c r="E26" t="str">
        <f>VLOOKUP(A26,DataUsuario!B:D,3,FALSE)</f>
        <v>Cadenas Productivas</v>
      </c>
      <c r="F26" t="s">
        <v>66</v>
      </c>
      <c r="I26" s="146" t="s">
        <v>9</v>
      </c>
      <c r="J26">
        <v>96</v>
      </c>
    </row>
    <row r="27" spans="1:10" x14ac:dyDescent="0.3">
      <c r="A27" s="157" t="s">
        <v>337</v>
      </c>
      <c r="B27" t="s">
        <v>8</v>
      </c>
      <c r="C27" s="160">
        <v>5</v>
      </c>
      <c r="D27" t="str">
        <f>VLOOKUP(A27,DataUsuario!B:D,2,FALSE)</f>
        <v>Agrícola</v>
      </c>
      <c r="E27" t="str">
        <f>VLOOKUP(A27,DataUsuario!B:D,3,FALSE)</f>
        <v>Fundo San Vicente</v>
      </c>
      <c r="F27" t="s">
        <v>89</v>
      </c>
      <c r="I27" s="175">
        <v>3</v>
      </c>
      <c r="J27">
        <v>9</v>
      </c>
    </row>
    <row r="28" spans="1:10" x14ac:dyDescent="0.3">
      <c r="A28" s="156" t="s">
        <v>374</v>
      </c>
      <c r="B28" t="s">
        <v>8</v>
      </c>
      <c r="C28" s="159">
        <v>4</v>
      </c>
      <c r="D28" t="str">
        <f>VLOOKUP(A28,DataUsuario!B:D,2,FALSE)</f>
        <v>Agrícola</v>
      </c>
      <c r="E28" t="str">
        <f>VLOOKUP(A28,DataUsuario!B:D,3,FALSE)</f>
        <v>Mantenimiento de Riego y Bombas</v>
      </c>
      <c r="F28" t="s">
        <v>89</v>
      </c>
      <c r="I28" s="175">
        <v>4</v>
      </c>
      <c r="J28">
        <v>25</v>
      </c>
    </row>
    <row r="29" spans="1:10" x14ac:dyDescent="0.3">
      <c r="A29" s="157" t="s">
        <v>236</v>
      </c>
      <c r="B29" t="s">
        <v>8</v>
      </c>
      <c r="C29" s="160">
        <v>4</v>
      </c>
      <c r="D29" t="str">
        <f>VLOOKUP(A29,DataUsuario!B:D,2,FALSE)</f>
        <v>Administración y Finanzas</v>
      </c>
      <c r="E29" t="str">
        <f>VLOOKUP(A29,DataUsuario!B:D,3,FALSE)</f>
        <v>Sistemas y TI</v>
      </c>
      <c r="F29" t="s">
        <v>66</v>
      </c>
      <c r="I29" s="175">
        <v>5</v>
      </c>
      <c r="J29">
        <v>30</v>
      </c>
    </row>
    <row r="30" spans="1:10" x14ac:dyDescent="0.3">
      <c r="A30" s="156" t="s">
        <v>423</v>
      </c>
      <c r="B30" t="s">
        <v>8</v>
      </c>
      <c r="C30" s="159">
        <v>3</v>
      </c>
      <c r="D30" t="str">
        <f>VLOOKUP(A30,DataUsuario!B:D,2,FALSE)</f>
        <v>Industrial y de Mantenimiento</v>
      </c>
      <c r="E30" t="str">
        <f>VLOOKUP(A30,DataUsuario!B:D,3,FALSE)</f>
        <v>Producción</v>
      </c>
      <c r="F30" t="s">
        <v>74</v>
      </c>
      <c r="I30" s="175" t="s">
        <v>655</v>
      </c>
      <c r="J30">
        <v>32</v>
      </c>
    </row>
    <row r="31" spans="1:10" x14ac:dyDescent="0.3">
      <c r="A31" s="157" t="s">
        <v>271</v>
      </c>
      <c r="B31" t="s">
        <v>8</v>
      </c>
      <c r="C31" s="160">
        <v>2</v>
      </c>
      <c r="D31" t="str">
        <f>VLOOKUP(A31,DataUsuario!B:D,2,FALSE)</f>
        <v>Operaciones</v>
      </c>
      <c r="E31" t="str">
        <f>VLOOKUP(A31,DataUsuario!B:D,3,FALSE)</f>
        <v>Calidad</v>
      </c>
      <c r="F31" t="s">
        <v>70</v>
      </c>
      <c r="I31" s="146" t="s">
        <v>10</v>
      </c>
      <c r="J31">
        <v>96</v>
      </c>
    </row>
    <row r="32" spans="1:10" x14ac:dyDescent="0.3">
      <c r="A32" s="156" t="s">
        <v>258</v>
      </c>
      <c r="B32" t="s">
        <v>8</v>
      </c>
      <c r="C32" s="159">
        <v>2</v>
      </c>
      <c r="D32" t="str">
        <f>VLOOKUP(A32,DataUsuario!B:D,2,FALSE)</f>
        <v>Operaciones</v>
      </c>
      <c r="E32" t="str">
        <f>VLOOKUP(A32,DataUsuario!B:D,3,FALSE)</f>
        <v>Calidad</v>
      </c>
      <c r="F32" t="s">
        <v>70</v>
      </c>
      <c r="I32" s="175">
        <v>3</v>
      </c>
      <c r="J32">
        <v>8</v>
      </c>
    </row>
    <row r="33" spans="1:10" x14ac:dyDescent="0.3">
      <c r="A33" s="157" t="s">
        <v>612</v>
      </c>
      <c r="B33" t="s">
        <v>8</v>
      </c>
      <c r="C33" s="160">
        <v>5</v>
      </c>
      <c r="D33" t="str">
        <f>VLOOKUP(A33,DataUsuario!B:D,2,FALSE)</f>
        <v>Gestión Humana y Sostenibilidad</v>
      </c>
      <c r="E33" t="str">
        <f>VLOOKUP(A33,DataUsuario!B:D,3,FALSE)</f>
        <v>Gestor de Recursos Humanos</v>
      </c>
      <c r="F33" t="s">
        <v>62</v>
      </c>
      <c r="I33" s="175">
        <v>4</v>
      </c>
      <c r="J33">
        <v>42</v>
      </c>
    </row>
    <row r="34" spans="1:10" x14ac:dyDescent="0.3">
      <c r="A34" s="156" t="s">
        <v>614</v>
      </c>
      <c r="B34" t="s">
        <v>8</v>
      </c>
      <c r="C34" s="159">
        <v>3</v>
      </c>
      <c r="D34" t="str">
        <f>VLOOKUP(A34,DataUsuario!B:D,2,FALSE)</f>
        <v>Administración y Finanzas</v>
      </c>
      <c r="E34" t="str">
        <f>VLOOKUP(A34,DataUsuario!B:D,3,FALSE)</f>
        <v>Sistemas y TI</v>
      </c>
      <c r="F34" t="s">
        <v>66</v>
      </c>
      <c r="I34" s="175">
        <v>5</v>
      </c>
      <c r="J34">
        <v>37</v>
      </c>
    </row>
    <row r="35" spans="1:10" x14ac:dyDescent="0.3">
      <c r="A35" s="157" t="s">
        <v>242</v>
      </c>
      <c r="B35" t="s">
        <v>8</v>
      </c>
      <c r="C35" s="160">
        <v>3</v>
      </c>
      <c r="D35" t="str">
        <f>VLOOKUP(A35,DataUsuario!B:D,2,FALSE)</f>
        <v>Agrícola</v>
      </c>
      <c r="E35" t="str">
        <f>VLOOKUP(A35,DataUsuario!B:D,3,FALSE)</f>
        <v>Fundo Montelima</v>
      </c>
      <c r="F35" t="s">
        <v>89</v>
      </c>
      <c r="I35" s="175" t="s">
        <v>655</v>
      </c>
      <c r="J35">
        <v>9</v>
      </c>
    </row>
    <row r="36" spans="1:10" x14ac:dyDescent="0.3">
      <c r="A36" s="156" t="s">
        <v>196</v>
      </c>
      <c r="B36" t="s">
        <v>8</v>
      </c>
      <c r="C36" s="159">
        <v>5</v>
      </c>
      <c r="D36" t="str">
        <f>VLOOKUP(A36,DataUsuario!B:D,2,FALSE)</f>
        <v>Agrícola</v>
      </c>
      <c r="E36" t="str">
        <f>VLOOKUP(A36,DataUsuario!B:D,3,FALSE)</f>
        <v>Mantenimiento de Riego y Bombas</v>
      </c>
      <c r="F36" t="s">
        <v>89</v>
      </c>
      <c r="I36" s="146" t="s">
        <v>667</v>
      </c>
      <c r="J36">
        <v>384</v>
      </c>
    </row>
    <row r="37" spans="1:10" x14ac:dyDescent="0.3">
      <c r="A37" s="157" t="s">
        <v>224</v>
      </c>
      <c r="B37" t="s">
        <v>8</v>
      </c>
      <c r="C37" s="160">
        <v>5</v>
      </c>
      <c r="D37" t="str">
        <f>VLOOKUP(A37,DataUsuario!B:D,2,FALSE)</f>
        <v>Agrícola</v>
      </c>
      <c r="E37" t="str">
        <f>VLOOKUP(A37,DataUsuario!B:D,3,FALSE)</f>
        <v>Laboratorio e Investigación Agricola</v>
      </c>
      <c r="F37" t="s">
        <v>89</v>
      </c>
    </row>
    <row r="38" spans="1:10" x14ac:dyDescent="0.3">
      <c r="A38" s="156" t="s">
        <v>385</v>
      </c>
      <c r="B38" t="s">
        <v>8</v>
      </c>
      <c r="C38" s="159">
        <v>5</v>
      </c>
      <c r="D38" t="str">
        <f>VLOOKUP(A38,DataUsuario!B:D,2,FALSE)</f>
        <v>Agrícola</v>
      </c>
      <c r="E38" t="str">
        <f>VLOOKUP(A38,DataUsuario!B:D,3,FALSE)</f>
        <v>Fundo Montelima</v>
      </c>
      <c r="F38" t="s">
        <v>89</v>
      </c>
    </row>
    <row r="39" spans="1:10" x14ac:dyDescent="0.3">
      <c r="A39" s="157" t="s">
        <v>183</v>
      </c>
      <c r="B39" t="s">
        <v>8</v>
      </c>
      <c r="C39" s="160">
        <v>4</v>
      </c>
      <c r="D39" t="str">
        <f>VLOOKUP(A39,DataUsuario!B:D,2,FALSE)</f>
        <v>Agrícola</v>
      </c>
      <c r="E39" t="str">
        <f>VLOOKUP(A39,DataUsuario!B:D,3,FALSE)</f>
        <v>Planificador Agrícola</v>
      </c>
      <c r="F39" t="s">
        <v>89</v>
      </c>
    </row>
    <row r="40" spans="1:10" x14ac:dyDescent="0.3">
      <c r="A40" s="156" t="s">
        <v>617</v>
      </c>
      <c r="B40" t="s">
        <v>8</v>
      </c>
      <c r="C40" s="159">
        <v>4</v>
      </c>
      <c r="D40" t="str">
        <f>VLOOKUP(A40,DataUsuario!B:D,2,FALSE)</f>
        <v>Gestión Humana y Sostenibilidad</v>
      </c>
      <c r="E40" t="str">
        <f>VLOOKUP(A40,DataUsuario!B:D,3,FALSE)</f>
        <v>Seguridad</v>
      </c>
      <c r="F40" t="s">
        <v>62</v>
      </c>
    </row>
    <row r="41" spans="1:10" x14ac:dyDescent="0.3">
      <c r="A41" s="157" t="s">
        <v>383</v>
      </c>
      <c r="B41" t="s">
        <v>8</v>
      </c>
      <c r="C41" s="160">
        <v>4</v>
      </c>
      <c r="D41" t="str">
        <f>VLOOKUP(A41,DataUsuario!B:D,2,FALSE)</f>
        <v>Agrícola</v>
      </c>
      <c r="E41" t="str">
        <f>VLOOKUP(A41,DataUsuario!B:D,3,FALSE)</f>
        <v>Fundo Lobo</v>
      </c>
      <c r="F41" t="s">
        <v>89</v>
      </c>
    </row>
    <row r="42" spans="1:10" x14ac:dyDescent="0.3">
      <c r="A42" s="156" t="s">
        <v>289</v>
      </c>
      <c r="B42" t="s">
        <v>8</v>
      </c>
      <c r="C42" s="159">
        <v>4</v>
      </c>
      <c r="D42" t="str">
        <f>VLOOKUP(A42,DataUsuario!B:D,2,FALSE)</f>
        <v>Agrícola</v>
      </c>
      <c r="E42" t="str">
        <f>VLOOKUP(A42,DataUsuario!B:D,3,FALSE)</f>
        <v>Mantenimiento de Riego y Bombas</v>
      </c>
      <c r="F42" t="s">
        <v>89</v>
      </c>
    </row>
    <row r="43" spans="1:10" x14ac:dyDescent="0.3">
      <c r="A43" s="157" t="s">
        <v>158</v>
      </c>
      <c r="B43" t="s">
        <v>8</v>
      </c>
      <c r="C43" s="160">
        <v>1</v>
      </c>
      <c r="D43" t="str">
        <f>VLOOKUP(A43,DataUsuario!B:D,2,FALSE)</f>
        <v>Operaciones</v>
      </c>
      <c r="E43" t="str">
        <f>VLOOKUP(A43,DataUsuario!B:D,3,FALSE)</f>
        <v>Calidad</v>
      </c>
      <c r="F43" t="s">
        <v>70</v>
      </c>
    </row>
    <row r="44" spans="1:10" x14ac:dyDescent="0.3">
      <c r="A44" s="156" t="s">
        <v>279</v>
      </c>
      <c r="B44" t="s">
        <v>8</v>
      </c>
      <c r="C44" s="159">
        <v>3</v>
      </c>
      <c r="D44" t="str">
        <f>VLOOKUP(A44,DataUsuario!B:D,2,FALSE)</f>
        <v>Operaciones</v>
      </c>
      <c r="E44" t="str">
        <f>VLOOKUP(A44,DataUsuario!B:D,3,FALSE)</f>
        <v>Transporte</v>
      </c>
      <c r="F44" t="s">
        <v>70</v>
      </c>
    </row>
    <row r="45" spans="1:10" x14ac:dyDescent="0.3">
      <c r="A45" s="157" t="s">
        <v>164</v>
      </c>
      <c r="B45" t="s">
        <v>8</v>
      </c>
      <c r="C45" s="160">
        <v>5</v>
      </c>
      <c r="D45" t="str">
        <f>VLOOKUP(A45,DataUsuario!B:D,2,FALSE)</f>
        <v>Agrícola</v>
      </c>
      <c r="E45" t="str">
        <f>VLOOKUP(A45,DataUsuario!B:D,3,FALSE)</f>
        <v>Fundo San Vicente</v>
      </c>
      <c r="F45" t="s">
        <v>89</v>
      </c>
    </row>
    <row r="46" spans="1:10" x14ac:dyDescent="0.3">
      <c r="A46" s="156" t="s">
        <v>275</v>
      </c>
      <c r="B46" t="s">
        <v>8</v>
      </c>
      <c r="C46" s="159">
        <v>4</v>
      </c>
      <c r="D46" t="str">
        <f>VLOOKUP(A46,DataUsuario!B:D,2,FALSE)</f>
        <v>Administración y Finanzas</v>
      </c>
      <c r="E46" t="str">
        <f>VLOOKUP(A46,DataUsuario!B:D,3,FALSE)</f>
        <v>Compras</v>
      </c>
      <c r="F46" t="s">
        <v>66</v>
      </c>
    </row>
    <row r="47" spans="1:10" x14ac:dyDescent="0.3">
      <c r="A47" s="157" t="s">
        <v>620</v>
      </c>
      <c r="B47" t="s">
        <v>8</v>
      </c>
      <c r="C47" s="160">
        <v>5</v>
      </c>
      <c r="D47" t="str">
        <f>VLOOKUP(A47,DataUsuario!B:D,2,FALSE)</f>
        <v>Administración y Finanzas</v>
      </c>
      <c r="E47" t="str">
        <f>VLOOKUP(A47,DataUsuario!B:D,3,FALSE)</f>
        <v>Sistemas y TI</v>
      </c>
      <c r="F47" t="s">
        <v>66</v>
      </c>
    </row>
    <row r="48" spans="1:10" x14ac:dyDescent="0.3">
      <c r="A48" s="156" t="s">
        <v>343</v>
      </c>
      <c r="B48" t="s">
        <v>8</v>
      </c>
      <c r="C48" s="159">
        <v>5</v>
      </c>
      <c r="D48" t="str">
        <f>VLOOKUP(A48,DataUsuario!B:D,2,FALSE)</f>
        <v>Operaciones</v>
      </c>
      <c r="E48" t="str">
        <f>VLOOKUP(A48,DataUsuario!B:D,3,FALSE)</f>
        <v>Comercial No Giro</v>
      </c>
      <c r="F48" t="s">
        <v>70</v>
      </c>
    </row>
    <row r="49" spans="1:6" x14ac:dyDescent="0.3">
      <c r="A49" s="157" t="s">
        <v>332</v>
      </c>
      <c r="B49" t="s">
        <v>8</v>
      </c>
      <c r="C49" s="160">
        <v>4</v>
      </c>
      <c r="D49" t="str">
        <f>VLOOKUP(A49,DataUsuario!B:D,2,FALSE)</f>
        <v>Agrícola</v>
      </c>
      <c r="E49" t="str">
        <f>VLOOKUP(A49,DataUsuario!B:D,3,FALSE)</f>
        <v>Gerencia Agrícola</v>
      </c>
      <c r="F49" t="s">
        <v>89</v>
      </c>
    </row>
    <row r="50" spans="1:6" x14ac:dyDescent="0.3">
      <c r="A50" s="156" t="s">
        <v>320</v>
      </c>
      <c r="B50" t="s">
        <v>8</v>
      </c>
      <c r="C50" s="159">
        <v>4</v>
      </c>
      <c r="D50" t="str">
        <f>VLOOKUP(A50,DataUsuario!B:D,2,FALSE)</f>
        <v>Gestión Humana y Sostenibilidad</v>
      </c>
      <c r="E50" t="str">
        <f>VLOOKUP(A50,DataUsuario!B:D,3,FALSE)</f>
        <v>Sostenibilidad</v>
      </c>
      <c r="F50" t="s">
        <v>62</v>
      </c>
    </row>
    <row r="51" spans="1:6" x14ac:dyDescent="0.3">
      <c r="A51" s="157" t="s">
        <v>287</v>
      </c>
      <c r="B51" t="s">
        <v>8</v>
      </c>
      <c r="C51" s="160">
        <v>4</v>
      </c>
      <c r="D51" t="str">
        <f>VLOOKUP(A51,DataUsuario!B:D,2,FALSE)</f>
        <v>Operaciones</v>
      </c>
      <c r="E51" t="str">
        <f>VLOOKUP(A51,DataUsuario!B:D,3,FALSE)</f>
        <v>Calidad</v>
      </c>
      <c r="F51" t="s">
        <v>70</v>
      </c>
    </row>
    <row r="52" spans="1:6" x14ac:dyDescent="0.3">
      <c r="A52" s="156" t="s">
        <v>136</v>
      </c>
      <c r="B52" t="s">
        <v>8</v>
      </c>
      <c r="C52" s="159">
        <v>5</v>
      </c>
      <c r="D52" t="str">
        <f>VLOOKUP(A52,DataUsuario!B:D,2,FALSE)</f>
        <v>Operaciones</v>
      </c>
      <c r="E52" t="str">
        <f>VLOOKUP(A52,DataUsuario!B:D,3,FALSE)</f>
        <v>Comercial</v>
      </c>
      <c r="F52" t="s">
        <v>70</v>
      </c>
    </row>
    <row r="53" spans="1:6" x14ac:dyDescent="0.3">
      <c r="A53" s="157" t="s">
        <v>624</v>
      </c>
      <c r="B53" t="s">
        <v>8</v>
      </c>
      <c r="C53" s="160" t="s">
        <v>655</v>
      </c>
      <c r="D53" t="str">
        <f>VLOOKUP(A53,DataUsuario!B:D,2,FALSE)</f>
        <v>Administración y Finanzas</v>
      </c>
      <c r="E53" t="str">
        <f>VLOOKUP(A53,DataUsuario!B:D,3,FALSE)</f>
        <v>Finanzas y Tesorería</v>
      </c>
      <c r="F53" t="s">
        <v>66</v>
      </c>
    </row>
    <row r="54" spans="1:6" x14ac:dyDescent="0.3">
      <c r="A54" s="156" t="s">
        <v>625</v>
      </c>
      <c r="B54" t="s">
        <v>8</v>
      </c>
      <c r="C54" s="159">
        <v>5</v>
      </c>
      <c r="D54" t="str">
        <f>VLOOKUP(A54,DataUsuario!B:D,2,FALSE)</f>
        <v>Administración y Finanzas</v>
      </c>
      <c r="E54" t="str">
        <f>VLOOKUP(A54,DataUsuario!B:D,3,FALSE)</f>
        <v>Sistemas y TI</v>
      </c>
      <c r="F54" t="s">
        <v>66</v>
      </c>
    </row>
    <row r="55" spans="1:6" x14ac:dyDescent="0.3">
      <c r="A55" s="157" t="s">
        <v>85</v>
      </c>
      <c r="B55" t="s">
        <v>8</v>
      </c>
      <c r="C55" s="160">
        <v>5</v>
      </c>
      <c r="D55" t="str">
        <f>VLOOKUP(A55,DataUsuario!B:D,2,FALSE)</f>
        <v>Operaciones</v>
      </c>
      <c r="E55" t="str">
        <f>VLOOKUP(A55,DataUsuario!B:D,3,FALSE)</f>
        <v>Comercial</v>
      </c>
      <c r="F55" t="s">
        <v>70</v>
      </c>
    </row>
    <row r="56" spans="1:6" x14ac:dyDescent="0.3">
      <c r="A56" s="156" t="s">
        <v>194</v>
      </c>
      <c r="B56" t="s">
        <v>8</v>
      </c>
      <c r="C56" s="159">
        <v>5</v>
      </c>
      <c r="D56" t="str">
        <f>VLOOKUP(A56,DataUsuario!B:D,2,FALSE)</f>
        <v>Operaciones</v>
      </c>
      <c r="E56" t="str">
        <f>VLOOKUP(A56,DataUsuario!B:D,3,FALSE)</f>
        <v>Almacenes y Distribución PT</v>
      </c>
      <c r="F56" t="s">
        <v>70</v>
      </c>
    </row>
    <row r="57" spans="1:6" x14ac:dyDescent="0.3">
      <c r="A57" s="157" t="s">
        <v>205</v>
      </c>
      <c r="B57" t="s">
        <v>8</v>
      </c>
      <c r="C57" s="160">
        <v>4</v>
      </c>
      <c r="D57" t="str">
        <f>VLOOKUP(A57,DataUsuario!B:D,2,FALSE)</f>
        <v>Operaciones</v>
      </c>
      <c r="E57" t="str">
        <f>VLOOKUP(A57,DataUsuario!B:D,3,FALSE)</f>
        <v>Almacenes y Distribución PT</v>
      </c>
      <c r="F57" t="s">
        <v>70</v>
      </c>
    </row>
    <row r="58" spans="1:6" x14ac:dyDescent="0.3">
      <c r="A58" s="156" t="s">
        <v>307</v>
      </c>
      <c r="B58" t="s">
        <v>8</v>
      </c>
      <c r="C58" s="159">
        <v>4</v>
      </c>
      <c r="D58" t="str">
        <f>VLOOKUP(A58,DataUsuario!B:D,2,FALSE)</f>
        <v>Gestión Humana y Sostenibilidad</v>
      </c>
      <c r="E58" t="str">
        <f>VLOOKUP(A58,DataUsuario!B:D,3,FALSE)</f>
        <v>Comunicaciones y Responsabilidad Social</v>
      </c>
      <c r="F58" t="s">
        <v>62</v>
      </c>
    </row>
    <row r="59" spans="1:6" x14ac:dyDescent="0.3">
      <c r="A59" s="157" t="s">
        <v>407</v>
      </c>
      <c r="B59" t="s">
        <v>8</v>
      </c>
      <c r="C59" s="160">
        <v>4</v>
      </c>
      <c r="D59" t="str">
        <f>VLOOKUP(A59,DataUsuario!B:D,2,FALSE)</f>
        <v>Agrícola</v>
      </c>
      <c r="E59" t="str">
        <f>VLOOKUP(A59,DataUsuario!B:D,3,FALSE)</f>
        <v>Laboratorio e Investigación Agricola</v>
      </c>
      <c r="F59" t="s">
        <v>89</v>
      </c>
    </row>
    <row r="60" spans="1:6" x14ac:dyDescent="0.3">
      <c r="A60" s="156" t="s">
        <v>256</v>
      </c>
      <c r="B60" t="s">
        <v>8</v>
      </c>
      <c r="C60" s="159">
        <v>4</v>
      </c>
      <c r="D60" t="str">
        <f>VLOOKUP(A60,DataUsuario!B:D,2,FALSE)</f>
        <v>Agrícola</v>
      </c>
      <c r="E60" t="str">
        <f>VLOOKUP(A60,DataUsuario!B:D,3,FALSE)</f>
        <v>Fundo Montelima</v>
      </c>
      <c r="F60" t="s">
        <v>89</v>
      </c>
    </row>
    <row r="61" spans="1:6" x14ac:dyDescent="0.3">
      <c r="A61" s="157" t="s">
        <v>362</v>
      </c>
      <c r="B61" t="s">
        <v>8</v>
      </c>
      <c r="C61" s="160">
        <v>5</v>
      </c>
      <c r="D61" t="str">
        <f>VLOOKUP(A61,DataUsuario!B:D,2,FALSE)</f>
        <v>Agrícola</v>
      </c>
      <c r="E61" t="str">
        <f>VLOOKUP(A61,DataUsuario!B:D,3,FALSE)</f>
        <v>Fundo Lobo</v>
      </c>
      <c r="F61" t="s">
        <v>89</v>
      </c>
    </row>
    <row r="62" spans="1:6" x14ac:dyDescent="0.3">
      <c r="A62" s="156" t="s">
        <v>439</v>
      </c>
      <c r="B62" t="s">
        <v>8</v>
      </c>
      <c r="C62" s="159">
        <v>3</v>
      </c>
      <c r="D62" t="str">
        <f>VLOOKUP(A62,DataUsuario!B:D,2,FALSE)</f>
        <v>Operaciones</v>
      </c>
      <c r="E62" t="str">
        <f>VLOOKUP(A62,DataUsuario!B:D,3,FALSE)</f>
        <v>Comercial</v>
      </c>
      <c r="F62" t="s">
        <v>70</v>
      </c>
    </row>
    <row r="63" spans="1:6" x14ac:dyDescent="0.3">
      <c r="A63" s="157" t="s">
        <v>198</v>
      </c>
      <c r="B63" t="s">
        <v>8</v>
      </c>
      <c r="C63" s="160">
        <v>5</v>
      </c>
      <c r="D63" t="str">
        <f>VLOOKUP(A63,DataUsuario!B:D,2,FALSE)</f>
        <v>Agrícola</v>
      </c>
      <c r="E63" t="str">
        <f>VLOOKUP(A63,DataUsuario!B:D,3,FALSE)</f>
        <v>Fundo Lobo</v>
      </c>
      <c r="F63" t="s">
        <v>89</v>
      </c>
    </row>
    <row r="64" spans="1:6" x14ac:dyDescent="0.3">
      <c r="A64" s="156" t="s">
        <v>202</v>
      </c>
      <c r="B64" t="s">
        <v>8</v>
      </c>
      <c r="C64" s="159">
        <v>5</v>
      </c>
      <c r="D64" t="str">
        <f>VLOOKUP(A64,DataUsuario!B:D,2,FALSE)</f>
        <v>Agrícola</v>
      </c>
      <c r="E64" t="str">
        <f>VLOOKUP(A64,DataUsuario!B:D,3,FALSE)</f>
        <v>Fundo La Huaca</v>
      </c>
      <c r="F64" t="s">
        <v>89</v>
      </c>
    </row>
    <row r="65" spans="1:6" x14ac:dyDescent="0.3">
      <c r="A65" s="157" t="s">
        <v>345</v>
      </c>
      <c r="B65" t="s">
        <v>8</v>
      </c>
      <c r="C65" s="160">
        <v>4</v>
      </c>
      <c r="D65" t="str">
        <f>VLOOKUP(A65,DataUsuario!B:D,2,FALSE)</f>
        <v>Agrícola</v>
      </c>
      <c r="E65" t="str">
        <f>VLOOKUP(A65,DataUsuario!B:D,3,FALSE)</f>
        <v>Mantenimiento de Riego y Bombas</v>
      </c>
      <c r="F65" t="s">
        <v>89</v>
      </c>
    </row>
    <row r="66" spans="1:6" x14ac:dyDescent="0.3">
      <c r="A66" s="156" t="s">
        <v>251</v>
      </c>
      <c r="B66" t="s">
        <v>8</v>
      </c>
      <c r="C66" s="159">
        <v>2</v>
      </c>
      <c r="D66" t="str">
        <f>VLOOKUP(A66,DataUsuario!B:D,2,FALSE)</f>
        <v>Industrial y de Mantenimiento</v>
      </c>
      <c r="E66" t="str">
        <f>VLOOKUP(A66,DataUsuario!B:D,3,FALSE)</f>
        <v>Automatización</v>
      </c>
      <c r="F66" t="s">
        <v>74</v>
      </c>
    </row>
    <row r="67" spans="1:6" x14ac:dyDescent="0.3">
      <c r="A67" s="157" t="s">
        <v>150</v>
      </c>
      <c r="B67" t="s">
        <v>8</v>
      </c>
      <c r="C67" s="160">
        <v>3</v>
      </c>
      <c r="D67" t="str">
        <f>VLOOKUP(A67,DataUsuario!B:D,2,FALSE)</f>
        <v>Industrial y de Mantenimiento</v>
      </c>
      <c r="E67" t="str">
        <f>VLOOKUP(A67,DataUsuario!B:D,3,FALSE)</f>
        <v>Producción</v>
      </c>
      <c r="F67" t="s">
        <v>74</v>
      </c>
    </row>
    <row r="68" spans="1:6" x14ac:dyDescent="0.3">
      <c r="A68" s="156" t="s">
        <v>200</v>
      </c>
      <c r="B68" t="s">
        <v>8</v>
      </c>
      <c r="C68" s="159">
        <v>4</v>
      </c>
      <c r="D68" t="str">
        <f>VLOOKUP(A68,DataUsuario!B:D,2,FALSE)</f>
        <v>Industrial y de Mantenimiento</v>
      </c>
      <c r="E68" t="str">
        <f>VLOOKUP(A68,DataUsuario!B:D,3,FALSE)</f>
        <v>Electricidad</v>
      </c>
      <c r="F68" t="s">
        <v>74</v>
      </c>
    </row>
    <row r="69" spans="1:6" x14ac:dyDescent="0.3">
      <c r="A69" s="157" t="s">
        <v>305</v>
      </c>
      <c r="B69" t="s">
        <v>8</v>
      </c>
      <c r="C69" s="160">
        <v>3</v>
      </c>
      <c r="D69" t="str">
        <f>VLOOKUP(A69,DataUsuario!B:D,2,FALSE)</f>
        <v>Industrial y de Mantenimiento</v>
      </c>
      <c r="E69" t="str">
        <f>VLOOKUP(A69,DataUsuario!B:D,3,FALSE)</f>
        <v>Producción</v>
      </c>
      <c r="F69" t="s">
        <v>74</v>
      </c>
    </row>
    <row r="70" spans="1:6" x14ac:dyDescent="0.3">
      <c r="A70" s="156" t="s">
        <v>314</v>
      </c>
      <c r="B70" t="s">
        <v>8</v>
      </c>
      <c r="C70" s="159">
        <v>4</v>
      </c>
      <c r="D70" t="str">
        <f>VLOOKUP(A70,DataUsuario!B:D,2,FALSE)</f>
        <v>Industrial y de Mantenimiento</v>
      </c>
      <c r="E70" t="str">
        <f>VLOOKUP(A70,DataUsuario!B:D,3,FALSE)</f>
        <v>Mantenimiento Industrial</v>
      </c>
      <c r="F70" t="s">
        <v>74</v>
      </c>
    </row>
    <row r="71" spans="1:6" x14ac:dyDescent="0.3">
      <c r="A71" s="157" t="s">
        <v>215</v>
      </c>
      <c r="B71" t="s">
        <v>8</v>
      </c>
      <c r="C71" s="160">
        <v>5</v>
      </c>
      <c r="D71" t="str">
        <f>VLOOKUP(A71,DataUsuario!B:D,2,FALSE)</f>
        <v>Gestión Humana y Sostenibilidad</v>
      </c>
      <c r="E71" t="str">
        <f>VLOOKUP(A71,DataUsuario!B:D,3,FALSE)</f>
        <v>Seguridad</v>
      </c>
      <c r="F71" t="s">
        <v>62</v>
      </c>
    </row>
    <row r="72" spans="1:6" x14ac:dyDescent="0.3">
      <c r="A72" s="156" t="s">
        <v>88</v>
      </c>
      <c r="B72" t="s">
        <v>8</v>
      </c>
      <c r="C72" s="159">
        <v>5</v>
      </c>
      <c r="D72" t="str">
        <f>VLOOKUP(A72,DataUsuario!B:D,2,FALSE)</f>
        <v>Agrícola</v>
      </c>
      <c r="E72" t="str">
        <f>VLOOKUP(A72,DataUsuario!B:D,3,FALSE)</f>
        <v>Fundo Lobo</v>
      </c>
      <c r="F72" t="s">
        <v>89</v>
      </c>
    </row>
    <row r="73" spans="1:6" x14ac:dyDescent="0.3">
      <c r="A73" s="157" t="s">
        <v>267</v>
      </c>
      <c r="B73" t="s">
        <v>8</v>
      </c>
      <c r="C73" s="160">
        <v>5</v>
      </c>
      <c r="D73" t="str">
        <f>VLOOKUP(A73,DataUsuario!B:D,2,FALSE)</f>
        <v>Gestión Humana y Sostenibilidad</v>
      </c>
      <c r="E73" t="str">
        <f>VLOOKUP(A73,DataUsuario!B:D,3,FALSE)</f>
        <v>Sostenibilidad</v>
      </c>
      <c r="F73" t="s">
        <v>62</v>
      </c>
    </row>
    <row r="74" spans="1:6" x14ac:dyDescent="0.3">
      <c r="A74" s="156" t="s">
        <v>637</v>
      </c>
      <c r="B74" t="s">
        <v>8</v>
      </c>
      <c r="C74" s="159">
        <v>5</v>
      </c>
      <c r="D74" t="str">
        <f>VLOOKUP(A74,DataUsuario!B:D,2,FALSE)</f>
        <v>Agrícola</v>
      </c>
      <c r="E74" t="str">
        <f>VLOOKUP(A74,DataUsuario!B:D,3,FALSE)</f>
        <v>Mantenimiento de Riego y Bombas</v>
      </c>
      <c r="F74" t="s">
        <v>89</v>
      </c>
    </row>
    <row r="75" spans="1:6" x14ac:dyDescent="0.3">
      <c r="A75" s="157" t="s">
        <v>369</v>
      </c>
      <c r="B75" t="s">
        <v>8</v>
      </c>
      <c r="C75" s="160">
        <v>4</v>
      </c>
      <c r="D75" t="str">
        <f>VLOOKUP(A75,DataUsuario!B:D,2,FALSE)</f>
        <v>Agrícola</v>
      </c>
      <c r="E75" t="str">
        <f>VLOOKUP(A75,DataUsuario!B:D,3,FALSE)</f>
        <v>Sistema Integral de Gestión</v>
      </c>
      <c r="F75" t="s">
        <v>89</v>
      </c>
    </row>
    <row r="76" spans="1:6" x14ac:dyDescent="0.3">
      <c r="A76" s="156" t="s">
        <v>365</v>
      </c>
      <c r="B76" t="s">
        <v>8</v>
      </c>
      <c r="C76" s="159">
        <v>3</v>
      </c>
      <c r="D76" t="str">
        <f>VLOOKUP(A76,DataUsuario!B:D,2,FALSE)</f>
        <v>Operaciones</v>
      </c>
      <c r="E76" t="str">
        <f>VLOOKUP(A76,DataUsuario!B:D,3,FALSE)</f>
        <v>Cosecha</v>
      </c>
      <c r="F76" t="s">
        <v>70</v>
      </c>
    </row>
    <row r="77" spans="1:6" x14ac:dyDescent="0.3">
      <c r="A77" s="157" t="s">
        <v>77</v>
      </c>
      <c r="B77" t="s">
        <v>8</v>
      </c>
      <c r="C77" s="160">
        <v>5</v>
      </c>
      <c r="D77" t="str">
        <f>VLOOKUP(A77,DataUsuario!B:D,2,FALSE)</f>
        <v>Operaciones</v>
      </c>
      <c r="E77" t="str">
        <f>VLOOKUP(A77,DataUsuario!B:D,3,FALSE)</f>
        <v>Comercial No Giro</v>
      </c>
      <c r="F77" t="s">
        <v>70</v>
      </c>
    </row>
    <row r="78" spans="1:6" x14ac:dyDescent="0.3">
      <c r="A78" s="156" t="s">
        <v>639</v>
      </c>
      <c r="B78" t="s">
        <v>8</v>
      </c>
      <c r="C78" s="159">
        <v>4</v>
      </c>
      <c r="D78" t="str">
        <f>VLOOKUP(A78,DataUsuario!B:D,2,FALSE)</f>
        <v>Gestión Humana y Sostenibilidad</v>
      </c>
      <c r="E78" t="str">
        <f>VLOOKUP(A78,DataUsuario!B:D,3,FALSE)</f>
        <v>Bienestar - Medico Ocupacional</v>
      </c>
      <c r="F78" t="s">
        <v>62</v>
      </c>
    </row>
    <row r="79" spans="1:6" x14ac:dyDescent="0.3">
      <c r="A79" s="157" t="s">
        <v>260</v>
      </c>
      <c r="B79" t="s">
        <v>8</v>
      </c>
      <c r="C79" s="160">
        <v>3</v>
      </c>
      <c r="D79" t="str">
        <f>VLOOKUP(A79,DataUsuario!B:D,2,FALSE)</f>
        <v>Industrial y de Mantenimiento</v>
      </c>
      <c r="E79" t="str">
        <f>VLOOKUP(A79,DataUsuario!B:D,3,FALSE)</f>
        <v>Producción</v>
      </c>
      <c r="F79" t="s">
        <v>74</v>
      </c>
    </row>
    <row r="80" spans="1:6" x14ac:dyDescent="0.3">
      <c r="A80" s="156" t="s">
        <v>285</v>
      </c>
      <c r="B80" t="s">
        <v>8</v>
      </c>
      <c r="C80" s="159">
        <v>3</v>
      </c>
      <c r="D80" t="str">
        <f>VLOOKUP(A80,DataUsuario!B:D,2,FALSE)</f>
        <v>Operaciones</v>
      </c>
      <c r="E80" t="str">
        <f>VLOOKUP(A80,DataUsuario!B:D,3,FALSE)</f>
        <v>Comercial</v>
      </c>
      <c r="F80" t="s">
        <v>70</v>
      </c>
    </row>
    <row r="81" spans="1:6" x14ac:dyDescent="0.3">
      <c r="A81" s="157" t="s">
        <v>641</v>
      </c>
      <c r="B81" t="s">
        <v>8</v>
      </c>
      <c r="C81" s="160">
        <v>5</v>
      </c>
      <c r="D81" t="str">
        <f>VLOOKUP(A81,DataUsuario!B:D,2,FALSE)</f>
        <v>Gestión Humana y Sostenibilidad</v>
      </c>
      <c r="E81" t="str">
        <f>VLOOKUP(A81,DataUsuario!B:D,3,FALSE)</f>
        <v>Relaciones Laborales</v>
      </c>
      <c r="F81" t="s">
        <v>62</v>
      </c>
    </row>
    <row r="82" spans="1:6" x14ac:dyDescent="0.3">
      <c r="A82" s="156" t="s">
        <v>642</v>
      </c>
      <c r="B82" t="s">
        <v>8</v>
      </c>
      <c r="C82" s="159">
        <v>4</v>
      </c>
      <c r="D82" t="str">
        <f>VLOOKUP(A82,DataUsuario!B:D,2,FALSE)</f>
        <v>Operaciones</v>
      </c>
      <c r="E82" t="str">
        <f>VLOOKUP(A82,DataUsuario!B:D,3,FALSE)</f>
        <v>Cosecha</v>
      </c>
      <c r="F82" t="s">
        <v>70</v>
      </c>
    </row>
    <row r="83" spans="1:6" x14ac:dyDescent="0.3">
      <c r="A83" s="157" t="s">
        <v>643</v>
      </c>
      <c r="B83" t="s">
        <v>8</v>
      </c>
      <c r="C83" s="160">
        <v>4</v>
      </c>
      <c r="D83" t="str">
        <f>VLOOKUP(A83,DataUsuario!B:D,2,FALSE)</f>
        <v>Gestión Humana y Sostenibilidad</v>
      </c>
      <c r="E83" t="str">
        <f>VLOOKUP(A83,DataUsuario!B:D,3,FALSE)</f>
        <v>Bienestar - Medico Ocupacional</v>
      </c>
      <c r="F83" t="s">
        <v>62</v>
      </c>
    </row>
    <row r="84" spans="1:6" x14ac:dyDescent="0.3">
      <c r="A84" s="156" t="s">
        <v>128</v>
      </c>
      <c r="B84" t="s">
        <v>8</v>
      </c>
      <c r="C84" s="159">
        <v>5</v>
      </c>
      <c r="D84" t="str">
        <f>VLOOKUP(A84,DataUsuario!B:D,2,FALSE)</f>
        <v>Agrícola</v>
      </c>
      <c r="E84" t="str">
        <f>VLOOKUP(A84,DataUsuario!B:D,3,FALSE)</f>
        <v>Fundo Lobo</v>
      </c>
      <c r="F84" t="s">
        <v>89</v>
      </c>
    </row>
    <row r="85" spans="1:6" x14ac:dyDescent="0.3">
      <c r="A85" s="157" t="s">
        <v>326</v>
      </c>
      <c r="B85" t="s">
        <v>8</v>
      </c>
      <c r="C85" s="160">
        <v>3</v>
      </c>
      <c r="D85" t="str">
        <f>VLOOKUP(A85,DataUsuario!B:D,2,FALSE)</f>
        <v>Operaciones</v>
      </c>
      <c r="E85" t="str">
        <f>VLOOKUP(A85,DataUsuario!B:D,3,FALSE)</f>
        <v>Calidad</v>
      </c>
      <c r="F85" t="s">
        <v>70</v>
      </c>
    </row>
    <row r="86" spans="1:6" x14ac:dyDescent="0.3">
      <c r="A86" s="156" t="s">
        <v>162</v>
      </c>
      <c r="B86" t="s">
        <v>8</v>
      </c>
      <c r="C86" s="159">
        <v>5</v>
      </c>
      <c r="D86" t="str">
        <f>VLOOKUP(A86,DataUsuario!B:D,2,FALSE)</f>
        <v>Agrícola</v>
      </c>
      <c r="E86" t="str">
        <f>VLOOKUP(A86,DataUsuario!B:D,3,FALSE)</f>
        <v>Fundo Lobo</v>
      </c>
      <c r="F86" t="s">
        <v>89</v>
      </c>
    </row>
    <row r="87" spans="1:6" x14ac:dyDescent="0.3">
      <c r="A87" s="157" t="s">
        <v>160</v>
      </c>
      <c r="B87" t="s">
        <v>8</v>
      </c>
      <c r="C87" s="160">
        <v>5</v>
      </c>
      <c r="D87" t="str">
        <f>VLOOKUP(A87,DataUsuario!B:D,2,FALSE)</f>
        <v>Agrícola</v>
      </c>
      <c r="E87" t="str">
        <f>VLOOKUP(A87,DataUsuario!B:D,3,FALSE)</f>
        <v>Fundo Lobo</v>
      </c>
      <c r="F87" t="s">
        <v>89</v>
      </c>
    </row>
    <row r="88" spans="1:6" x14ac:dyDescent="0.3">
      <c r="A88" s="156" t="s">
        <v>645</v>
      </c>
      <c r="B88" t="s">
        <v>8</v>
      </c>
      <c r="C88" s="159">
        <v>5</v>
      </c>
      <c r="D88" t="str">
        <f>VLOOKUP(A88,DataUsuario!B:D,2,FALSE)</f>
        <v>Operaciones</v>
      </c>
      <c r="E88" t="str">
        <f>VLOOKUP(A88,DataUsuario!B:D,3,FALSE)</f>
        <v>Cosecha</v>
      </c>
      <c r="F88" t="s">
        <v>70</v>
      </c>
    </row>
    <row r="89" spans="1:6" x14ac:dyDescent="0.3">
      <c r="A89" s="157" t="s">
        <v>646</v>
      </c>
      <c r="B89" t="s">
        <v>8</v>
      </c>
      <c r="C89" s="160">
        <v>5</v>
      </c>
      <c r="D89" t="str">
        <f>VLOOKUP(A89,DataUsuario!B:D,2,FALSE)</f>
        <v>Operaciones</v>
      </c>
      <c r="E89" t="str">
        <f>VLOOKUP(A89,DataUsuario!B:D,3,FALSE)</f>
        <v xml:space="preserve">Almacén </v>
      </c>
      <c r="F89" t="s">
        <v>70</v>
      </c>
    </row>
    <row r="90" spans="1:6" x14ac:dyDescent="0.3">
      <c r="A90" s="156" t="s">
        <v>647</v>
      </c>
      <c r="B90" t="s">
        <v>8</v>
      </c>
      <c r="C90" s="159">
        <v>5</v>
      </c>
      <c r="D90" t="str">
        <f>VLOOKUP(A90,DataUsuario!B:D,2,FALSE)</f>
        <v>Operaciones</v>
      </c>
      <c r="E90" t="str">
        <f>VLOOKUP(A90,DataUsuario!B:D,3,FALSE)</f>
        <v>Almacenes y Distribución PT</v>
      </c>
      <c r="F90" t="s">
        <v>70</v>
      </c>
    </row>
    <row r="91" spans="1:6" x14ac:dyDescent="0.3">
      <c r="A91" s="157" t="s">
        <v>61</v>
      </c>
      <c r="B91" t="s">
        <v>8</v>
      </c>
      <c r="C91" s="160">
        <v>4</v>
      </c>
      <c r="D91" t="str">
        <f>VLOOKUP(A91,DataUsuario!B:D,2,FALSE)</f>
        <v>Gestión Humana y Sostenibilidad</v>
      </c>
      <c r="E91" t="str">
        <f>VLOOKUP(A91,DataUsuario!B:D,3,FALSE)</f>
        <v>Compensación y Nóminas</v>
      </c>
      <c r="F91" t="s">
        <v>62</v>
      </c>
    </row>
    <row r="92" spans="1:6" x14ac:dyDescent="0.3">
      <c r="A92" s="156" t="s">
        <v>350</v>
      </c>
      <c r="B92" t="s">
        <v>8</v>
      </c>
      <c r="C92" s="159">
        <v>5</v>
      </c>
      <c r="D92" t="str">
        <f>VLOOKUP(A92,DataUsuario!B:D,2,FALSE)</f>
        <v>Agrícola</v>
      </c>
      <c r="E92" t="str">
        <f>VLOOKUP(A92,DataUsuario!B:D,3,FALSE)</f>
        <v>Planificador Agrícola</v>
      </c>
      <c r="F92" t="s">
        <v>89</v>
      </c>
    </row>
    <row r="93" spans="1:6" x14ac:dyDescent="0.3">
      <c r="A93" s="157" t="s">
        <v>359</v>
      </c>
      <c r="B93" t="s">
        <v>8</v>
      </c>
      <c r="C93" s="160">
        <v>4</v>
      </c>
      <c r="D93" t="str">
        <f>VLOOKUP(A93,DataUsuario!B:D,2,FALSE)</f>
        <v>Operaciones</v>
      </c>
      <c r="E93" t="str">
        <f>VLOOKUP(A93,DataUsuario!B:D,3,FALSE)</f>
        <v>Gerencia de Operaciones</v>
      </c>
      <c r="F93" t="s">
        <v>70</v>
      </c>
    </row>
    <row r="94" spans="1:6" x14ac:dyDescent="0.3">
      <c r="A94" s="156" t="s">
        <v>303</v>
      </c>
      <c r="B94" t="s">
        <v>8</v>
      </c>
      <c r="C94" s="159">
        <v>4</v>
      </c>
      <c r="D94" t="str">
        <f>VLOOKUP(A94,DataUsuario!B:D,2,FALSE)</f>
        <v>Administración y Finanzas</v>
      </c>
      <c r="E94" t="str">
        <f>VLOOKUP(A94,DataUsuario!B:D,3,FALSE)</f>
        <v>Control de Gestión</v>
      </c>
      <c r="F94" t="s">
        <v>66</v>
      </c>
    </row>
    <row r="95" spans="1:6" x14ac:dyDescent="0.3">
      <c r="A95" s="157" t="s">
        <v>372</v>
      </c>
      <c r="B95" t="s">
        <v>8</v>
      </c>
      <c r="C95" s="160">
        <v>3</v>
      </c>
      <c r="D95" t="str">
        <f>VLOOKUP(A95,DataUsuario!B:D,2,FALSE)</f>
        <v>Agrícola</v>
      </c>
      <c r="E95" t="str">
        <f>VLOOKUP(A95,DataUsuario!B:D,3,FALSE)</f>
        <v>Laboratorio e Investigación Agricola</v>
      </c>
      <c r="F95" t="s">
        <v>89</v>
      </c>
    </row>
    <row r="96" spans="1:6" x14ac:dyDescent="0.3">
      <c r="A96" s="156" t="s">
        <v>399</v>
      </c>
      <c r="B96" t="s">
        <v>8</v>
      </c>
      <c r="C96" s="159">
        <v>3</v>
      </c>
      <c r="D96" t="str">
        <f>VLOOKUP(A96,DataUsuario!B:D,2,FALSE)</f>
        <v>Gestión Humana y Sostenibilidad</v>
      </c>
      <c r="E96" t="str">
        <f>VLOOKUP(A96,DataUsuario!B:D,3,FALSE)</f>
        <v>Seguridad</v>
      </c>
      <c r="F96" t="s">
        <v>62</v>
      </c>
    </row>
    <row r="97" spans="1:6" x14ac:dyDescent="0.3">
      <c r="A97" s="157" t="s">
        <v>123</v>
      </c>
      <c r="B97" t="s">
        <v>8</v>
      </c>
      <c r="C97" s="160">
        <v>4</v>
      </c>
      <c r="D97" t="str">
        <f>VLOOKUP(A97,DataUsuario!B:D,2,FALSE)</f>
        <v>Administración y Finanzas</v>
      </c>
      <c r="E97" t="str">
        <f>VLOOKUP(A97,DataUsuario!B:D,3,FALSE)</f>
        <v>Gerencia Administración y Finanzas</v>
      </c>
      <c r="F97" t="s">
        <v>66</v>
      </c>
    </row>
    <row r="98" spans="1:6" x14ac:dyDescent="0.3">
      <c r="A98" s="158" t="s">
        <v>352</v>
      </c>
      <c r="B98" t="s">
        <v>8</v>
      </c>
      <c r="C98" s="161">
        <v>4</v>
      </c>
      <c r="D98" t="str">
        <f>VLOOKUP(A98,DataUsuario!B:D,2,FALSE)</f>
        <v>Gestión Humana y Sostenibilidad</v>
      </c>
      <c r="E98" t="str">
        <f>VLOOKUP(A98,DataUsuario!B:D,3,FALSE)</f>
        <v>Compensación y Nóminas</v>
      </c>
      <c r="F98" t="s">
        <v>62</v>
      </c>
    </row>
    <row r="99" spans="1:6" x14ac:dyDescent="0.3">
      <c r="A99" s="156" t="s">
        <v>592</v>
      </c>
      <c r="B99" t="s">
        <v>9</v>
      </c>
      <c r="C99" s="159">
        <v>5</v>
      </c>
      <c r="D99" t="str">
        <f>VLOOKUP(A99,DataUsuario!B:D,2,FALSE)</f>
        <v>Gestión Humana y Sostenibilidad</v>
      </c>
      <c r="E99" t="str">
        <f>VLOOKUP(A99,DataUsuario!B:D,3,FALSE)</f>
        <v>Seguridad</v>
      </c>
      <c r="F99" t="s">
        <v>62</v>
      </c>
    </row>
    <row r="100" spans="1:6" x14ac:dyDescent="0.3">
      <c r="A100" s="157" t="s">
        <v>192</v>
      </c>
      <c r="B100" t="s">
        <v>9</v>
      </c>
      <c r="C100" s="160" t="s">
        <v>655</v>
      </c>
      <c r="D100" t="str">
        <f>VLOOKUP(A100,DataUsuario!B:D,2,FALSE)</f>
        <v>Agrícola</v>
      </c>
      <c r="E100" t="str">
        <f>VLOOKUP(A100,DataUsuario!B:D,3,FALSE)</f>
        <v>Mantenimiento de Riego y Bombas</v>
      </c>
      <c r="F100" t="s">
        <v>89</v>
      </c>
    </row>
    <row r="101" spans="1:6" x14ac:dyDescent="0.3">
      <c r="A101" s="156" t="s">
        <v>92</v>
      </c>
      <c r="B101" t="s">
        <v>9</v>
      </c>
      <c r="C101" s="159" t="s">
        <v>655</v>
      </c>
      <c r="D101" t="str">
        <f>VLOOKUP(A101,DataUsuario!B:D,2,FALSE)</f>
        <v>Administración y Finanzas</v>
      </c>
      <c r="E101" t="str">
        <f>VLOOKUP(A101,DataUsuario!B:D,3,FALSE)</f>
        <v>Control de Gestión</v>
      </c>
      <c r="F101" t="s">
        <v>66</v>
      </c>
    </row>
    <row r="102" spans="1:6" x14ac:dyDescent="0.3">
      <c r="A102" s="157" t="s">
        <v>145</v>
      </c>
      <c r="B102" t="s">
        <v>9</v>
      </c>
      <c r="C102" s="160" t="s">
        <v>655</v>
      </c>
      <c r="D102" t="str">
        <f>VLOOKUP(A102,DataUsuario!B:D,2,FALSE)</f>
        <v>Administración y Finanzas</v>
      </c>
      <c r="E102" t="str">
        <f>VLOOKUP(A102,DataUsuario!B:D,3,FALSE)</f>
        <v>Legal</v>
      </c>
      <c r="F102" t="s">
        <v>66</v>
      </c>
    </row>
    <row r="103" spans="1:6" x14ac:dyDescent="0.3">
      <c r="A103" s="156" t="s">
        <v>341</v>
      </c>
      <c r="B103" t="s">
        <v>9</v>
      </c>
      <c r="C103" s="159" t="s">
        <v>655</v>
      </c>
      <c r="D103" t="str">
        <f>VLOOKUP(A103,DataUsuario!B:D,2,FALSE)</f>
        <v>Administración y Finanzas</v>
      </c>
      <c r="E103" t="str">
        <f>VLOOKUP(A103,DataUsuario!B:D,3,FALSE)</f>
        <v>Contabilidad Tributaria</v>
      </c>
      <c r="F103" t="s">
        <v>66</v>
      </c>
    </row>
    <row r="104" spans="1:6" x14ac:dyDescent="0.3">
      <c r="A104" s="157" t="s">
        <v>115</v>
      </c>
      <c r="B104" t="s">
        <v>9</v>
      </c>
      <c r="C104" s="160">
        <v>4</v>
      </c>
      <c r="D104" t="str">
        <f>VLOOKUP(A104,DataUsuario!B:D,2,FALSE)</f>
        <v>Industrial y de Mantenimiento</v>
      </c>
      <c r="E104" t="str">
        <f>VLOOKUP(A104,DataUsuario!B:D,3,FALSE)</f>
        <v>Mantenimiento de Transportes</v>
      </c>
      <c r="F104" t="s">
        <v>74</v>
      </c>
    </row>
    <row r="105" spans="1:6" x14ac:dyDescent="0.3">
      <c r="A105" s="156" t="s">
        <v>299</v>
      </c>
      <c r="B105" t="s">
        <v>9</v>
      </c>
      <c r="C105" s="159" t="s">
        <v>655</v>
      </c>
      <c r="D105" t="str">
        <f>VLOOKUP(A105,DataUsuario!B:D,2,FALSE)</f>
        <v>Administración y Finanzas</v>
      </c>
      <c r="E105" t="str">
        <f>VLOOKUP(A105,DataUsuario!B:D,3,FALSE)</f>
        <v>Legal</v>
      </c>
      <c r="F105" t="s">
        <v>66</v>
      </c>
    </row>
    <row r="106" spans="1:6" x14ac:dyDescent="0.3">
      <c r="A106" s="157" t="s">
        <v>322</v>
      </c>
      <c r="B106" t="s">
        <v>9</v>
      </c>
      <c r="C106" s="160">
        <v>4</v>
      </c>
      <c r="D106" t="str">
        <f>VLOOKUP(A106,DataUsuario!B:D,2,FALSE)</f>
        <v>Administración y Finanzas</v>
      </c>
      <c r="E106" t="str">
        <f>VLOOKUP(A106,DataUsuario!B:D,3,FALSE)</f>
        <v>Finanzas y Tesorería</v>
      </c>
      <c r="F106" t="s">
        <v>66</v>
      </c>
    </row>
    <row r="107" spans="1:6" x14ac:dyDescent="0.3">
      <c r="A107" s="156" t="s">
        <v>138</v>
      </c>
      <c r="B107" t="s">
        <v>9</v>
      </c>
      <c r="C107" s="159">
        <v>4</v>
      </c>
      <c r="D107" t="str">
        <f>VLOOKUP(A107,DataUsuario!B:D,2,FALSE)</f>
        <v>Gestión Humana y Sostenibilidad</v>
      </c>
      <c r="E107" t="str">
        <f>VLOOKUP(A107,DataUsuario!B:D,3,FALSE)</f>
        <v>Gestion del Talento</v>
      </c>
      <c r="F107" t="s">
        <v>62</v>
      </c>
    </row>
    <row r="108" spans="1:6" x14ac:dyDescent="0.3">
      <c r="A108" s="157" t="s">
        <v>595</v>
      </c>
      <c r="B108" t="s">
        <v>9</v>
      </c>
      <c r="C108" s="160">
        <v>4</v>
      </c>
      <c r="D108" t="str">
        <f>VLOOKUP(A108,DataUsuario!B:D,2,FALSE)</f>
        <v>Operaciones</v>
      </c>
      <c r="E108" t="str">
        <f>VLOOKUP(A108,DataUsuario!B:D,3,FALSE)</f>
        <v>Transporte</v>
      </c>
      <c r="F108" t="s">
        <v>70</v>
      </c>
    </row>
    <row r="109" spans="1:6" x14ac:dyDescent="0.3">
      <c r="A109" s="156" t="s">
        <v>82</v>
      </c>
      <c r="B109" t="s">
        <v>9</v>
      </c>
      <c r="C109" s="159" t="s">
        <v>655</v>
      </c>
      <c r="D109" t="str">
        <f>VLOOKUP(A109,DataUsuario!B:D,2,FALSE)</f>
        <v>Industrial y de Mantenimiento</v>
      </c>
      <c r="E109" t="str">
        <f>VLOOKUP(A109,DataUsuario!B:D,3,FALSE)</f>
        <v>Producción</v>
      </c>
      <c r="F109" t="s">
        <v>74</v>
      </c>
    </row>
    <row r="110" spans="1:6" x14ac:dyDescent="0.3">
      <c r="A110" s="157" t="s">
        <v>378</v>
      </c>
      <c r="B110" t="s">
        <v>9</v>
      </c>
      <c r="C110" s="160" t="s">
        <v>655</v>
      </c>
      <c r="D110" t="str">
        <f>VLOOKUP(A110,DataUsuario!B:D,2,FALSE)</f>
        <v>Industrial y de Mantenimiento</v>
      </c>
      <c r="E110" t="str">
        <f>VLOOKUP(A110,DataUsuario!B:D,3,FALSE)</f>
        <v>Gerencia industrial y de Mantenimiento</v>
      </c>
      <c r="F110" t="s">
        <v>74</v>
      </c>
    </row>
    <row r="111" spans="1:6" x14ac:dyDescent="0.3">
      <c r="A111" s="156" t="s">
        <v>435</v>
      </c>
      <c r="B111" t="s">
        <v>9</v>
      </c>
      <c r="C111" s="159">
        <v>3</v>
      </c>
      <c r="D111" t="str">
        <f>VLOOKUP(A111,DataUsuario!B:D,2,FALSE)</f>
        <v>Operaciones</v>
      </c>
      <c r="E111" t="str">
        <f>VLOOKUP(A111,DataUsuario!B:D,3,FALSE)</f>
        <v>Almacenes y Distribución PT</v>
      </c>
      <c r="F111" t="s">
        <v>70</v>
      </c>
    </row>
    <row r="112" spans="1:6" x14ac:dyDescent="0.3">
      <c r="A112" s="157" t="s">
        <v>431</v>
      </c>
      <c r="B112" t="s">
        <v>9</v>
      </c>
      <c r="C112" s="160" t="s">
        <v>655</v>
      </c>
      <c r="D112" t="str">
        <f>VLOOKUP(A112,DataUsuario!B:D,2,FALSE)</f>
        <v>Agrícola</v>
      </c>
      <c r="E112" t="str">
        <f>VLOOKUP(A112,DataUsuario!B:D,3,FALSE)</f>
        <v>Fundo San Vicente</v>
      </c>
      <c r="F112" t="s">
        <v>89</v>
      </c>
    </row>
    <row r="113" spans="1:6" x14ac:dyDescent="0.3">
      <c r="A113" s="156" t="s">
        <v>133</v>
      </c>
      <c r="B113" t="s">
        <v>9</v>
      </c>
      <c r="C113" s="159">
        <v>5</v>
      </c>
      <c r="D113" t="str">
        <f>VLOOKUP(A113,DataUsuario!B:D,2,FALSE)</f>
        <v>Industrial y de Mantenimiento</v>
      </c>
      <c r="E113" t="str">
        <f>VLOOKUP(A113,DataUsuario!B:D,3,FALSE)</f>
        <v>Electricidad</v>
      </c>
      <c r="F113" t="s">
        <v>74</v>
      </c>
    </row>
    <row r="114" spans="1:6" x14ac:dyDescent="0.3">
      <c r="A114" s="157" t="s">
        <v>598</v>
      </c>
      <c r="B114" t="s">
        <v>9</v>
      </c>
      <c r="C114" s="160">
        <v>4</v>
      </c>
      <c r="D114" t="str">
        <f>VLOOKUP(A114,DataUsuario!B:D,2,FALSE)</f>
        <v>Agrícola</v>
      </c>
      <c r="E114" t="str">
        <f>VLOOKUP(A114,DataUsuario!B:D,3,FALSE)</f>
        <v>Fundo San Vicente</v>
      </c>
      <c r="F114" t="s">
        <v>89</v>
      </c>
    </row>
    <row r="115" spans="1:6" x14ac:dyDescent="0.3">
      <c r="A115" s="156" t="s">
        <v>221</v>
      </c>
      <c r="B115" t="s">
        <v>9</v>
      </c>
      <c r="C115" s="159">
        <v>5</v>
      </c>
      <c r="D115" t="str">
        <f>VLOOKUP(A115,DataUsuario!B:D,2,FALSE)</f>
        <v>Administración y Finanzas</v>
      </c>
      <c r="E115" t="str">
        <f>VLOOKUP(A115,DataUsuario!B:D,3,FALSE)</f>
        <v>Sistemas y TI</v>
      </c>
      <c r="F115" t="s">
        <v>66</v>
      </c>
    </row>
    <row r="116" spans="1:6" x14ac:dyDescent="0.3">
      <c r="A116" s="157" t="s">
        <v>376</v>
      </c>
      <c r="B116" t="s">
        <v>9</v>
      </c>
      <c r="C116" s="160" t="s">
        <v>655</v>
      </c>
      <c r="D116" t="str">
        <f>VLOOKUP(A116,DataUsuario!B:D,2,FALSE)</f>
        <v>Administración y Finanzas</v>
      </c>
      <c r="E116" t="str">
        <f>VLOOKUP(A116,DataUsuario!B:D,3,FALSE)</f>
        <v>Control de Gestión</v>
      </c>
      <c r="F116" t="s">
        <v>66</v>
      </c>
    </row>
    <row r="117" spans="1:6" x14ac:dyDescent="0.3">
      <c r="A117" s="156" t="s">
        <v>207</v>
      </c>
      <c r="B117" t="s">
        <v>9</v>
      </c>
      <c r="C117" s="159">
        <v>4</v>
      </c>
      <c r="D117" t="str">
        <f>VLOOKUP(A117,DataUsuario!B:D,2,FALSE)</f>
        <v>Administración y Finanzas</v>
      </c>
      <c r="E117" t="str">
        <f>VLOOKUP(A117,DataUsuario!B:D,3,FALSE)</f>
        <v>Riesgos y Cumplimiento</v>
      </c>
      <c r="F117" t="s">
        <v>66</v>
      </c>
    </row>
    <row r="118" spans="1:6" x14ac:dyDescent="0.3">
      <c r="A118" s="157" t="s">
        <v>170</v>
      </c>
      <c r="B118" t="s">
        <v>9</v>
      </c>
      <c r="C118" s="160">
        <v>5</v>
      </c>
      <c r="D118" t="str">
        <f>VLOOKUP(A118,DataUsuario!B:D,2,FALSE)</f>
        <v>Operaciones</v>
      </c>
      <c r="E118" t="str">
        <f>VLOOKUP(A118,DataUsuario!B:D,3,FALSE)</f>
        <v>Mantenimiento CAT</v>
      </c>
      <c r="F118" t="s">
        <v>70</v>
      </c>
    </row>
    <row r="119" spans="1:6" x14ac:dyDescent="0.3">
      <c r="A119" s="156" t="s">
        <v>603</v>
      </c>
      <c r="B119" t="s">
        <v>9</v>
      </c>
      <c r="C119" s="159">
        <v>4</v>
      </c>
      <c r="D119" t="str">
        <f>VLOOKUP(A119,DataUsuario!B:D,2,FALSE)</f>
        <v>Agrícola</v>
      </c>
      <c r="E119" t="str">
        <f>VLOOKUP(A119,DataUsuario!B:D,3,FALSE)</f>
        <v>Mantenimiento de Riego y Bombas</v>
      </c>
      <c r="F119" t="s">
        <v>89</v>
      </c>
    </row>
    <row r="120" spans="1:6" x14ac:dyDescent="0.3">
      <c r="A120" s="157" t="s">
        <v>318</v>
      </c>
      <c r="B120" t="s">
        <v>9</v>
      </c>
      <c r="C120" s="160" t="s">
        <v>655</v>
      </c>
      <c r="D120" t="str">
        <f>VLOOKUP(A120,DataUsuario!B:D,2,FALSE)</f>
        <v>Operaciones</v>
      </c>
      <c r="E120" t="str">
        <f>VLOOKUP(A120,DataUsuario!B:D,3,FALSE)</f>
        <v>Cosecha</v>
      </c>
      <c r="F120" t="s">
        <v>70</v>
      </c>
    </row>
    <row r="121" spans="1:6" x14ac:dyDescent="0.3">
      <c r="A121" s="156" t="s">
        <v>604</v>
      </c>
      <c r="B121" t="s">
        <v>9</v>
      </c>
      <c r="C121" s="159">
        <v>5</v>
      </c>
      <c r="D121" t="str">
        <f>VLOOKUP(A121,DataUsuario!B:D,2,FALSE)</f>
        <v>Industrial y de Mantenimiento</v>
      </c>
      <c r="E121" t="str">
        <f>VLOOKUP(A121,DataUsuario!B:D,3,FALSE)</f>
        <v>Mantenimiento Industrial</v>
      </c>
      <c r="F121" t="s">
        <v>74</v>
      </c>
    </row>
    <row r="122" spans="1:6" x14ac:dyDescent="0.3">
      <c r="A122" s="157" t="s">
        <v>312</v>
      </c>
      <c r="B122" t="s">
        <v>9</v>
      </c>
      <c r="C122" s="160">
        <v>4</v>
      </c>
      <c r="D122" t="str">
        <f>VLOOKUP(A122,DataUsuario!B:D,2,FALSE)</f>
        <v>Operaciones</v>
      </c>
      <c r="E122" t="str">
        <f>VLOOKUP(A122,DataUsuario!B:D,3,FALSE)</f>
        <v>Calidad</v>
      </c>
      <c r="F122" t="s">
        <v>70</v>
      </c>
    </row>
    <row r="123" spans="1:6" x14ac:dyDescent="0.3">
      <c r="A123" s="156" t="s">
        <v>176</v>
      </c>
      <c r="B123" t="s">
        <v>9</v>
      </c>
      <c r="C123" s="159">
        <v>5</v>
      </c>
      <c r="D123" t="str">
        <f>VLOOKUP(A123,DataUsuario!B:D,2,FALSE)</f>
        <v>Administración y Finanzas</v>
      </c>
      <c r="E123" t="str">
        <f>VLOOKUP(A123,DataUsuario!B:D,3,FALSE)</f>
        <v>Cadenas Productivas</v>
      </c>
      <c r="F123" t="s">
        <v>66</v>
      </c>
    </row>
    <row r="124" spans="1:6" x14ac:dyDescent="0.3">
      <c r="A124" s="157" t="s">
        <v>337</v>
      </c>
      <c r="B124" t="s">
        <v>9</v>
      </c>
      <c r="C124" s="160">
        <v>5</v>
      </c>
      <c r="D124" t="str">
        <f>VLOOKUP(A124,DataUsuario!B:D,2,FALSE)</f>
        <v>Agrícola</v>
      </c>
      <c r="E124" t="str">
        <f>VLOOKUP(A124,DataUsuario!B:D,3,FALSE)</f>
        <v>Fundo San Vicente</v>
      </c>
      <c r="F124" t="s">
        <v>89</v>
      </c>
    </row>
    <row r="125" spans="1:6" x14ac:dyDescent="0.3">
      <c r="A125" s="156" t="s">
        <v>374</v>
      </c>
      <c r="B125" t="s">
        <v>9</v>
      </c>
      <c r="C125" s="159">
        <v>4</v>
      </c>
      <c r="D125" t="str">
        <f>VLOOKUP(A125,DataUsuario!B:D,2,FALSE)</f>
        <v>Agrícola</v>
      </c>
      <c r="E125" t="str">
        <f>VLOOKUP(A125,DataUsuario!B:D,3,FALSE)</f>
        <v>Mantenimiento de Riego y Bombas</v>
      </c>
      <c r="F125" t="s">
        <v>89</v>
      </c>
    </row>
    <row r="126" spans="1:6" x14ac:dyDescent="0.3">
      <c r="A126" s="157" t="s">
        <v>236</v>
      </c>
      <c r="B126" t="s">
        <v>9</v>
      </c>
      <c r="C126" s="160">
        <v>4</v>
      </c>
      <c r="D126" t="str">
        <f>VLOOKUP(A126,DataUsuario!B:D,2,FALSE)</f>
        <v>Administración y Finanzas</v>
      </c>
      <c r="E126" t="str">
        <f>VLOOKUP(A126,DataUsuario!B:D,3,FALSE)</f>
        <v>Sistemas y TI</v>
      </c>
      <c r="F126" t="s">
        <v>66</v>
      </c>
    </row>
    <row r="127" spans="1:6" x14ac:dyDescent="0.3">
      <c r="A127" s="156" t="s">
        <v>423</v>
      </c>
      <c r="B127" t="s">
        <v>9</v>
      </c>
      <c r="C127" s="159">
        <v>4</v>
      </c>
      <c r="D127" t="str">
        <f>VLOOKUP(A127,DataUsuario!B:D,2,FALSE)</f>
        <v>Industrial y de Mantenimiento</v>
      </c>
      <c r="E127" t="str">
        <f>VLOOKUP(A127,DataUsuario!B:D,3,FALSE)</f>
        <v>Producción</v>
      </c>
      <c r="F127" t="s">
        <v>74</v>
      </c>
    </row>
    <row r="128" spans="1:6" x14ac:dyDescent="0.3">
      <c r="A128" s="157" t="s">
        <v>271</v>
      </c>
      <c r="B128" t="s">
        <v>9</v>
      </c>
      <c r="C128" s="160" t="s">
        <v>655</v>
      </c>
      <c r="D128" t="str">
        <f>VLOOKUP(A128,DataUsuario!B:D,2,FALSE)</f>
        <v>Operaciones</v>
      </c>
      <c r="E128" t="str">
        <f>VLOOKUP(A128,DataUsuario!B:D,3,FALSE)</f>
        <v>Calidad</v>
      </c>
      <c r="F128" t="s">
        <v>70</v>
      </c>
    </row>
    <row r="129" spans="1:6" x14ac:dyDescent="0.3">
      <c r="A129" s="156" t="s">
        <v>258</v>
      </c>
      <c r="B129" t="s">
        <v>9</v>
      </c>
      <c r="C129" s="159">
        <v>4</v>
      </c>
      <c r="D129" t="str">
        <f>VLOOKUP(A129,DataUsuario!B:D,2,FALSE)</f>
        <v>Operaciones</v>
      </c>
      <c r="E129" t="str">
        <f>VLOOKUP(A129,DataUsuario!B:D,3,FALSE)</f>
        <v>Calidad</v>
      </c>
      <c r="F129" t="s">
        <v>70</v>
      </c>
    </row>
    <row r="130" spans="1:6" x14ac:dyDescent="0.3">
      <c r="A130" s="157" t="s">
        <v>612</v>
      </c>
      <c r="B130" t="s">
        <v>9</v>
      </c>
      <c r="C130" s="160">
        <v>5</v>
      </c>
      <c r="D130" t="str">
        <f>VLOOKUP(A130,DataUsuario!B:D,2,FALSE)</f>
        <v>Gestión Humana y Sostenibilidad</v>
      </c>
      <c r="E130" t="str">
        <f>VLOOKUP(A130,DataUsuario!B:D,3,FALSE)</f>
        <v>Gestor de Recursos Humanos</v>
      </c>
      <c r="F130" t="s">
        <v>62</v>
      </c>
    </row>
    <row r="131" spans="1:6" x14ac:dyDescent="0.3">
      <c r="A131" s="156" t="s">
        <v>614</v>
      </c>
      <c r="B131" t="s">
        <v>9</v>
      </c>
      <c r="C131" s="159">
        <v>4</v>
      </c>
      <c r="D131" t="str">
        <f>VLOOKUP(A131,DataUsuario!B:D,2,FALSE)</f>
        <v>Administración y Finanzas</v>
      </c>
      <c r="E131" t="str">
        <f>VLOOKUP(A131,DataUsuario!B:D,3,FALSE)</f>
        <v>Sistemas y TI</v>
      </c>
      <c r="F131" t="s">
        <v>66</v>
      </c>
    </row>
    <row r="132" spans="1:6" x14ac:dyDescent="0.3">
      <c r="A132" s="157" t="s">
        <v>242</v>
      </c>
      <c r="B132" t="s">
        <v>9</v>
      </c>
      <c r="C132" s="160" t="s">
        <v>655</v>
      </c>
      <c r="D132" t="str">
        <f>VLOOKUP(A132,DataUsuario!B:D,2,FALSE)</f>
        <v>Agrícola</v>
      </c>
      <c r="E132" t="str">
        <f>VLOOKUP(A132,DataUsuario!B:D,3,FALSE)</f>
        <v>Fundo Montelima</v>
      </c>
      <c r="F132" t="s">
        <v>89</v>
      </c>
    </row>
    <row r="133" spans="1:6" x14ac:dyDescent="0.3">
      <c r="A133" s="156" t="s">
        <v>196</v>
      </c>
      <c r="B133" t="s">
        <v>9</v>
      </c>
      <c r="C133" s="159">
        <v>5</v>
      </c>
      <c r="D133" t="str">
        <f>VLOOKUP(A133,DataUsuario!B:D,2,FALSE)</f>
        <v>Agrícola</v>
      </c>
      <c r="E133" t="str">
        <f>VLOOKUP(A133,DataUsuario!B:D,3,FALSE)</f>
        <v>Mantenimiento de Riego y Bombas</v>
      </c>
      <c r="F133" t="s">
        <v>89</v>
      </c>
    </row>
    <row r="134" spans="1:6" x14ac:dyDescent="0.3">
      <c r="A134" s="157" t="s">
        <v>224</v>
      </c>
      <c r="B134" t="s">
        <v>9</v>
      </c>
      <c r="C134" s="160" t="s">
        <v>655</v>
      </c>
      <c r="D134" t="str">
        <f>VLOOKUP(A134,DataUsuario!B:D,2,FALSE)</f>
        <v>Agrícola</v>
      </c>
      <c r="E134" t="str">
        <f>VLOOKUP(A134,DataUsuario!B:D,3,FALSE)</f>
        <v>Laboratorio e Investigación Agricola</v>
      </c>
      <c r="F134" t="s">
        <v>89</v>
      </c>
    </row>
    <row r="135" spans="1:6" x14ac:dyDescent="0.3">
      <c r="A135" s="156" t="s">
        <v>385</v>
      </c>
      <c r="B135" t="s">
        <v>9</v>
      </c>
      <c r="C135" s="159">
        <v>5</v>
      </c>
      <c r="D135" t="str">
        <f>VLOOKUP(A135,DataUsuario!B:D,2,FALSE)</f>
        <v>Agrícola</v>
      </c>
      <c r="E135" t="str">
        <f>VLOOKUP(A135,DataUsuario!B:D,3,FALSE)</f>
        <v>Fundo Montelima</v>
      </c>
      <c r="F135" t="s">
        <v>89</v>
      </c>
    </row>
    <row r="136" spans="1:6" x14ac:dyDescent="0.3">
      <c r="A136" s="157" t="s">
        <v>183</v>
      </c>
      <c r="B136" t="s">
        <v>9</v>
      </c>
      <c r="C136" s="160" t="s">
        <v>655</v>
      </c>
      <c r="D136" t="str">
        <f>VLOOKUP(A136,DataUsuario!B:D,2,FALSE)</f>
        <v>Agrícola</v>
      </c>
      <c r="E136" t="str">
        <f>VLOOKUP(A136,DataUsuario!B:D,3,FALSE)</f>
        <v>Planificador Agrícola</v>
      </c>
      <c r="F136" t="s">
        <v>89</v>
      </c>
    </row>
    <row r="137" spans="1:6" x14ac:dyDescent="0.3">
      <c r="A137" s="156" t="s">
        <v>617</v>
      </c>
      <c r="B137" t="s">
        <v>9</v>
      </c>
      <c r="C137" s="159">
        <v>3</v>
      </c>
      <c r="D137" t="str">
        <f>VLOOKUP(A137,DataUsuario!B:D,2,FALSE)</f>
        <v>Gestión Humana y Sostenibilidad</v>
      </c>
      <c r="E137" t="str">
        <f>VLOOKUP(A137,DataUsuario!B:D,3,FALSE)</f>
        <v>Seguridad</v>
      </c>
      <c r="F137" t="s">
        <v>62</v>
      </c>
    </row>
    <row r="138" spans="1:6" x14ac:dyDescent="0.3">
      <c r="A138" s="157" t="s">
        <v>383</v>
      </c>
      <c r="B138" t="s">
        <v>9</v>
      </c>
      <c r="C138" s="160">
        <v>5</v>
      </c>
      <c r="D138" t="str">
        <f>VLOOKUP(A138,DataUsuario!B:D,2,FALSE)</f>
        <v>Agrícola</v>
      </c>
      <c r="E138" t="str">
        <f>VLOOKUP(A138,DataUsuario!B:D,3,FALSE)</f>
        <v>Fundo Lobo</v>
      </c>
      <c r="F138" t="s">
        <v>89</v>
      </c>
    </row>
    <row r="139" spans="1:6" x14ac:dyDescent="0.3">
      <c r="A139" s="156" t="s">
        <v>289</v>
      </c>
      <c r="B139" t="s">
        <v>9</v>
      </c>
      <c r="C139" s="159">
        <v>3</v>
      </c>
      <c r="D139" t="str">
        <f>VLOOKUP(A139,DataUsuario!B:D,2,FALSE)</f>
        <v>Agrícola</v>
      </c>
      <c r="E139" t="str">
        <f>VLOOKUP(A139,DataUsuario!B:D,3,FALSE)</f>
        <v>Mantenimiento de Riego y Bombas</v>
      </c>
      <c r="F139" t="s">
        <v>89</v>
      </c>
    </row>
    <row r="140" spans="1:6" x14ac:dyDescent="0.3">
      <c r="A140" s="157" t="s">
        <v>158</v>
      </c>
      <c r="B140" t="s">
        <v>9</v>
      </c>
      <c r="C140" s="160" t="s">
        <v>655</v>
      </c>
      <c r="D140" t="str">
        <f>VLOOKUP(A140,DataUsuario!B:D,2,FALSE)</f>
        <v>Operaciones</v>
      </c>
      <c r="E140" t="str">
        <f>VLOOKUP(A140,DataUsuario!B:D,3,FALSE)</f>
        <v>Calidad</v>
      </c>
      <c r="F140" t="s">
        <v>70</v>
      </c>
    </row>
    <row r="141" spans="1:6" x14ac:dyDescent="0.3">
      <c r="A141" s="156" t="s">
        <v>279</v>
      </c>
      <c r="B141" t="s">
        <v>9</v>
      </c>
      <c r="C141" s="159" t="s">
        <v>655</v>
      </c>
      <c r="D141" t="str">
        <f>VLOOKUP(A141,DataUsuario!B:D,2,FALSE)</f>
        <v>Operaciones</v>
      </c>
      <c r="E141" t="str">
        <f>VLOOKUP(A141,DataUsuario!B:D,3,FALSE)</f>
        <v>Transporte</v>
      </c>
      <c r="F141" t="s">
        <v>70</v>
      </c>
    </row>
    <row r="142" spans="1:6" x14ac:dyDescent="0.3">
      <c r="A142" s="157" t="s">
        <v>164</v>
      </c>
      <c r="B142" t="s">
        <v>9</v>
      </c>
      <c r="C142" s="160">
        <v>5</v>
      </c>
      <c r="D142" t="str">
        <f>VLOOKUP(A142,DataUsuario!B:D,2,FALSE)</f>
        <v>Agrícola</v>
      </c>
      <c r="E142" t="str">
        <f>VLOOKUP(A142,DataUsuario!B:D,3,FALSE)</f>
        <v>Fundo San Vicente</v>
      </c>
      <c r="F142" t="s">
        <v>89</v>
      </c>
    </row>
    <row r="143" spans="1:6" x14ac:dyDescent="0.3">
      <c r="A143" s="156" t="s">
        <v>275</v>
      </c>
      <c r="B143" t="s">
        <v>9</v>
      </c>
      <c r="C143" s="159" t="s">
        <v>655</v>
      </c>
      <c r="D143" t="str">
        <f>VLOOKUP(A143,DataUsuario!B:D,2,FALSE)</f>
        <v>Administración y Finanzas</v>
      </c>
      <c r="E143" t="str">
        <f>VLOOKUP(A143,DataUsuario!B:D,3,FALSE)</f>
        <v>Compras</v>
      </c>
      <c r="F143" t="s">
        <v>66</v>
      </c>
    </row>
    <row r="144" spans="1:6" x14ac:dyDescent="0.3">
      <c r="A144" s="157" t="s">
        <v>620</v>
      </c>
      <c r="B144" t="s">
        <v>9</v>
      </c>
      <c r="C144" s="160">
        <v>5</v>
      </c>
      <c r="D144" t="str">
        <f>VLOOKUP(A144,DataUsuario!B:D,2,FALSE)</f>
        <v>Administración y Finanzas</v>
      </c>
      <c r="E144" t="str">
        <f>VLOOKUP(A144,DataUsuario!B:D,3,FALSE)</f>
        <v>Sistemas y TI</v>
      </c>
      <c r="F144" t="s">
        <v>66</v>
      </c>
    </row>
    <row r="145" spans="1:6" x14ac:dyDescent="0.3">
      <c r="A145" s="156" t="s">
        <v>343</v>
      </c>
      <c r="B145" t="s">
        <v>9</v>
      </c>
      <c r="C145" s="159">
        <v>5</v>
      </c>
      <c r="D145" t="str">
        <f>VLOOKUP(A145,DataUsuario!B:D,2,FALSE)</f>
        <v>Operaciones</v>
      </c>
      <c r="E145" t="str">
        <f>VLOOKUP(A145,DataUsuario!B:D,3,FALSE)</f>
        <v>Comercial No Giro</v>
      </c>
      <c r="F145" t="s">
        <v>70</v>
      </c>
    </row>
    <row r="146" spans="1:6" x14ac:dyDescent="0.3">
      <c r="A146" s="157" t="s">
        <v>332</v>
      </c>
      <c r="B146" t="s">
        <v>9</v>
      </c>
      <c r="C146" s="160" t="s">
        <v>655</v>
      </c>
      <c r="D146" t="str">
        <f>VLOOKUP(A146,DataUsuario!B:D,2,FALSE)</f>
        <v>Agrícola</v>
      </c>
      <c r="E146" t="str">
        <f>VLOOKUP(A146,DataUsuario!B:D,3,FALSE)</f>
        <v>Gerencia Agrícola</v>
      </c>
      <c r="F146" t="s">
        <v>89</v>
      </c>
    </row>
    <row r="147" spans="1:6" x14ac:dyDescent="0.3">
      <c r="A147" s="156" t="s">
        <v>320</v>
      </c>
      <c r="B147" t="s">
        <v>9</v>
      </c>
      <c r="C147" s="159">
        <v>4</v>
      </c>
      <c r="D147" t="str">
        <f>VLOOKUP(A147,DataUsuario!B:D,2,FALSE)</f>
        <v>Gestión Humana y Sostenibilidad</v>
      </c>
      <c r="E147" t="str">
        <f>VLOOKUP(A147,DataUsuario!B:D,3,FALSE)</f>
        <v>Sostenibilidad</v>
      </c>
      <c r="F147" t="s">
        <v>62</v>
      </c>
    </row>
    <row r="148" spans="1:6" x14ac:dyDescent="0.3">
      <c r="A148" s="157" t="s">
        <v>287</v>
      </c>
      <c r="B148" t="s">
        <v>9</v>
      </c>
      <c r="C148" s="160">
        <v>4</v>
      </c>
      <c r="D148" t="str">
        <f>VLOOKUP(A148,DataUsuario!B:D,2,FALSE)</f>
        <v>Operaciones</v>
      </c>
      <c r="E148" t="str">
        <f>VLOOKUP(A148,DataUsuario!B:D,3,FALSE)</f>
        <v>Calidad</v>
      </c>
      <c r="F148" t="s">
        <v>70</v>
      </c>
    </row>
    <row r="149" spans="1:6" x14ac:dyDescent="0.3">
      <c r="A149" s="156" t="s">
        <v>136</v>
      </c>
      <c r="B149" t="s">
        <v>9</v>
      </c>
      <c r="C149" s="159">
        <v>5</v>
      </c>
      <c r="D149" t="str">
        <f>VLOOKUP(A149,DataUsuario!B:D,2,FALSE)</f>
        <v>Operaciones</v>
      </c>
      <c r="E149" t="str">
        <f>VLOOKUP(A149,DataUsuario!B:D,3,FALSE)</f>
        <v>Comercial</v>
      </c>
      <c r="F149" t="s">
        <v>70</v>
      </c>
    </row>
    <row r="150" spans="1:6" x14ac:dyDescent="0.3">
      <c r="A150" s="157" t="s">
        <v>624</v>
      </c>
      <c r="B150" t="s">
        <v>9</v>
      </c>
      <c r="C150" s="160" t="s">
        <v>655</v>
      </c>
      <c r="D150" t="str">
        <f>VLOOKUP(A150,DataUsuario!B:D,2,FALSE)</f>
        <v>Administración y Finanzas</v>
      </c>
      <c r="E150" t="str">
        <f>VLOOKUP(A150,DataUsuario!B:D,3,FALSE)</f>
        <v>Finanzas y Tesorería</v>
      </c>
      <c r="F150" t="s">
        <v>66</v>
      </c>
    </row>
    <row r="151" spans="1:6" x14ac:dyDescent="0.3">
      <c r="A151" s="156" t="s">
        <v>625</v>
      </c>
      <c r="B151" t="s">
        <v>9</v>
      </c>
      <c r="C151" s="159">
        <v>5</v>
      </c>
      <c r="D151" t="str">
        <f>VLOOKUP(A151,DataUsuario!B:D,2,FALSE)</f>
        <v>Administración y Finanzas</v>
      </c>
      <c r="E151" t="str">
        <f>VLOOKUP(A151,DataUsuario!B:D,3,FALSE)</f>
        <v>Sistemas y TI</v>
      </c>
      <c r="F151" t="s">
        <v>66</v>
      </c>
    </row>
    <row r="152" spans="1:6" x14ac:dyDescent="0.3">
      <c r="A152" s="157" t="s">
        <v>85</v>
      </c>
      <c r="B152" t="s">
        <v>9</v>
      </c>
      <c r="C152" s="160">
        <v>5</v>
      </c>
      <c r="D152" t="str">
        <f>VLOOKUP(A152,DataUsuario!B:D,2,FALSE)</f>
        <v>Operaciones</v>
      </c>
      <c r="E152" t="str">
        <f>VLOOKUP(A152,DataUsuario!B:D,3,FALSE)</f>
        <v>Comercial</v>
      </c>
      <c r="F152" t="s">
        <v>70</v>
      </c>
    </row>
    <row r="153" spans="1:6" x14ac:dyDescent="0.3">
      <c r="A153" s="156" t="s">
        <v>194</v>
      </c>
      <c r="B153" t="s">
        <v>9</v>
      </c>
      <c r="C153" s="159">
        <v>5</v>
      </c>
      <c r="D153" t="str">
        <f>VLOOKUP(A153,DataUsuario!B:D,2,FALSE)</f>
        <v>Operaciones</v>
      </c>
      <c r="E153" t="str">
        <f>VLOOKUP(A153,DataUsuario!B:D,3,FALSE)</f>
        <v>Almacenes y Distribución PT</v>
      </c>
      <c r="F153" t="s">
        <v>70</v>
      </c>
    </row>
    <row r="154" spans="1:6" x14ac:dyDescent="0.3">
      <c r="A154" s="157" t="s">
        <v>205</v>
      </c>
      <c r="B154" t="s">
        <v>9</v>
      </c>
      <c r="C154" s="160" t="s">
        <v>655</v>
      </c>
      <c r="D154" t="str">
        <f>VLOOKUP(A154,DataUsuario!B:D,2,FALSE)</f>
        <v>Operaciones</v>
      </c>
      <c r="E154" t="str">
        <f>VLOOKUP(A154,DataUsuario!B:D,3,FALSE)</f>
        <v>Almacenes y Distribución PT</v>
      </c>
      <c r="F154" t="s">
        <v>70</v>
      </c>
    </row>
    <row r="155" spans="1:6" x14ac:dyDescent="0.3">
      <c r="A155" s="156" t="s">
        <v>307</v>
      </c>
      <c r="B155" t="s">
        <v>9</v>
      </c>
      <c r="C155" s="159">
        <v>4</v>
      </c>
      <c r="D155" t="str">
        <f>VLOOKUP(A155,DataUsuario!B:D,2,FALSE)</f>
        <v>Gestión Humana y Sostenibilidad</v>
      </c>
      <c r="E155" t="str">
        <f>VLOOKUP(A155,DataUsuario!B:D,3,FALSE)</f>
        <v>Comunicaciones y Responsabilidad Social</v>
      </c>
      <c r="F155" t="s">
        <v>62</v>
      </c>
    </row>
    <row r="156" spans="1:6" x14ac:dyDescent="0.3">
      <c r="A156" s="157" t="s">
        <v>407</v>
      </c>
      <c r="B156" t="s">
        <v>9</v>
      </c>
      <c r="C156" s="160">
        <v>4</v>
      </c>
      <c r="D156" t="str">
        <f>VLOOKUP(A156,DataUsuario!B:D,2,FALSE)</f>
        <v>Agrícola</v>
      </c>
      <c r="E156" t="str">
        <f>VLOOKUP(A156,DataUsuario!B:D,3,FALSE)</f>
        <v>Laboratorio e Investigación Agricola</v>
      </c>
      <c r="F156" t="s">
        <v>89</v>
      </c>
    </row>
    <row r="157" spans="1:6" x14ac:dyDescent="0.3">
      <c r="A157" s="156" t="s">
        <v>256</v>
      </c>
      <c r="B157" t="s">
        <v>9</v>
      </c>
      <c r="C157" s="159" t="s">
        <v>655</v>
      </c>
      <c r="D157" t="str">
        <f>VLOOKUP(A157,DataUsuario!B:D,2,FALSE)</f>
        <v>Agrícola</v>
      </c>
      <c r="E157" t="str">
        <f>VLOOKUP(A157,DataUsuario!B:D,3,FALSE)</f>
        <v>Fundo Montelima</v>
      </c>
      <c r="F157" t="s">
        <v>89</v>
      </c>
    </row>
    <row r="158" spans="1:6" x14ac:dyDescent="0.3">
      <c r="A158" s="157" t="s">
        <v>362</v>
      </c>
      <c r="B158" t="s">
        <v>9</v>
      </c>
      <c r="C158" s="160">
        <v>5</v>
      </c>
      <c r="D158" t="str">
        <f>VLOOKUP(A158,DataUsuario!B:D,2,FALSE)</f>
        <v>Agrícola</v>
      </c>
      <c r="E158" t="str">
        <f>VLOOKUP(A158,DataUsuario!B:D,3,FALSE)</f>
        <v>Fundo Lobo</v>
      </c>
      <c r="F158" t="s">
        <v>89</v>
      </c>
    </row>
    <row r="159" spans="1:6" x14ac:dyDescent="0.3">
      <c r="A159" s="156" t="s">
        <v>439</v>
      </c>
      <c r="B159" t="s">
        <v>9</v>
      </c>
      <c r="C159" s="159" t="s">
        <v>655</v>
      </c>
      <c r="D159" t="str">
        <f>VLOOKUP(A159,DataUsuario!B:D,2,FALSE)</f>
        <v>Operaciones</v>
      </c>
      <c r="E159" t="str">
        <f>VLOOKUP(A159,DataUsuario!B:D,3,FALSE)</f>
        <v>Comercial</v>
      </c>
      <c r="F159" t="s">
        <v>70</v>
      </c>
    </row>
    <row r="160" spans="1:6" x14ac:dyDescent="0.3">
      <c r="A160" s="157" t="s">
        <v>198</v>
      </c>
      <c r="B160" t="s">
        <v>9</v>
      </c>
      <c r="C160" s="160">
        <v>5</v>
      </c>
      <c r="D160" t="str">
        <f>VLOOKUP(A160,DataUsuario!B:D,2,FALSE)</f>
        <v>Agrícola</v>
      </c>
      <c r="E160" t="str">
        <f>VLOOKUP(A160,DataUsuario!B:D,3,FALSE)</f>
        <v>Fundo Lobo</v>
      </c>
      <c r="F160" t="s">
        <v>89</v>
      </c>
    </row>
    <row r="161" spans="1:6" x14ac:dyDescent="0.3">
      <c r="A161" s="156" t="s">
        <v>202</v>
      </c>
      <c r="B161" t="s">
        <v>9</v>
      </c>
      <c r="C161" s="159">
        <v>5</v>
      </c>
      <c r="D161" t="str">
        <f>VLOOKUP(A161,DataUsuario!B:D,2,FALSE)</f>
        <v>Agrícola</v>
      </c>
      <c r="E161" t="str">
        <f>VLOOKUP(A161,DataUsuario!B:D,3,FALSE)</f>
        <v>Fundo La Huaca</v>
      </c>
      <c r="F161" t="s">
        <v>89</v>
      </c>
    </row>
    <row r="162" spans="1:6" x14ac:dyDescent="0.3">
      <c r="A162" s="157" t="s">
        <v>345</v>
      </c>
      <c r="B162" t="s">
        <v>9</v>
      </c>
      <c r="C162" s="160" t="s">
        <v>655</v>
      </c>
      <c r="D162" t="str">
        <f>VLOOKUP(A162,DataUsuario!B:D,2,FALSE)</f>
        <v>Agrícola</v>
      </c>
      <c r="E162" t="str">
        <f>VLOOKUP(A162,DataUsuario!B:D,3,FALSE)</f>
        <v>Mantenimiento de Riego y Bombas</v>
      </c>
      <c r="F162" t="s">
        <v>89</v>
      </c>
    </row>
    <row r="163" spans="1:6" x14ac:dyDescent="0.3">
      <c r="A163" s="156" t="s">
        <v>251</v>
      </c>
      <c r="B163" t="s">
        <v>9</v>
      </c>
      <c r="C163" s="159" t="s">
        <v>655</v>
      </c>
      <c r="D163" t="str">
        <f>VLOOKUP(A163,DataUsuario!B:D,2,FALSE)</f>
        <v>Industrial y de Mantenimiento</v>
      </c>
      <c r="E163" t="str">
        <f>VLOOKUP(A163,DataUsuario!B:D,3,FALSE)</f>
        <v>Automatización</v>
      </c>
      <c r="F163" t="s">
        <v>74</v>
      </c>
    </row>
    <row r="164" spans="1:6" x14ac:dyDescent="0.3">
      <c r="A164" s="157" t="s">
        <v>150</v>
      </c>
      <c r="B164" t="s">
        <v>9</v>
      </c>
      <c r="C164" s="160" t="s">
        <v>655</v>
      </c>
      <c r="D164" t="str">
        <f>VLOOKUP(A164,DataUsuario!B:D,2,FALSE)</f>
        <v>Industrial y de Mantenimiento</v>
      </c>
      <c r="E164" t="str">
        <f>VLOOKUP(A164,DataUsuario!B:D,3,FALSE)</f>
        <v>Producción</v>
      </c>
      <c r="F164" t="s">
        <v>74</v>
      </c>
    </row>
    <row r="165" spans="1:6" x14ac:dyDescent="0.3">
      <c r="A165" s="156" t="s">
        <v>200</v>
      </c>
      <c r="B165" t="s">
        <v>9</v>
      </c>
      <c r="C165" s="159" t="s">
        <v>655</v>
      </c>
      <c r="D165" t="str">
        <f>VLOOKUP(A165,DataUsuario!B:D,2,FALSE)</f>
        <v>Industrial y de Mantenimiento</v>
      </c>
      <c r="E165" t="str">
        <f>VLOOKUP(A165,DataUsuario!B:D,3,FALSE)</f>
        <v>Electricidad</v>
      </c>
      <c r="F165" t="s">
        <v>74</v>
      </c>
    </row>
    <row r="166" spans="1:6" x14ac:dyDescent="0.3">
      <c r="A166" s="157" t="s">
        <v>305</v>
      </c>
      <c r="B166" t="s">
        <v>9</v>
      </c>
      <c r="C166" s="160" t="s">
        <v>655</v>
      </c>
      <c r="D166" t="str">
        <f>VLOOKUP(A166,DataUsuario!B:D,2,FALSE)</f>
        <v>Industrial y de Mantenimiento</v>
      </c>
      <c r="E166" t="str">
        <f>VLOOKUP(A166,DataUsuario!B:D,3,FALSE)</f>
        <v>Producción</v>
      </c>
      <c r="F166" t="s">
        <v>74</v>
      </c>
    </row>
    <row r="167" spans="1:6" x14ac:dyDescent="0.3">
      <c r="A167" s="156" t="s">
        <v>314</v>
      </c>
      <c r="B167" t="s">
        <v>9</v>
      </c>
      <c r="C167" s="159">
        <v>4</v>
      </c>
      <c r="D167" t="str">
        <f>VLOOKUP(A167,DataUsuario!B:D,2,FALSE)</f>
        <v>Industrial y de Mantenimiento</v>
      </c>
      <c r="E167" t="str">
        <f>VLOOKUP(A167,DataUsuario!B:D,3,FALSE)</f>
        <v>Mantenimiento Industrial</v>
      </c>
      <c r="F167" t="s">
        <v>74</v>
      </c>
    </row>
    <row r="168" spans="1:6" x14ac:dyDescent="0.3">
      <c r="A168" s="157" t="s">
        <v>215</v>
      </c>
      <c r="B168" t="s">
        <v>9</v>
      </c>
      <c r="C168" s="160">
        <v>5</v>
      </c>
      <c r="D168" t="str">
        <f>VLOOKUP(A168,DataUsuario!B:D,2,FALSE)</f>
        <v>Gestión Humana y Sostenibilidad</v>
      </c>
      <c r="E168" t="str">
        <f>VLOOKUP(A168,DataUsuario!B:D,3,FALSE)</f>
        <v>Seguridad</v>
      </c>
      <c r="F168" t="s">
        <v>62</v>
      </c>
    </row>
    <row r="169" spans="1:6" x14ac:dyDescent="0.3">
      <c r="A169" s="156" t="s">
        <v>88</v>
      </c>
      <c r="B169" t="s">
        <v>9</v>
      </c>
      <c r="C169" s="159">
        <v>5</v>
      </c>
      <c r="D169" t="str">
        <f>VLOOKUP(A169,DataUsuario!B:D,2,FALSE)</f>
        <v>Agrícola</v>
      </c>
      <c r="E169" t="str">
        <f>VLOOKUP(A169,DataUsuario!B:D,3,FALSE)</f>
        <v>Fundo Lobo</v>
      </c>
      <c r="F169" t="s">
        <v>89</v>
      </c>
    </row>
    <row r="170" spans="1:6" x14ac:dyDescent="0.3">
      <c r="A170" s="157" t="s">
        <v>267</v>
      </c>
      <c r="B170" t="s">
        <v>9</v>
      </c>
      <c r="C170" s="160">
        <v>5</v>
      </c>
      <c r="D170" t="str">
        <f>VLOOKUP(A170,DataUsuario!B:D,2,FALSE)</f>
        <v>Gestión Humana y Sostenibilidad</v>
      </c>
      <c r="E170" t="str">
        <f>VLOOKUP(A170,DataUsuario!B:D,3,FALSE)</f>
        <v>Sostenibilidad</v>
      </c>
      <c r="F170" t="s">
        <v>62</v>
      </c>
    </row>
    <row r="171" spans="1:6" x14ac:dyDescent="0.3">
      <c r="A171" s="156" t="s">
        <v>637</v>
      </c>
      <c r="B171" t="s">
        <v>9</v>
      </c>
      <c r="C171" s="159">
        <v>4</v>
      </c>
      <c r="D171" t="str">
        <f>VLOOKUP(A171,DataUsuario!B:D,2,FALSE)</f>
        <v>Agrícola</v>
      </c>
      <c r="E171" t="str">
        <f>VLOOKUP(A171,DataUsuario!B:D,3,FALSE)</f>
        <v>Mantenimiento de Riego y Bombas</v>
      </c>
      <c r="F171" t="s">
        <v>89</v>
      </c>
    </row>
    <row r="172" spans="1:6" x14ac:dyDescent="0.3">
      <c r="A172" s="157" t="s">
        <v>369</v>
      </c>
      <c r="B172" t="s">
        <v>9</v>
      </c>
      <c r="C172" s="160" t="s">
        <v>655</v>
      </c>
      <c r="D172" t="str">
        <f>VLOOKUP(A172,DataUsuario!B:D,2,FALSE)</f>
        <v>Agrícola</v>
      </c>
      <c r="E172" t="str">
        <f>VLOOKUP(A172,DataUsuario!B:D,3,FALSE)</f>
        <v>Sistema Integral de Gestión</v>
      </c>
      <c r="F172" t="s">
        <v>89</v>
      </c>
    </row>
    <row r="173" spans="1:6" x14ac:dyDescent="0.3">
      <c r="A173" s="156" t="s">
        <v>365</v>
      </c>
      <c r="B173" t="s">
        <v>9</v>
      </c>
      <c r="C173" s="159">
        <v>3</v>
      </c>
      <c r="D173" t="str">
        <f>VLOOKUP(A173,DataUsuario!B:D,2,FALSE)</f>
        <v>Operaciones</v>
      </c>
      <c r="E173" t="str">
        <f>VLOOKUP(A173,DataUsuario!B:D,3,FALSE)</f>
        <v>Cosecha</v>
      </c>
      <c r="F173" t="s">
        <v>70</v>
      </c>
    </row>
    <row r="174" spans="1:6" x14ac:dyDescent="0.3">
      <c r="A174" s="157" t="s">
        <v>77</v>
      </c>
      <c r="B174" t="s">
        <v>9</v>
      </c>
      <c r="C174" s="160">
        <v>5</v>
      </c>
      <c r="D174" t="str">
        <f>VLOOKUP(A174,DataUsuario!B:D,2,FALSE)</f>
        <v>Operaciones</v>
      </c>
      <c r="E174" t="str">
        <f>VLOOKUP(A174,DataUsuario!B:D,3,FALSE)</f>
        <v>Comercial No Giro</v>
      </c>
      <c r="F174" t="s">
        <v>70</v>
      </c>
    </row>
    <row r="175" spans="1:6" x14ac:dyDescent="0.3">
      <c r="A175" s="156" t="s">
        <v>639</v>
      </c>
      <c r="B175" t="s">
        <v>9</v>
      </c>
      <c r="C175" s="159">
        <v>3</v>
      </c>
      <c r="D175" t="str">
        <f>VLOOKUP(A175,DataUsuario!B:D,2,FALSE)</f>
        <v>Gestión Humana y Sostenibilidad</v>
      </c>
      <c r="E175" t="str">
        <f>VLOOKUP(A175,DataUsuario!B:D,3,FALSE)</f>
        <v>Bienestar - Medico Ocupacional</v>
      </c>
      <c r="F175" t="s">
        <v>62</v>
      </c>
    </row>
    <row r="176" spans="1:6" x14ac:dyDescent="0.3">
      <c r="A176" s="157" t="s">
        <v>260</v>
      </c>
      <c r="B176" t="s">
        <v>9</v>
      </c>
      <c r="C176" s="160">
        <v>3</v>
      </c>
      <c r="D176" t="str">
        <f>VLOOKUP(A176,DataUsuario!B:D,2,FALSE)</f>
        <v>Industrial y de Mantenimiento</v>
      </c>
      <c r="E176" t="str">
        <f>VLOOKUP(A176,DataUsuario!B:D,3,FALSE)</f>
        <v>Producción</v>
      </c>
      <c r="F176" t="s">
        <v>74</v>
      </c>
    </row>
    <row r="177" spans="1:6" x14ac:dyDescent="0.3">
      <c r="A177" s="156" t="s">
        <v>285</v>
      </c>
      <c r="B177" t="s">
        <v>9</v>
      </c>
      <c r="C177" s="159" t="s">
        <v>655</v>
      </c>
      <c r="D177" t="str">
        <f>VLOOKUP(A177,DataUsuario!B:D,2,FALSE)</f>
        <v>Operaciones</v>
      </c>
      <c r="E177" t="str">
        <f>VLOOKUP(A177,DataUsuario!B:D,3,FALSE)</f>
        <v>Comercial</v>
      </c>
      <c r="F177" t="s">
        <v>70</v>
      </c>
    </row>
    <row r="178" spans="1:6" x14ac:dyDescent="0.3">
      <c r="A178" s="157" t="s">
        <v>641</v>
      </c>
      <c r="B178" t="s">
        <v>9</v>
      </c>
      <c r="C178" s="160">
        <v>5</v>
      </c>
      <c r="D178" t="str">
        <f>VLOOKUP(A178,DataUsuario!B:D,2,FALSE)</f>
        <v>Gestión Humana y Sostenibilidad</v>
      </c>
      <c r="E178" t="str">
        <f>VLOOKUP(A178,DataUsuario!B:D,3,FALSE)</f>
        <v>Relaciones Laborales</v>
      </c>
      <c r="F178" t="s">
        <v>62</v>
      </c>
    </row>
    <row r="179" spans="1:6" x14ac:dyDescent="0.3">
      <c r="A179" s="156" t="s">
        <v>642</v>
      </c>
      <c r="B179" t="s">
        <v>9</v>
      </c>
      <c r="C179" s="159">
        <v>4</v>
      </c>
      <c r="D179" t="str">
        <f>VLOOKUP(A179,DataUsuario!B:D,2,FALSE)</f>
        <v>Operaciones</v>
      </c>
      <c r="E179" t="str">
        <f>VLOOKUP(A179,DataUsuario!B:D,3,FALSE)</f>
        <v>Cosecha</v>
      </c>
      <c r="F179" t="s">
        <v>70</v>
      </c>
    </row>
    <row r="180" spans="1:6" x14ac:dyDescent="0.3">
      <c r="A180" s="157" t="s">
        <v>643</v>
      </c>
      <c r="B180" t="s">
        <v>9</v>
      </c>
      <c r="C180" s="160">
        <v>4</v>
      </c>
      <c r="D180" t="str">
        <f>VLOOKUP(A180,DataUsuario!B:D,2,FALSE)</f>
        <v>Gestión Humana y Sostenibilidad</v>
      </c>
      <c r="E180" t="str">
        <f>VLOOKUP(A180,DataUsuario!B:D,3,FALSE)</f>
        <v>Bienestar - Medico Ocupacional</v>
      </c>
      <c r="F180" t="s">
        <v>62</v>
      </c>
    </row>
    <row r="181" spans="1:6" x14ac:dyDescent="0.3">
      <c r="A181" s="156" t="s">
        <v>128</v>
      </c>
      <c r="B181" t="s">
        <v>9</v>
      </c>
      <c r="C181" s="159">
        <v>4</v>
      </c>
      <c r="D181" t="str">
        <f>VLOOKUP(A181,DataUsuario!B:D,2,FALSE)</f>
        <v>Agrícola</v>
      </c>
      <c r="E181" t="str">
        <f>VLOOKUP(A181,DataUsuario!B:D,3,FALSE)</f>
        <v>Fundo Lobo</v>
      </c>
      <c r="F181" t="s">
        <v>89</v>
      </c>
    </row>
    <row r="182" spans="1:6" x14ac:dyDescent="0.3">
      <c r="A182" s="157" t="s">
        <v>326</v>
      </c>
      <c r="B182" t="s">
        <v>9</v>
      </c>
      <c r="C182" s="160">
        <v>3</v>
      </c>
      <c r="D182" t="str">
        <f>VLOOKUP(A182,DataUsuario!B:D,2,FALSE)</f>
        <v>Operaciones</v>
      </c>
      <c r="E182" t="str">
        <f>VLOOKUP(A182,DataUsuario!B:D,3,FALSE)</f>
        <v>Calidad</v>
      </c>
      <c r="F182" t="s">
        <v>70</v>
      </c>
    </row>
    <row r="183" spans="1:6" x14ac:dyDescent="0.3">
      <c r="A183" s="156" t="s">
        <v>162</v>
      </c>
      <c r="B183" t="s">
        <v>9</v>
      </c>
      <c r="C183" s="159">
        <v>5</v>
      </c>
      <c r="D183" t="str">
        <f>VLOOKUP(A183,DataUsuario!B:D,2,FALSE)</f>
        <v>Agrícola</v>
      </c>
      <c r="E183" t="str">
        <f>VLOOKUP(A183,DataUsuario!B:D,3,FALSE)</f>
        <v>Fundo Lobo</v>
      </c>
      <c r="F183" t="s">
        <v>89</v>
      </c>
    </row>
    <row r="184" spans="1:6" x14ac:dyDescent="0.3">
      <c r="A184" s="157" t="s">
        <v>160</v>
      </c>
      <c r="B184" t="s">
        <v>9</v>
      </c>
      <c r="C184" s="160">
        <v>5</v>
      </c>
      <c r="D184" t="str">
        <f>VLOOKUP(A184,DataUsuario!B:D,2,FALSE)</f>
        <v>Agrícola</v>
      </c>
      <c r="E184" t="str">
        <f>VLOOKUP(A184,DataUsuario!B:D,3,FALSE)</f>
        <v>Fundo Lobo</v>
      </c>
      <c r="F184" t="s">
        <v>89</v>
      </c>
    </row>
    <row r="185" spans="1:6" x14ac:dyDescent="0.3">
      <c r="A185" s="156" t="s">
        <v>645</v>
      </c>
      <c r="B185" t="s">
        <v>9</v>
      </c>
      <c r="C185" s="159">
        <v>5</v>
      </c>
      <c r="D185" t="str">
        <f>VLOOKUP(A185,DataUsuario!B:D,2,FALSE)</f>
        <v>Operaciones</v>
      </c>
      <c r="E185" t="str">
        <f>VLOOKUP(A185,DataUsuario!B:D,3,FALSE)</f>
        <v>Cosecha</v>
      </c>
      <c r="F185" t="s">
        <v>70</v>
      </c>
    </row>
    <row r="186" spans="1:6" x14ac:dyDescent="0.3">
      <c r="A186" s="157" t="s">
        <v>646</v>
      </c>
      <c r="B186" t="s">
        <v>9</v>
      </c>
      <c r="C186" s="160">
        <v>5</v>
      </c>
      <c r="D186" t="str">
        <f>VLOOKUP(A186,DataUsuario!B:D,2,FALSE)</f>
        <v>Operaciones</v>
      </c>
      <c r="E186" t="str">
        <f>VLOOKUP(A186,DataUsuario!B:D,3,FALSE)</f>
        <v xml:space="preserve">Almacén </v>
      </c>
      <c r="F186" t="s">
        <v>70</v>
      </c>
    </row>
    <row r="187" spans="1:6" x14ac:dyDescent="0.3">
      <c r="A187" s="156" t="s">
        <v>647</v>
      </c>
      <c r="B187" t="s">
        <v>9</v>
      </c>
      <c r="C187" s="159">
        <v>4</v>
      </c>
      <c r="D187" t="str">
        <f>VLOOKUP(A187,DataUsuario!B:D,2,FALSE)</f>
        <v>Operaciones</v>
      </c>
      <c r="E187" t="str">
        <f>VLOOKUP(A187,DataUsuario!B:D,3,FALSE)</f>
        <v>Almacenes y Distribución PT</v>
      </c>
      <c r="F187" t="s">
        <v>70</v>
      </c>
    </row>
    <row r="188" spans="1:6" x14ac:dyDescent="0.3">
      <c r="A188" s="157" t="s">
        <v>61</v>
      </c>
      <c r="B188" t="s">
        <v>9</v>
      </c>
      <c r="C188" s="160">
        <v>4</v>
      </c>
      <c r="D188" t="str">
        <f>VLOOKUP(A188,DataUsuario!B:D,2,FALSE)</f>
        <v>Gestión Humana y Sostenibilidad</v>
      </c>
      <c r="E188" t="str">
        <f>VLOOKUP(A188,DataUsuario!B:D,3,FALSE)</f>
        <v>Compensación y Nóminas</v>
      </c>
      <c r="F188" t="s">
        <v>62</v>
      </c>
    </row>
    <row r="189" spans="1:6" x14ac:dyDescent="0.3">
      <c r="A189" s="156" t="s">
        <v>350</v>
      </c>
      <c r="B189" t="s">
        <v>9</v>
      </c>
      <c r="C189" s="159" t="s">
        <v>655</v>
      </c>
      <c r="D189" t="str">
        <f>VLOOKUP(A189,DataUsuario!B:D,2,FALSE)</f>
        <v>Agrícola</v>
      </c>
      <c r="E189" t="str">
        <f>VLOOKUP(A189,DataUsuario!B:D,3,FALSE)</f>
        <v>Planificador Agrícola</v>
      </c>
      <c r="F189" t="s">
        <v>89</v>
      </c>
    </row>
    <row r="190" spans="1:6" x14ac:dyDescent="0.3">
      <c r="A190" s="157" t="s">
        <v>359</v>
      </c>
      <c r="B190" t="s">
        <v>9</v>
      </c>
      <c r="C190" s="160" t="s">
        <v>655</v>
      </c>
      <c r="D190" t="str">
        <f>VLOOKUP(A190,DataUsuario!B:D,2,FALSE)</f>
        <v>Operaciones</v>
      </c>
      <c r="E190" t="str">
        <f>VLOOKUP(A190,DataUsuario!B:D,3,FALSE)</f>
        <v>Gerencia de Operaciones</v>
      </c>
      <c r="F190" t="s">
        <v>70</v>
      </c>
    </row>
    <row r="191" spans="1:6" x14ac:dyDescent="0.3">
      <c r="A191" s="156" t="s">
        <v>303</v>
      </c>
      <c r="B191" t="s">
        <v>9</v>
      </c>
      <c r="C191" s="159">
        <v>4</v>
      </c>
      <c r="D191" t="str">
        <f>VLOOKUP(A191,DataUsuario!B:D,2,FALSE)</f>
        <v>Administración y Finanzas</v>
      </c>
      <c r="E191" t="str">
        <f>VLOOKUP(A191,DataUsuario!B:D,3,FALSE)</f>
        <v>Control de Gestión</v>
      </c>
      <c r="F191" t="s">
        <v>66</v>
      </c>
    </row>
    <row r="192" spans="1:6" x14ac:dyDescent="0.3">
      <c r="A192" s="157" t="s">
        <v>372</v>
      </c>
      <c r="B192" t="s">
        <v>9</v>
      </c>
      <c r="C192" s="160">
        <v>3</v>
      </c>
      <c r="D192" t="str">
        <f>VLOOKUP(A192,DataUsuario!B:D,2,FALSE)</f>
        <v>Agrícola</v>
      </c>
      <c r="E192" t="str">
        <f>VLOOKUP(A192,DataUsuario!B:D,3,FALSE)</f>
        <v>Laboratorio e Investigación Agricola</v>
      </c>
      <c r="F192" t="s">
        <v>89</v>
      </c>
    </row>
    <row r="193" spans="1:6" x14ac:dyDescent="0.3">
      <c r="A193" s="156" t="s">
        <v>399</v>
      </c>
      <c r="B193" t="s">
        <v>9</v>
      </c>
      <c r="C193" s="159">
        <v>3</v>
      </c>
      <c r="D193" t="str">
        <f>VLOOKUP(A193,DataUsuario!B:D,2,FALSE)</f>
        <v>Gestión Humana y Sostenibilidad</v>
      </c>
      <c r="E193" t="str">
        <f>VLOOKUP(A193,DataUsuario!B:D,3,FALSE)</f>
        <v>Seguridad</v>
      </c>
      <c r="F193" t="s">
        <v>62</v>
      </c>
    </row>
    <row r="194" spans="1:6" x14ac:dyDescent="0.3">
      <c r="A194" s="157" t="s">
        <v>123</v>
      </c>
      <c r="B194" t="s">
        <v>9</v>
      </c>
      <c r="C194" s="160" t="s">
        <v>655</v>
      </c>
      <c r="D194" t="str">
        <f>VLOOKUP(A194,DataUsuario!B:D,2,FALSE)</f>
        <v>Administración y Finanzas</v>
      </c>
      <c r="E194" t="str">
        <f>VLOOKUP(A194,DataUsuario!B:D,3,FALSE)</f>
        <v>Gerencia Administración y Finanzas</v>
      </c>
      <c r="F194" t="s">
        <v>66</v>
      </c>
    </row>
    <row r="195" spans="1:6" x14ac:dyDescent="0.3">
      <c r="A195" s="158" t="s">
        <v>352</v>
      </c>
      <c r="B195" t="s">
        <v>9</v>
      </c>
      <c r="C195" s="161" t="s">
        <v>655</v>
      </c>
      <c r="D195" t="str">
        <f>VLOOKUP(A195,DataUsuario!B:D,2,FALSE)</f>
        <v>Gestión Humana y Sostenibilidad</v>
      </c>
      <c r="E195" t="str">
        <f>VLOOKUP(A195,DataUsuario!B:D,3,FALSE)</f>
        <v>Compensación y Nóminas</v>
      </c>
      <c r="F195" t="s">
        <v>62</v>
      </c>
    </row>
    <row r="196" spans="1:6" x14ac:dyDescent="0.3">
      <c r="A196" s="156" t="s">
        <v>592</v>
      </c>
      <c r="B196" t="s">
        <v>10</v>
      </c>
      <c r="C196" s="159">
        <v>5</v>
      </c>
      <c r="D196" t="str">
        <f>VLOOKUP(A196,DataUsuario!B:D,2,FALSE)</f>
        <v>Gestión Humana y Sostenibilidad</v>
      </c>
      <c r="E196" t="str">
        <f>VLOOKUP(A196,DataUsuario!B:D,3,FALSE)</f>
        <v>Seguridad</v>
      </c>
      <c r="F196" t="s">
        <v>62</v>
      </c>
    </row>
    <row r="197" spans="1:6" x14ac:dyDescent="0.3">
      <c r="A197" s="157" t="s">
        <v>192</v>
      </c>
      <c r="B197" t="s">
        <v>10</v>
      </c>
      <c r="C197" s="160">
        <v>4</v>
      </c>
      <c r="D197" t="str">
        <f>VLOOKUP(A197,DataUsuario!B:D,2,FALSE)</f>
        <v>Agrícola</v>
      </c>
      <c r="E197" t="str">
        <f>VLOOKUP(A197,DataUsuario!B:D,3,FALSE)</f>
        <v>Mantenimiento de Riego y Bombas</v>
      </c>
      <c r="F197" t="s">
        <v>89</v>
      </c>
    </row>
    <row r="198" spans="1:6" x14ac:dyDescent="0.3">
      <c r="A198" s="156" t="s">
        <v>92</v>
      </c>
      <c r="B198" t="s">
        <v>10</v>
      </c>
      <c r="C198" s="159">
        <v>5</v>
      </c>
      <c r="D198" t="str">
        <f>VLOOKUP(A198,DataUsuario!B:D,2,FALSE)</f>
        <v>Administración y Finanzas</v>
      </c>
      <c r="E198" t="str">
        <f>VLOOKUP(A198,DataUsuario!B:D,3,FALSE)</f>
        <v>Control de Gestión</v>
      </c>
      <c r="F198" t="s">
        <v>66</v>
      </c>
    </row>
    <row r="199" spans="1:6" x14ac:dyDescent="0.3">
      <c r="A199" s="157" t="s">
        <v>145</v>
      </c>
      <c r="B199" t="s">
        <v>10</v>
      </c>
      <c r="C199" s="160">
        <v>5</v>
      </c>
      <c r="D199" t="str">
        <f>VLOOKUP(A199,DataUsuario!B:D,2,FALSE)</f>
        <v>Administración y Finanzas</v>
      </c>
      <c r="E199" t="str">
        <f>VLOOKUP(A199,DataUsuario!B:D,3,FALSE)</f>
        <v>Legal</v>
      </c>
      <c r="F199" t="s">
        <v>66</v>
      </c>
    </row>
    <row r="200" spans="1:6" x14ac:dyDescent="0.3">
      <c r="A200" s="156" t="s">
        <v>341</v>
      </c>
      <c r="B200" t="s">
        <v>10</v>
      </c>
      <c r="C200" s="159">
        <v>5</v>
      </c>
      <c r="D200" t="str">
        <f>VLOOKUP(A200,DataUsuario!B:D,2,FALSE)</f>
        <v>Administración y Finanzas</v>
      </c>
      <c r="E200" t="str">
        <f>VLOOKUP(A200,DataUsuario!B:D,3,FALSE)</f>
        <v>Contabilidad Tributaria</v>
      </c>
      <c r="F200" t="s">
        <v>66</v>
      </c>
    </row>
    <row r="201" spans="1:6" x14ac:dyDescent="0.3">
      <c r="A201" s="157" t="s">
        <v>115</v>
      </c>
      <c r="B201" t="s">
        <v>10</v>
      </c>
      <c r="C201" s="160">
        <v>4</v>
      </c>
      <c r="D201" t="str">
        <f>VLOOKUP(A201,DataUsuario!B:D,2,FALSE)</f>
        <v>Industrial y de Mantenimiento</v>
      </c>
      <c r="E201" t="str">
        <f>VLOOKUP(A201,DataUsuario!B:D,3,FALSE)</f>
        <v>Mantenimiento de Transportes</v>
      </c>
      <c r="F201" t="s">
        <v>74</v>
      </c>
    </row>
    <row r="202" spans="1:6" x14ac:dyDescent="0.3">
      <c r="A202" s="156" t="s">
        <v>299</v>
      </c>
      <c r="B202" t="s">
        <v>10</v>
      </c>
      <c r="C202" s="159">
        <v>3</v>
      </c>
      <c r="D202" t="str">
        <f>VLOOKUP(A202,DataUsuario!B:D,2,FALSE)</f>
        <v>Administración y Finanzas</v>
      </c>
      <c r="E202" t="str">
        <f>VLOOKUP(A202,DataUsuario!B:D,3,FALSE)</f>
        <v>Legal</v>
      </c>
      <c r="F202" t="s">
        <v>66</v>
      </c>
    </row>
    <row r="203" spans="1:6" x14ac:dyDescent="0.3">
      <c r="A203" s="157" t="s">
        <v>322</v>
      </c>
      <c r="B203" t="s">
        <v>10</v>
      </c>
      <c r="C203" s="160">
        <v>4</v>
      </c>
      <c r="D203" t="str">
        <f>VLOOKUP(A203,DataUsuario!B:D,2,FALSE)</f>
        <v>Administración y Finanzas</v>
      </c>
      <c r="E203" t="str">
        <f>VLOOKUP(A203,DataUsuario!B:D,3,FALSE)</f>
        <v>Finanzas y Tesorería</v>
      </c>
      <c r="F203" t="s">
        <v>66</v>
      </c>
    </row>
    <row r="204" spans="1:6" x14ac:dyDescent="0.3">
      <c r="A204" s="156" t="s">
        <v>138</v>
      </c>
      <c r="B204" t="s">
        <v>10</v>
      </c>
      <c r="C204" s="159">
        <v>4</v>
      </c>
      <c r="D204" t="str">
        <f>VLOOKUP(A204,DataUsuario!B:D,2,FALSE)</f>
        <v>Gestión Humana y Sostenibilidad</v>
      </c>
      <c r="E204" t="str">
        <f>VLOOKUP(A204,DataUsuario!B:D,3,FALSE)</f>
        <v>Gestion del Talento</v>
      </c>
      <c r="F204" t="s">
        <v>62</v>
      </c>
    </row>
    <row r="205" spans="1:6" x14ac:dyDescent="0.3">
      <c r="A205" s="157" t="s">
        <v>595</v>
      </c>
      <c r="B205" t="s">
        <v>10</v>
      </c>
      <c r="C205" s="160">
        <v>4</v>
      </c>
      <c r="D205" t="str">
        <f>VLOOKUP(A205,DataUsuario!B:D,2,FALSE)</f>
        <v>Operaciones</v>
      </c>
      <c r="E205" t="str">
        <f>VLOOKUP(A205,DataUsuario!B:D,3,FALSE)</f>
        <v>Transporte</v>
      </c>
      <c r="F205" t="s">
        <v>70</v>
      </c>
    </row>
    <row r="206" spans="1:6" x14ac:dyDescent="0.3">
      <c r="A206" s="156" t="s">
        <v>82</v>
      </c>
      <c r="B206" t="s">
        <v>10</v>
      </c>
      <c r="C206" s="159">
        <v>4</v>
      </c>
      <c r="D206" t="str">
        <f>VLOOKUP(A206,DataUsuario!B:D,2,FALSE)</f>
        <v>Industrial y de Mantenimiento</v>
      </c>
      <c r="E206" t="str">
        <f>VLOOKUP(A206,DataUsuario!B:D,3,FALSE)</f>
        <v>Producción</v>
      </c>
      <c r="F206" t="s">
        <v>74</v>
      </c>
    </row>
    <row r="207" spans="1:6" x14ac:dyDescent="0.3">
      <c r="A207" s="157" t="s">
        <v>378</v>
      </c>
      <c r="B207" t="s">
        <v>10</v>
      </c>
      <c r="C207" s="160">
        <v>3</v>
      </c>
      <c r="D207" t="str">
        <f>VLOOKUP(A207,DataUsuario!B:D,2,FALSE)</f>
        <v>Industrial y de Mantenimiento</v>
      </c>
      <c r="E207" t="str">
        <f>VLOOKUP(A207,DataUsuario!B:D,3,FALSE)</f>
        <v>Gerencia industrial y de Mantenimiento</v>
      </c>
      <c r="F207" t="s">
        <v>74</v>
      </c>
    </row>
    <row r="208" spans="1:6" x14ac:dyDescent="0.3">
      <c r="A208" s="156" t="s">
        <v>435</v>
      </c>
      <c r="B208" t="s">
        <v>10</v>
      </c>
      <c r="C208" s="159">
        <v>3</v>
      </c>
      <c r="D208" t="str">
        <f>VLOOKUP(A208,DataUsuario!B:D,2,FALSE)</f>
        <v>Operaciones</v>
      </c>
      <c r="E208" t="str">
        <f>VLOOKUP(A208,DataUsuario!B:D,3,FALSE)</f>
        <v>Almacenes y Distribución PT</v>
      </c>
      <c r="F208" t="s">
        <v>70</v>
      </c>
    </row>
    <row r="209" spans="1:6" x14ac:dyDescent="0.3">
      <c r="A209" s="157" t="s">
        <v>431</v>
      </c>
      <c r="B209" t="s">
        <v>10</v>
      </c>
      <c r="C209" s="160">
        <v>4</v>
      </c>
      <c r="D209" t="str">
        <f>VLOOKUP(A209,DataUsuario!B:D,2,FALSE)</f>
        <v>Agrícola</v>
      </c>
      <c r="E209" t="str">
        <f>VLOOKUP(A209,DataUsuario!B:D,3,FALSE)</f>
        <v>Fundo San Vicente</v>
      </c>
      <c r="F209" t="s">
        <v>89</v>
      </c>
    </row>
    <row r="210" spans="1:6" x14ac:dyDescent="0.3">
      <c r="A210" s="156" t="s">
        <v>133</v>
      </c>
      <c r="B210" t="s">
        <v>10</v>
      </c>
      <c r="C210" s="159">
        <v>3</v>
      </c>
      <c r="D210" t="str">
        <f>VLOOKUP(A210,DataUsuario!B:D,2,FALSE)</f>
        <v>Industrial y de Mantenimiento</v>
      </c>
      <c r="E210" t="str">
        <f>VLOOKUP(A210,DataUsuario!B:D,3,FALSE)</f>
        <v>Electricidad</v>
      </c>
      <c r="F210" t="s">
        <v>74</v>
      </c>
    </row>
    <row r="211" spans="1:6" x14ac:dyDescent="0.3">
      <c r="A211" s="157" t="s">
        <v>598</v>
      </c>
      <c r="B211" t="s">
        <v>10</v>
      </c>
      <c r="C211" s="160">
        <v>4</v>
      </c>
      <c r="D211" t="str">
        <f>VLOOKUP(A211,DataUsuario!B:D,2,FALSE)</f>
        <v>Agrícola</v>
      </c>
      <c r="E211" t="str">
        <f>VLOOKUP(A211,DataUsuario!B:D,3,FALSE)</f>
        <v>Fundo San Vicente</v>
      </c>
      <c r="F211" t="s">
        <v>89</v>
      </c>
    </row>
    <row r="212" spans="1:6" x14ac:dyDescent="0.3">
      <c r="A212" s="156" t="s">
        <v>221</v>
      </c>
      <c r="B212" t="s">
        <v>10</v>
      </c>
      <c r="C212" s="159">
        <v>5</v>
      </c>
      <c r="D212" t="str">
        <f>VLOOKUP(A212,DataUsuario!B:D,2,FALSE)</f>
        <v>Administración y Finanzas</v>
      </c>
      <c r="E212" t="str">
        <f>VLOOKUP(A212,DataUsuario!B:D,3,FALSE)</f>
        <v>Sistemas y TI</v>
      </c>
      <c r="F212" t="s">
        <v>66</v>
      </c>
    </row>
    <row r="213" spans="1:6" x14ac:dyDescent="0.3">
      <c r="A213" s="157" t="s">
        <v>376</v>
      </c>
      <c r="B213" t="s">
        <v>10</v>
      </c>
      <c r="C213" s="160" t="s">
        <v>655</v>
      </c>
      <c r="D213" t="str">
        <f>VLOOKUP(A213,DataUsuario!B:D,2,FALSE)</f>
        <v>Administración y Finanzas</v>
      </c>
      <c r="E213" t="str">
        <f>VLOOKUP(A213,DataUsuario!B:D,3,FALSE)</f>
        <v>Control de Gestión</v>
      </c>
      <c r="F213" t="s">
        <v>66</v>
      </c>
    </row>
    <row r="214" spans="1:6" x14ac:dyDescent="0.3">
      <c r="A214" s="156" t="s">
        <v>207</v>
      </c>
      <c r="B214" t="s">
        <v>10</v>
      </c>
      <c r="C214" s="159">
        <v>4</v>
      </c>
      <c r="D214" t="str">
        <f>VLOOKUP(A214,DataUsuario!B:D,2,FALSE)</f>
        <v>Administración y Finanzas</v>
      </c>
      <c r="E214" t="str">
        <f>VLOOKUP(A214,DataUsuario!B:D,3,FALSE)</f>
        <v>Riesgos y Cumplimiento</v>
      </c>
      <c r="F214" t="s">
        <v>66</v>
      </c>
    </row>
    <row r="215" spans="1:6" x14ac:dyDescent="0.3">
      <c r="A215" s="157" t="s">
        <v>170</v>
      </c>
      <c r="B215" t="s">
        <v>10</v>
      </c>
      <c r="C215" s="160">
        <v>4</v>
      </c>
      <c r="D215" t="str">
        <f>VLOOKUP(A215,DataUsuario!B:D,2,FALSE)</f>
        <v>Operaciones</v>
      </c>
      <c r="E215" t="str">
        <f>VLOOKUP(A215,DataUsuario!B:D,3,FALSE)</f>
        <v>Mantenimiento CAT</v>
      </c>
      <c r="F215" t="s">
        <v>70</v>
      </c>
    </row>
    <row r="216" spans="1:6" x14ac:dyDescent="0.3">
      <c r="A216" s="156" t="s">
        <v>603</v>
      </c>
      <c r="B216" t="s">
        <v>10</v>
      </c>
      <c r="C216" s="159">
        <v>5</v>
      </c>
      <c r="D216" t="str">
        <f>VLOOKUP(A216,DataUsuario!B:D,2,FALSE)</f>
        <v>Agrícola</v>
      </c>
      <c r="E216" t="str">
        <f>VLOOKUP(A216,DataUsuario!B:D,3,FALSE)</f>
        <v>Mantenimiento de Riego y Bombas</v>
      </c>
      <c r="F216" t="s">
        <v>89</v>
      </c>
    </row>
    <row r="217" spans="1:6" x14ac:dyDescent="0.3">
      <c r="A217" s="157" t="s">
        <v>318</v>
      </c>
      <c r="B217" t="s">
        <v>10</v>
      </c>
      <c r="C217" s="160">
        <v>4</v>
      </c>
      <c r="D217" t="str">
        <f>VLOOKUP(A217,DataUsuario!B:D,2,FALSE)</f>
        <v>Operaciones</v>
      </c>
      <c r="E217" t="str">
        <f>VLOOKUP(A217,DataUsuario!B:D,3,FALSE)</f>
        <v>Cosecha</v>
      </c>
      <c r="F217" t="s">
        <v>70</v>
      </c>
    </row>
    <row r="218" spans="1:6" x14ac:dyDescent="0.3">
      <c r="A218" s="156" t="s">
        <v>604</v>
      </c>
      <c r="B218" t="s">
        <v>10</v>
      </c>
      <c r="C218" s="159">
        <v>5</v>
      </c>
      <c r="D218" t="str">
        <f>VLOOKUP(A218,DataUsuario!B:D,2,FALSE)</f>
        <v>Industrial y de Mantenimiento</v>
      </c>
      <c r="E218" t="str">
        <f>VLOOKUP(A218,DataUsuario!B:D,3,FALSE)</f>
        <v>Mantenimiento Industrial</v>
      </c>
      <c r="F218" t="s">
        <v>74</v>
      </c>
    </row>
    <row r="219" spans="1:6" x14ac:dyDescent="0.3">
      <c r="A219" s="157" t="s">
        <v>312</v>
      </c>
      <c r="B219" t="s">
        <v>10</v>
      </c>
      <c r="C219" s="160">
        <v>4</v>
      </c>
      <c r="D219" t="str">
        <f>VLOOKUP(A219,DataUsuario!B:D,2,FALSE)</f>
        <v>Operaciones</v>
      </c>
      <c r="E219" t="str">
        <f>VLOOKUP(A219,DataUsuario!B:D,3,FALSE)</f>
        <v>Calidad</v>
      </c>
      <c r="F219" t="s">
        <v>70</v>
      </c>
    </row>
    <row r="220" spans="1:6" x14ac:dyDescent="0.3">
      <c r="A220" s="156" t="s">
        <v>176</v>
      </c>
      <c r="B220" t="s">
        <v>10</v>
      </c>
      <c r="C220" s="159">
        <v>5</v>
      </c>
      <c r="D220" t="str">
        <f>VLOOKUP(A220,DataUsuario!B:D,2,FALSE)</f>
        <v>Administración y Finanzas</v>
      </c>
      <c r="E220" t="str">
        <f>VLOOKUP(A220,DataUsuario!B:D,3,FALSE)</f>
        <v>Cadenas Productivas</v>
      </c>
      <c r="F220" t="s">
        <v>66</v>
      </c>
    </row>
    <row r="221" spans="1:6" x14ac:dyDescent="0.3">
      <c r="A221" s="157" t="s">
        <v>337</v>
      </c>
      <c r="B221" t="s">
        <v>10</v>
      </c>
      <c r="C221" s="160">
        <v>5</v>
      </c>
      <c r="D221" t="str">
        <f>VLOOKUP(A221,DataUsuario!B:D,2,FALSE)</f>
        <v>Agrícola</v>
      </c>
      <c r="E221" t="str">
        <f>VLOOKUP(A221,DataUsuario!B:D,3,FALSE)</f>
        <v>Fundo San Vicente</v>
      </c>
      <c r="F221" t="s">
        <v>89</v>
      </c>
    </row>
    <row r="222" spans="1:6" x14ac:dyDescent="0.3">
      <c r="A222" s="156" t="s">
        <v>374</v>
      </c>
      <c r="B222" t="s">
        <v>10</v>
      </c>
      <c r="C222" s="159">
        <v>4</v>
      </c>
      <c r="D222" t="str">
        <f>VLOOKUP(A222,DataUsuario!B:D,2,FALSE)</f>
        <v>Agrícola</v>
      </c>
      <c r="E222" t="str">
        <f>VLOOKUP(A222,DataUsuario!B:D,3,FALSE)</f>
        <v>Mantenimiento de Riego y Bombas</v>
      </c>
      <c r="F222" t="s">
        <v>89</v>
      </c>
    </row>
    <row r="223" spans="1:6" x14ac:dyDescent="0.3">
      <c r="A223" s="157" t="s">
        <v>236</v>
      </c>
      <c r="B223" t="s">
        <v>10</v>
      </c>
      <c r="C223" s="160">
        <v>5</v>
      </c>
      <c r="D223" t="str">
        <f>VLOOKUP(A223,DataUsuario!B:D,2,FALSE)</f>
        <v>Administración y Finanzas</v>
      </c>
      <c r="E223" t="str">
        <f>VLOOKUP(A223,DataUsuario!B:D,3,FALSE)</f>
        <v>Sistemas y TI</v>
      </c>
      <c r="F223" t="s">
        <v>66</v>
      </c>
    </row>
    <row r="224" spans="1:6" x14ac:dyDescent="0.3">
      <c r="A224" s="156" t="s">
        <v>423</v>
      </c>
      <c r="B224" t="s">
        <v>10</v>
      </c>
      <c r="C224" s="159">
        <v>4</v>
      </c>
      <c r="D224" t="str">
        <f>VLOOKUP(A224,DataUsuario!B:D,2,FALSE)</f>
        <v>Industrial y de Mantenimiento</v>
      </c>
      <c r="E224" t="str">
        <f>VLOOKUP(A224,DataUsuario!B:D,3,FALSE)</f>
        <v>Producción</v>
      </c>
      <c r="F224" t="s">
        <v>74</v>
      </c>
    </row>
    <row r="225" spans="1:6" x14ac:dyDescent="0.3">
      <c r="A225" s="157" t="s">
        <v>271</v>
      </c>
      <c r="B225" t="s">
        <v>10</v>
      </c>
      <c r="C225" s="160">
        <v>5</v>
      </c>
      <c r="D225" t="str">
        <f>VLOOKUP(A225,DataUsuario!B:D,2,FALSE)</f>
        <v>Operaciones</v>
      </c>
      <c r="E225" t="str">
        <f>VLOOKUP(A225,DataUsuario!B:D,3,FALSE)</f>
        <v>Calidad</v>
      </c>
      <c r="F225" t="s">
        <v>70</v>
      </c>
    </row>
    <row r="226" spans="1:6" x14ac:dyDescent="0.3">
      <c r="A226" s="156" t="s">
        <v>258</v>
      </c>
      <c r="B226" t="s">
        <v>10</v>
      </c>
      <c r="C226" s="159">
        <v>4</v>
      </c>
      <c r="D226" t="str">
        <f>VLOOKUP(A226,DataUsuario!B:D,2,FALSE)</f>
        <v>Operaciones</v>
      </c>
      <c r="E226" t="str">
        <f>VLOOKUP(A226,DataUsuario!B:D,3,FALSE)</f>
        <v>Calidad</v>
      </c>
      <c r="F226" t="s">
        <v>70</v>
      </c>
    </row>
    <row r="227" spans="1:6" x14ac:dyDescent="0.3">
      <c r="A227" s="157" t="s">
        <v>612</v>
      </c>
      <c r="B227" t="s">
        <v>10</v>
      </c>
      <c r="C227" s="160">
        <v>5</v>
      </c>
      <c r="D227" t="str">
        <f>VLOOKUP(A227,DataUsuario!B:D,2,FALSE)</f>
        <v>Gestión Humana y Sostenibilidad</v>
      </c>
      <c r="E227" t="str">
        <f>VLOOKUP(A227,DataUsuario!B:D,3,FALSE)</f>
        <v>Gestor de Recursos Humanos</v>
      </c>
      <c r="F227" t="s">
        <v>62</v>
      </c>
    </row>
    <row r="228" spans="1:6" x14ac:dyDescent="0.3">
      <c r="A228" s="156" t="s">
        <v>614</v>
      </c>
      <c r="B228" t="s">
        <v>10</v>
      </c>
      <c r="C228" s="159">
        <v>5</v>
      </c>
      <c r="D228" t="str">
        <f>VLOOKUP(A228,DataUsuario!B:D,2,FALSE)</f>
        <v>Administración y Finanzas</v>
      </c>
      <c r="E228" t="str">
        <f>VLOOKUP(A228,DataUsuario!B:D,3,FALSE)</f>
        <v>Sistemas y TI</v>
      </c>
      <c r="F228" t="s">
        <v>66</v>
      </c>
    </row>
    <row r="229" spans="1:6" x14ac:dyDescent="0.3">
      <c r="A229" s="157" t="s">
        <v>242</v>
      </c>
      <c r="B229" t="s">
        <v>10</v>
      </c>
      <c r="C229" s="160">
        <v>4</v>
      </c>
      <c r="D229" t="str">
        <f>VLOOKUP(A229,DataUsuario!B:D,2,FALSE)</f>
        <v>Agrícola</v>
      </c>
      <c r="E229" t="str">
        <f>VLOOKUP(A229,DataUsuario!B:D,3,FALSE)</f>
        <v>Fundo Montelima</v>
      </c>
      <c r="F229" t="s">
        <v>89</v>
      </c>
    </row>
    <row r="230" spans="1:6" x14ac:dyDescent="0.3">
      <c r="A230" s="156" t="s">
        <v>196</v>
      </c>
      <c r="B230" t="s">
        <v>10</v>
      </c>
      <c r="C230" s="159">
        <v>4</v>
      </c>
      <c r="D230" t="str">
        <f>VLOOKUP(A230,DataUsuario!B:D,2,FALSE)</f>
        <v>Agrícola</v>
      </c>
      <c r="E230" t="str">
        <f>VLOOKUP(A230,DataUsuario!B:D,3,FALSE)</f>
        <v>Mantenimiento de Riego y Bombas</v>
      </c>
      <c r="F230" t="s">
        <v>89</v>
      </c>
    </row>
    <row r="231" spans="1:6" x14ac:dyDescent="0.3">
      <c r="A231" s="157" t="s">
        <v>224</v>
      </c>
      <c r="B231" t="s">
        <v>10</v>
      </c>
      <c r="C231" s="160">
        <v>4</v>
      </c>
      <c r="D231" t="str">
        <f>VLOOKUP(A231,DataUsuario!B:D,2,FALSE)</f>
        <v>Agrícola</v>
      </c>
      <c r="E231" t="str">
        <f>VLOOKUP(A231,DataUsuario!B:D,3,FALSE)</f>
        <v>Laboratorio e Investigación Agricola</v>
      </c>
      <c r="F231" t="s">
        <v>89</v>
      </c>
    </row>
    <row r="232" spans="1:6" x14ac:dyDescent="0.3">
      <c r="A232" s="156" t="s">
        <v>385</v>
      </c>
      <c r="B232" t="s">
        <v>10</v>
      </c>
      <c r="C232" s="159">
        <v>5</v>
      </c>
      <c r="D232" t="str">
        <f>VLOOKUP(A232,DataUsuario!B:D,2,FALSE)</f>
        <v>Agrícola</v>
      </c>
      <c r="E232" t="str">
        <f>VLOOKUP(A232,DataUsuario!B:D,3,FALSE)</f>
        <v>Fundo Montelima</v>
      </c>
      <c r="F232" t="s">
        <v>89</v>
      </c>
    </row>
    <row r="233" spans="1:6" x14ac:dyDescent="0.3">
      <c r="A233" s="157" t="s">
        <v>183</v>
      </c>
      <c r="B233" t="s">
        <v>10</v>
      </c>
      <c r="C233" s="160">
        <v>4</v>
      </c>
      <c r="D233" t="str">
        <f>VLOOKUP(A233,DataUsuario!B:D,2,FALSE)</f>
        <v>Agrícola</v>
      </c>
      <c r="E233" t="str">
        <f>VLOOKUP(A233,DataUsuario!B:D,3,FALSE)</f>
        <v>Planificador Agrícola</v>
      </c>
      <c r="F233" t="s">
        <v>89</v>
      </c>
    </row>
    <row r="234" spans="1:6" x14ac:dyDescent="0.3">
      <c r="A234" s="156" t="s">
        <v>617</v>
      </c>
      <c r="B234" t="s">
        <v>10</v>
      </c>
      <c r="C234" s="159" t="s">
        <v>655</v>
      </c>
      <c r="D234" t="str">
        <f>VLOOKUP(A234,DataUsuario!B:D,2,FALSE)</f>
        <v>Gestión Humana y Sostenibilidad</v>
      </c>
      <c r="E234" t="str">
        <f>VLOOKUP(A234,DataUsuario!B:D,3,FALSE)</f>
        <v>Seguridad</v>
      </c>
      <c r="F234" t="s">
        <v>62</v>
      </c>
    </row>
    <row r="235" spans="1:6" x14ac:dyDescent="0.3">
      <c r="A235" s="157" t="s">
        <v>383</v>
      </c>
      <c r="B235" t="s">
        <v>10</v>
      </c>
      <c r="C235" s="160">
        <v>5</v>
      </c>
      <c r="D235" t="str">
        <f>VLOOKUP(A235,DataUsuario!B:D,2,FALSE)</f>
        <v>Agrícola</v>
      </c>
      <c r="E235" t="str">
        <f>VLOOKUP(A235,DataUsuario!B:D,3,FALSE)</f>
        <v>Fundo Lobo</v>
      </c>
      <c r="F235" t="s">
        <v>89</v>
      </c>
    </row>
    <row r="236" spans="1:6" x14ac:dyDescent="0.3">
      <c r="A236" s="156" t="s">
        <v>289</v>
      </c>
      <c r="B236" t="s">
        <v>10</v>
      </c>
      <c r="C236" s="159">
        <v>4</v>
      </c>
      <c r="D236" t="str">
        <f>VLOOKUP(A236,DataUsuario!B:D,2,FALSE)</f>
        <v>Agrícola</v>
      </c>
      <c r="E236" t="str">
        <f>VLOOKUP(A236,DataUsuario!B:D,3,FALSE)</f>
        <v>Mantenimiento de Riego y Bombas</v>
      </c>
      <c r="F236" t="s">
        <v>89</v>
      </c>
    </row>
    <row r="237" spans="1:6" x14ac:dyDescent="0.3">
      <c r="A237" s="157" t="s">
        <v>158</v>
      </c>
      <c r="B237" t="s">
        <v>10</v>
      </c>
      <c r="C237" s="160" t="s">
        <v>655</v>
      </c>
      <c r="D237" t="str">
        <f>VLOOKUP(A237,DataUsuario!B:D,2,FALSE)</f>
        <v>Operaciones</v>
      </c>
      <c r="E237" t="str">
        <f>VLOOKUP(A237,DataUsuario!B:D,3,FALSE)</f>
        <v>Calidad</v>
      </c>
      <c r="F237" t="s">
        <v>70</v>
      </c>
    </row>
    <row r="238" spans="1:6" x14ac:dyDescent="0.3">
      <c r="A238" s="156" t="s">
        <v>279</v>
      </c>
      <c r="B238" t="s">
        <v>10</v>
      </c>
      <c r="C238" s="159">
        <v>4</v>
      </c>
      <c r="D238" t="str">
        <f>VLOOKUP(A238,DataUsuario!B:D,2,FALSE)</f>
        <v>Operaciones</v>
      </c>
      <c r="E238" t="str">
        <f>VLOOKUP(A238,DataUsuario!B:D,3,FALSE)</f>
        <v>Transporte</v>
      </c>
      <c r="F238" t="s">
        <v>70</v>
      </c>
    </row>
    <row r="239" spans="1:6" x14ac:dyDescent="0.3">
      <c r="A239" s="157" t="s">
        <v>164</v>
      </c>
      <c r="B239" t="s">
        <v>10</v>
      </c>
      <c r="C239" s="160">
        <v>5</v>
      </c>
      <c r="D239" t="str">
        <f>VLOOKUP(A239,DataUsuario!B:D,2,FALSE)</f>
        <v>Agrícola</v>
      </c>
      <c r="E239" t="str">
        <f>VLOOKUP(A239,DataUsuario!B:D,3,FALSE)</f>
        <v>Fundo San Vicente</v>
      </c>
      <c r="F239" t="s">
        <v>89</v>
      </c>
    </row>
    <row r="240" spans="1:6" x14ac:dyDescent="0.3">
      <c r="A240" s="156" t="s">
        <v>275</v>
      </c>
      <c r="B240" t="s">
        <v>10</v>
      </c>
      <c r="C240" s="159">
        <v>4</v>
      </c>
      <c r="D240" t="str">
        <f>VLOOKUP(A240,DataUsuario!B:D,2,FALSE)</f>
        <v>Administración y Finanzas</v>
      </c>
      <c r="E240" t="str">
        <f>VLOOKUP(A240,DataUsuario!B:D,3,FALSE)</f>
        <v>Compras</v>
      </c>
      <c r="F240" t="s">
        <v>66</v>
      </c>
    </row>
    <row r="241" spans="1:6" x14ac:dyDescent="0.3">
      <c r="A241" s="157" t="s">
        <v>620</v>
      </c>
      <c r="B241" t="s">
        <v>10</v>
      </c>
      <c r="C241" s="160">
        <v>5</v>
      </c>
      <c r="D241" t="str">
        <f>VLOOKUP(A241,DataUsuario!B:D,2,FALSE)</f>
        <v>Administración y Finanzas</v>
      </c>
      <c r="E241" t="str">
        <f>VLOOKUP(A241,DataUsuario!B:D,3,FALSE)</f>
        <v>Sistemas y TI</v>
      </c>
      <c r="F241" t="s">
        <v>66</v>
      </c>
    </row>
    <row r="242" spans="1:6" x14ac:dyDescent="0.3">
      <c r="A242" s="156" t="s">
        <v>343</v>
      </c>
      <c r="B242" t="s">
        <v>10</v>
      </c>
      <c r="C242" s="159">
        <v>5</v>
      </c>
      <c r="D242" t="str">
        <f>VLOOKUP(A242,DataUsuario!B:D,2,FALSE)</f>
        <v>Operaciones</v>
      </c>
      <c r="E242" t="str">
        <f>VLOOKUP(A242,DataUsuario!B:D,3,FALSE)</f>
        <v>Comercial No Giro</v>
      </c>
      <c r="F242" t="s">
        <v>70</v>
      </c>
    </row>
    <row r="243" spans="1:6" x14ac:dyDescent="0.3">
      <c r="A243" s="157" t="s">
        <v>332</v>
      </c>
      <c r="B243" t="s">
        <v>10</v>
      </c>
      <c r="C243" s="160">
        <v>4</v>
      </c>
      <c r="D243" t="str">
        <f>VLOOKUP(A243,DataUsuario!B:D,2,FALSE)</f>
        <v>Agrícola</v>
      </c>
      <c r="E243" t="str">
        <f>VLOOKUP(A243,DataUsuario!B:D,3,FALSE)</f>
        <v>Gerencia Agrícola</v>
      </c>
      <c r="F243" t="s">
        <v>89</v>
      </c>
    </row>
    <row r="244" spans="1:6" x14ac:dyDescent="0.3">
      <c r="A244" s="156" t="s">
        <v>320</v>
      </c>
      <c r="B244" t="s">
        <v>10</v>
      </c>
      <c r="C244" s="159">
        <v>4</v>
      </c>
      <c r="D244" t="str">
        <f>VLOOKUP(A244,DataUsuario!B:D,2,FALSE)</f>
        <v>Gestión Humana y Sostenibilidad</v>
      </c>
      <c r="E244" t="str">
        <f>VLOOKUP(A244,DataUsuario!B:D,3,FALSE)</f>
        <v>Sostenibilidad</v>
      </c>
      <c r="F244" t="s">
        <v>62</v>
      </c>
    </row>
    <row r="245" spans="1:6" x14ac:dyDescent="0.3">
      <c r="A245" s="157" t="s">
        <v>287</v>
      </c>
      <c r="B245" t="s">
        <v>10</v>
      </c>
      <c r="C245" s="160">
        <v>4</v>
      </c>
      <c r="D245" t="str">
        <f>VLOOKUP(A245,DataUsuario!B:D,2,FALSE)</f>
        <v>Operaciones</v>
      </c>
      <c r="E245" t="str">
        <f>VLOOKUP(A245,DataUsuario!B:D,3,FALSE)</f>
        <v>Calidad</v>
      </c>
      <c r="F245" t="s">
        <v>70</v>
      </c>
    </row>
    <row r="246" spans="1:6" x14ac:dyDescent="0.3">
      <c r="A246" s="156" t="s">
        <v>136</v>
      </c>
      <c r="B246" t="s">
        <v>10</v>
      </c>
      <c r="C246" s="159">
        <v>5</v>
      </c>
      <c r="D246" t="str">
        <f>VLOOKUP(A246,DataUsuario!B:D,2,FALSE)</f>
        <v>Operaciones</v>
      </c>
      <c r="E246" t="str">
        <f>VLOOKUP(A246,DataUsuario!B:D,3,FALSE)</f>
        <v>Comercial</v>
      </c>
      <c r="F246" t="s">
        <v>70</v>
      </c>
    </row>
    <row r="247" spans="1:6" x14ac:dyDescent="0.3">
      <c r="A247" s="157" t="s">
        <v>624</v>
      </c>
      <c r="B247" t="s">
        <v>10</v>
      </c>
      <c r="C247" s="160">
        <v>4</v>
      </c>
      <c r="D247" t="str">
        <f>VLOOKUP(A247,DataUsuario!B:D,2,FALSE)</f>
        <v>Administración y Finanzas</v>
      </c>
      <c r="E247" t="str">
        <f>VLOOKUP(A247,DataUsuario!B:D,3,FALSE)</f>
        <v>Finanzas y Tesorería</v>
      </c>
      <c r="F247" t="s">
        <v>66</v>
      </c>
    </row>
    <row r="248" spans="1:6" x14ac:dyDescent="0.3">
      <c r="A248" s="156" t="s">
        <v>625</v>
      </c>
      <c r="B248" t="s">
        <v>10</v>
      </c>
      <c r="C248" s="159">
        <v>5</v>
      </c>
      <c r="D248" t="str">
        <f>VLOOKUP(A248,DataUsuario!B:D,2,FALSE)</f>
        <v>Administración y Finanzas</v>
      </c>
      <c r="E248" t="str">
        <f>VLOOKUP(A248,DataUsuario!B:D,3,FALSE)</f>
        <v>Sistemas y TI</v>
      </c>
      <c r="F248" t="s">
        <v>66</v>
      </c>
    </row>
    <row r="249" spans="1:6" x14ac:dyDescent="0.3">
      <c r="A249" s="157" t="s">
        <v>85</v>
      </c>
      <c r="B249" t="s">
        <v>10</v>
      </c>
      <c r="C249" s="160">
        <v>5</v>
      </c>
      <c r="D249" t="str">
        <f>VLOOKUP(A249,DataUsuario!B:D,2,FALSE)</f>
        <v>Operaciones</v>
      </c>
      <c r="E249" t="str">
        <f>VLOOKUP(A249,DataUsuario!B:D,3,FALSE)</f>
        <v>Comercial</v>
      </c>
      <c r="F249" t="s">
        <v>70</v>
      </c>
    </row>
    <row r="250" spans="1:6" x14ac:dyDescent="0.3">
      <c r="A250" s="156" t="s">
        <v>194</v>
      </c>
      <c r="B250" t="s">
        <v>10</v>
      </c>
      <c r="C250" s="159">
        <v>5</v>
      </c>
      <c r="D250" t="str">
        <f>VLOOKUP(A250,DataUsuario!B:D,2,FALSE)</f>
        <v>Operaciones</v>
      </c>
      <c r="E250" t="str">
        <f>VLOOKUP(A250,DataUsuario!B:D,3,FALSE)</f>
        <v>Almacenes y Distribución PT</v>
      </c>
      <c r="F250" t="s">
        <v>70</v>
      </c>
    </row>
    <row r="251" spans="1:6" x14ac:dyDescent="0.3">
      <c r="A251" s="157" t="s">
        <v>205</v>
      </c>
      <c r="B251" t="s">
        <v>10</v>
      </c>
      <c r="C251" s="160">
        <v>4</v>
      </c>
      <c r="D251" t="str">
        <f>VLOOKUP(A251,DataUsuario!B:D,2,FALSE)</f>
        <v>Operaciones</v>
      </c>
      <c r="E251" t="str">
        <f>VLOOKUP(A251,DataUsuario!B:D,3,FALSE)</f>
        <v>Almacenes y Distribución PT</v>
      </c>
      <c r="F251" t="s">
        <v>70</v>
      </c>
    </row>
    <row r="252" spans="1:6" x14ac:dyDescent="0.3">
      <c r="A252" s="156" t="s">
        <v>307</v>
      </c>
      <c r="B252" t="s">
        <v>10</v>
      </c>
      <c r="C252" s="159">
        <v>5</v>
      </c>
      <c r="D252" t="str">
        <f>VLOOKUP(A252,DataUsuario!B:D,2,FALSE)</f>
        <v>Gestión Humana y Sostenibilidad</v>
      </c>
      <c r="E252" t="str">
        <f>VLOOKUP(A252,DataUsuario!B:D,3,FALSE)</f>
        <v>Comunicaciones y Responsabilidad Social</v>
      </c>
      <c r="F252" t="s">
        <v>62</v>
      </c>
    </row>
    <row r="253" spans="1:6" x14ac:dyDescent="0.3">
      <c r="A253" s="157" t="s">
        <v>407</v>
      </c>
      <c r="B253" t="s">
        <v>10</v>
      </c>
      <c r="C253" s="160">
        <v>4</v>
      </c>
      <c r="D253" t="str">
        <f>VLOOKUP(A253,DataUsuario!B:D,2,FALSE)</f>
        <v>Agrícola</v>
      </c>
      <c r="E253" t="str">
        <f>VLOOKUP(A253,DataUsuario!B:D,3,FALSE)</f>
        <v>Laboratorio e Investigación Agricola</v>
      </c>
      <c r="F253" t="s">
        <v>89</v>
      </c>
    </row>
    <row r="254" spans="1:6" x14ac:dyDescent="0.3">
      <c r="A254" s="156" t="s">
        <v>256</v>
      </c>
      <c r="B254" t="s">
        <v>10</v>
      </c>
      <c r="C254" s="159">
        <v>4</v>
      </c>
      <c r="D254" t="str">
        <f>VLOOKUP(A254,DataUsuario!B:D,2,FALSE)</f>
        <v>Agrícola</v>
      </c>
      <c r="E254" t="str">
        <f>VLOOKUP(A254,DataUsuario!B:D,3,FALSE)</f>
        <v>Fundo Montelima</v>
      </c>
      <c r="F254" t="s">
        <v>89</v>
      </c>
    </row>
    <row r="255" spans="1:6" x14ac:dyDescent="0.3">
      <c r="A255" s="157" t="s">
        <v>362</v>
      </c>
      <c r="B255" t="s">
        <v>10</v>
      </c>
      <c r="C255" s="160">
        <v>5</v>
      </c>
      <c r="D255" t="str">
        <f>VLOOKUP(A255,DataUsuario!B:D,2,FALSE)</f>
        <v>Agrícola</v>
      </c>
      <c r="E255" t="str">
        <f>VLOOKUP(A255,DataUsuario!B:D,3,FALSE)</f>
        <v>Fundo Lobo</v>
      </c>
      <c r="F255" t="s">
        <v>89</v>
      </c>
    </row>
    <row r="256" spans="1:6" x14ac:dyDescent="0.3">
      <c r="A256" s="156" t="s">
        <v>439</v>
      </c>
      <c r="B256" t="s">
        <v>10</v>
      </c>
      <c r="C256" s="159">
        <v>5</v>
      </c>
      <c r="D256" t="str">
        <f>VLOOKUP(A256,DataUsuario!B:D,2,FALSE)</f>
        <v>Operaciones</v>
      </c>
      <c r="E256" t="str">
        <f>VLOOKUP(A256,DataUsuario!B:D,3,FALSE)</f>
        <v>Comercial</v>
      </c>
      <c r="F256" t="s">
        <v>70</v>
      </c>
    </row>
    <row r="257" spans="1:6" x14ac:dyDescent="0.3">
      <c r="A257" s="157" t="s">
        <v>198</v>
      </c>
      <c r="B257" t="s">
        <v>10</v>
      </c>
      <c r="C257" s="160">
        <v>5</v>
      </c>
      <c r="D257" t="str">
        <f>VLOOKUP(A257,DataUsuario!B:D,2,FALSE)</f>
        <v>Agrícola</v>
      </c>
      <c r="E257" t="str">
        <f>VLOOKUP(A257,DataUsuario!B:D,3,FALSE)</f>
        <v>Fundo Lobo</v>
      </c>
      <c r="F257" t="s">
        <v>89</v>
      </c>
    </row>
    <row r="258" spans="1:6" x14ac:dyDescent="0.3">
      <c r="A258" s="156" t="s">
        <v>202</v>
      </c>
      <c r="B258" t="s">
        <v>10</v>
      </c>
      <c r="C258" s="159">
        <v>5</v>
      </c>
      <c r="D258" t="str">
        <f>VLOOKUP(A258,DataUsuario!B:D,2,FALSE)</f>
        <v>Agrícola</v>
      </c>
      <c r="E258" t="str">
        <f>VLOOKUP(A258,DataUsuario!B:D,3,FALSE)</f>
        <v>Fundo La Huaca</v>
      </c>
      <c r="F258" t="s">
        <v>89</v>
      </c>
    </row>
    <row r="259" spans="1:6" x14ac:dyDescent="0.3">
      <c r="A259" s="157" t="s">
        <v>345</v>
      </c>
      <c r="B259" t="s">
        <v>10</v>
      </c>
      <c r="C259" s="160">
        <v>4</v>
      </c>
      <c r="D259" t="str">
        <f>VLOOKUP(A259,DataUsuario!B:D,2,FALSE)</f>
        <v>Agrícola</v>
      </c>
      <c r="E259" t="str">
        <f>VLOOKUP(A259,DataUsuario!B:D,3,FALSE)</f>
        <v>Mantenimiento de Riego y Bombas</v>
      </c>
      <c r="F259" t="s">
        <v>89</v>
      </c>
    </row>
    <row r="260" spans="1:6" x14ac:dyDescent="0.3">
      <c r="A260" s="156" t="s">
        <v>251</v>
      </c>
      <c r="B260" t="s">
        <v>10</v>
      </c>
      <c r="C260" s="159" t="s">
        <v>655</v>
      </c>
      <c r="D260" t="str">
        <f>VLOOKUP(A260,DataUsuario!B:D,2,FALSE)</f>
        <v>Industrial y de Mantenimiento</v>
      </c>
      <c r="E260" t="str">
        <f>VLOOKUP(A260,DataUsuario!B:D,3,FALSE)</f>
        <v>Automatización</v>
      </c>
      <c r="F260" t="s">
        <v>74</v>
      </c>
    </row>
    <row r="261" spans="1:6" x14ac:dyDescent="0.3">
      <c r="A261" s="157" t="s">
        <v>150</v>
      </c>
      <c r="B261" t="s">
        <v>10</v>
      </c>
      <c r="C261" s="160" t="s">
        <v>655</v>
      </c>
      <c r="D261" t="str">
        <f>VLOOKUP(A261,DataUsuario!B:D,2,FALSE)</f>
        <v>Industrial y de Mantenimiento</v>
      </c>
      <c r="E261" t="str">
        <f>VLOOKUP(A261,DataUsuario!B:D,3,FALSE)</f>
        <v>Producción</v>
      </c>
      <c r="F261" t="s">
        <v>74</v>
      </c>
    </row>
    <row r="262" spans="1:6" x14ac:dyDescent="0.3">
      <c r="A262" s="156" t="s">
        <v>200</v>
      </c>
      <c r="B262" t="s">
        <v>10</v>
      </c>
      <c r="C262" s="159" t="s">
        <v>655</v>
      </c>
      <c r="D262" t="str">
        <f>VLOOKUP(A262,DataUsuario!B:D,2,FALSE)</f>
        <v>Industrial y de Mantenimiento</v>
      </c>
      <c r="E262" t="str">
        <f>VLOOKUP(A262,DataUsuario!B:D,3,FALSE)</f>
        <v>Electricidad</v>
      </c>
      <c r="F262" t="s">
        <v>74</v>
      </c>
    </row>
    <row r="263" spans="1:6" x14ac:dyDescent="0.3">
      <c r="A263" s="157" t="s">
        <v>305</v>
      </c>
      <c r="B263" t="s">
        <v>10</v>
      </c>
      <c r="C263" s="160" t="s">
        <v>655</v>
      </c>
      <c r="D263" t="str">
        <f>VLOOKUP(A263,DataUsuario!B:D,2,FALSE)</f>
        <v>Industrial y de Mantenimiento</v>
      </c>
      <c r="E263" t="str">
        <f>VLOOKUP(A263,DataUsuario!B:D,3,FALSE)</f>
        <v>Producción</v>
      </c>
      <c r="F263" t="s">
        <v>74</v>
      </c>
    </row>
    <row r="264" spans="1:6" x14ac:dyDescent="0.3">
      <c r="A264" s="156" t="s">
        <v>314</v>
      </c>
      <c r="B264" t="s">
        <v>10</v>
      </c>
      <c r="C264" s="159">
        <v>4</v>
      </c>
      <c r="D264" t="str">
        <f>VLOOKUP(A264,DataUsuario!B:D,2,FALSE)</f>
        <v>Industrial y de Mantenimiento</v>
      </c>
      <c r="E264" t="str">
        <f>VLOOKUP(A264,DataUsuario!B:D,3,FALSE)</f>
        <v>Mantenimiento Industrial</v>
      </c>
      <c r="F264" t="s">
        <v>74</v>
      </c>
    </row>
    <row r="265" spans="1:6" x14ac:dyDescent="0.3">
      <c r="A265" s="157" t="s">
        <v>215</v>
      </c>
      <c r="B265" t="s">
        <v>10</v>
      </c>
      <c r="C265" s="160">
        <v>5</v>
      </c>
      <c r="D265" t="str">
        <f>VLOOKUP(A265,DataUsuario!B:D,2,FALSE)</f>
        <v>Gestión Humana y Sostenibilidad</v>
      </c>
      <c r="E265" t="str">
        <f>VLOOKUP(A265,DataUsuario!B:D,3,FALSE)</f>
        <v>Seguridad</v>
      </c>
      <c r="F265" t="s">
        <v>62</v>
      </c>
    </row>
    <row r="266" spans="1:6" x14ac:dyDescent="0.3">
      <c r="A266" s="156" t="s">
        <v>88</v>
      </c>
      <c r="B266" t="s">
        <v>10</v>
      </c>
      <c r="C266" s="159">
        <v>5</v>
      </c>
      <c r="D266" t="str">
        <f>VLOOKUP(A266,DataUsuario!B:D,2,FALSE)</f>
        <v>Agrícola</v>
      </c>
      <c r="E266" t="str">
        <f>VLOOKUP(A266,DataUsuario!B:D,3,FALSE)</f>
        <v>Fundo Lobo</v>
      </c>
      <c r="F266" t="s">
        <v>89</v>
      </c>
    </row>
    <row r="267" spans="1:6" x14ac:dyDescent="0.3">
      <c r="A267" s="157" t="s">
        <v>267</v>
      </c>
      <c r="B267" t="s">
        <v>10</v>
      </c>
      <c r="C267" s="160">
        <v>5</v>
      </c>
      <c r="D267" t="str">
        <f>VLOOKUP(A267,DataUsuario!B:D,2,FALSE)</f>
        <v>Gestión Humana y Sostenibilidad</v>
      </c>
      <c r="E267" t="str">
        <f>VLOOKUP(A267,DataUsuario!B:D,3,FALSE)</f>
        <v>Sostenibilidad</v>
      </c>
      <c r="F267" t="s">
        <v>62</v>
      </c>
    </row>
    <row r="268" spans="1:6" x14ac:dyDescent="0.3">
      <c r="A268" s="156" t="s">
        <v>637</v>
      </c>
      <c r="B268" t="s">
        <v>10</v>
      </c>
      <c r="C268" s="159">
        <v>5</v>
      </c>
      <c r="D268" t="str">
        <f>VLOOKUP(A268,DataUsuario!B:D,2,FALSE)</f>
        <v>Agrícola</v>
      </c>
      <c r="E268" t="str">
        <f>VLOOKUP(A268,DataUsuario!B:D,3,FALSE)</f>
        <v>Mantenimiento de Riego y Bombas</v>
      </c>
      <c r="F268" t="s">
        <v>89</v>
      </c>
    </row>
    <row r="269" spans="1:6" x14ac:dyDescent="0.3">
      <c r="A269" s="157" t="s">
        <v>369</v>
      </c>
      <c r="B269" t="s">
        <v>10</v>
      </c>
      <c r="C269" s="160">
        <v>4</v>
      </c>
      <c r="D269" t="str">
        <f>VLOOKUP(A269,DataUsuario!B:D,2,FALSE)</f>
        <v>Agrícola</v>
      </c>
      <c r="E269" t="str">
        <f>VLOOKUP(A269,DataUsuario!B:D,3,FALSE)</f>
        <v>Sistema Integral de Gestión</v>
      </c>
      <c r="F269" t="s">
        <v>89</v>
      </c>
    </row>
    <row r="270" spans="1:6" x14ac:dyDescent="0.3">
      <c r="A270" s="156" t="s">
        <v>365</v>
      </c>
      <c r="B270" t="s">
        <v>10</v>
      </c>
      <c r="C270" s="159">
        <v>3</v>
      </c>
      <c r="D270" t="str">
        <f>VLOOKUP(A270,DataUsuario!B:D,2,FALSE)</f>
        <v>Operaciones</v>
      </c>
      <c r="E270" t="str">
        <f>VLOOKUP(A270,DataUsuario!B:D,3,FALSE)</f>
        <v>Cosecha</v>
      </c>
      <c r="F270" t="s">
        <v>70</v>
      </c>
    </row>
    <row r="271" spans="1:6" x14ac:dyDescent="0.3">
      <c r="A271" s="157" t="s">
        <v>77</v>
      </c>
      <c r="B271" t="s">
        <v>10</v>
      </c>
      <c r="C271" s="160">
        <v>4</v>
      </c>
      <c r="D271" t="str">
        <f>VLOOKUP(A271,DataUsuario!B:D,2,FALSE)</f>
        <v>Operaciones</v>
      </c>
      <c r="E271" t="str">
        <f>VLOOKUP(A271,DataUsuario!B:D,3,FALSE)</f>
        <v>Comercial No Giro</v>
      </c>
      <c r="F271" t="s">
        <v>70</v>
      </c>
    </row>
    <row r="272" spans="1:6" x14ac:dyDescent="0.3">
      <c r="A272" s="156" t="s">
        <v>639</v>
      </c>
      <c r="B272" t="s">
        <v>10</v>
      </c>
      <c r="C272" s="159">
        <v>4</v>
      </c>
      <c r="D272" t="str">
        <f>VLOOKUP(A272,DataUsuario!B:D,2,FALSE)</f>
        <v>Gestión Humana y Sostenibilidad</v>
      </c>
      <c r="E272" t="str">
        <f>VLOOKUP(A272,DataUsuario!B:D,3,FALSE)</f>
        <v>Bienestar - Medico Ocupacional</v>
      </c>
      <c r="F272" t="s">
        <v>62</v>
      </c>
    </row>
    <row r="273" spans="1:6" x14ac:dyDescent="0.3">
      <c r="A273" s="157" t="s">
        <v>260</v>
      </c>
      <c r="B273" t="s">
        <v>10</v>
      </c>
      <c r="C273" s="160">
        <v>3</v>
      </c>
      <c r="D273" t="str">
        <f>VLOOKUP(A273,DataUsuario!B:D,2,FALSE)</f>
        <v>Industrial y de Mantenimiento</v>
      </c>
      <c r="E273" t="str">
        <f>VLOOKUP(A273,DataUsuario!B:D,3,FALSE)</f>
        <v>Producción</v>
      </c>
      <c r="F273" t="s">
        <v>74</v>
      </c>
    </row>
    <row r="274" spans="1:6" x14ac:dyDescent="0.3">
      <c r="A274" s="156" t="s">
        <v>285</v>
      </c>
      <c r="B274" t="s">
        <v>10</v>
      </c>
      <c r="C274" s="159">
        <v>3</v>
      </c>
      <c r="D274" t="str">
        <f>VLOOKUP(A274,DataUsuario!B:D,2,FALSE)</f>
        <v>Operaciones</v>
      </c>
      <c r="E274" t="str">
        <f>VLOOKUP(A274,DataUsuario!B:D,3,FALSE)</f>
        <v>Comercial</v>
      </c>
      <c r="F274" t="s">
        <v>70</v>
      </c>
    </row>
    <row r="275" spans="1:6" x14ac:dyDescent="0.3">
      <c r="A275" s="157" t="s">
        <v>641</v>
      </c>
      <c r="B275" t="s">
        <v>10</v>
      </c>
      <c r="C275" s="160">
        <v>5</v>
      </c>
      <c r="D275" t="str">
        <f>VLOOKUP(A275,DataUsuario!B:D,2,FALSE)</f>
        <v>Gestión Humana y Sostenibilidad</v>
      </c>
      <c r="E275" t="str">
        <f>VLOOKUP(A275,DataUsuario!B:D,3,FALSE)</f>
        <v>Relaciones Laborales</v>
      </c>
      <c r="F275" t="s">
        <v>62</v>
      </c>
    </row>
    <row r="276" spans="1:6" x14ac:dyDescent="0.3">
      <c r="A276" s="156" t="s">
        <v>642</v>
      </c>
      <c r="B276" t="s">
        <v>10</v>
      </c>
      <c r="C276" s="159">
        <v>4</v>
      </c>
      <c r="D276" t="str">
        <f>VLOOKUP(A276,DataUsuario!B:D,2,FALSE)</f>
        <v>Operaciones</v>
      </c>
      <c r="E276" t="str">
        <f>VLOOKUP(A276,DataUsuario!B:D,3,FALSE)</f>
        <v>Cosecha</v>
      </c>
      <c r="F276" t="s">
        <v>70</v>
      </c>
    </row>
    <row r="277" spans="1:6" x14ac:dyDescent="0.3">
      <c r="A277" s="157" t="s">
        <v>643</v>
      </c>
      <c r="B277" t="s">
        <v>10</v>
      </c>
      <c r="C277" s="160">
        <v>4</v>
      </c>
      <c r="D277" t="str">
        <f>VLOOKUP(A277,DataUsuario!B:D,2,FALSE)</f>
        <v>Gestión Humana y Sostenibilidad</v>
      </c>
      <c r="E277" t="str">
        <f>VLOOKUP(A277,DataUsuario!B:D,3,FALSE)</f>
        <v>Bienestar - Medico Ocupacional</v>
      </c>
      <c r="F277" t="s">
        <v>62</v>
      </c>
    </row>
    <row r="278" spans="1:6" x14ac:dyDescent="0.3">
      <c r="A278" s="156" t="s">
        <v>128</v>
      </c>
      <c r="B278" t="s">
        <v>10</v>
      </c>
      <c r="C278" s="159">
        <v>5</v>
      </c>
      <c r="D278" t="str">
        <f>VLOOKUP(A278,DataUsuario!B:D,2,FALSE)</f>
        <v>Agrícola</v>
      </c>
      <c r="E278" t="str">
        <f>VLOOKUP(A278,DataUsuario!B:D,3,FALSE)</f>
        <v>Fundo Lobo</v>
      </c>
      <c r="F278" t="s">
        <v>89</v>
      </c>
    </row>
    <row r="279" spans="1:6" x14ac:dyDescent="0.3">
      <c r="A279" s="157" t="s">
        <v>326</v>
      </c>
      <c r="B279" t="s">
        <v>10</v>
      </c>
      <c r="C279" s="160">
        <v>4</v>
      </c>
      <c r="D279" t="str">
        <f>VLOOKUP(A279,DataUsuario!B:D,2,FALSE)</f>
        <v>Operaciones</v>
      </c>
      <c r="E279" t="str">
        <f>VLOOKUP(A279,DataUsuario!B:D,3,FALSE)</f>
        <v>Calidad</v>
      </c>
      <c r="F279" t="s">
        <v>70</v>
      </c>
    </row>
    <row r="280" spans="1:6" x14ac:dyDescent="0.3">
      <c r="A280" s="156" t="s">
        <v>162</v>
      </c>
      <c r="B280" t="s">
        <v>10</v>
      </c>
      <c r="C280" s="159">
        <v>5</v>
      </c>
      <c r="D280" t="str">
        <f>VLOOKUP(A280,DataUsuario!B:D,2,FALSE)</f>
        <v>Agrícola</v>
      </c>
      <c r="E280" t="str">
        <f>VLOOKUP(A280,DataUsuario!B:D,3,FALSE)</f>
        <v>Fundo Lobo</v>
      </c>
      <c r="F280" t="s">
        <v>89</v>
      </c>
    </row>
    <row r="281" spans="1:6" x14ac:dyDescent="0.3">
      <c r="A281" s="157" t="s">
        <v>160</v>
      </c>
      <c r="B281" t="s">
        <v>10</v>
      </c>
      <c r="C281" s="160">
        <v>5</v>
      </c>
      <c r="D281" t="str">
        <f>VLOOKUP(A281,DataUsuario!B:D,2,FALSE)</f>
        <v>Agrícola</v>
      </c>
      <c r="E281" t="str">
        <f>VLOOKUP(A281,DataUsuario!B:D,3,FALSE)</f>
        <v>Fundo Lobo</v>
      </c>
      <c r="F281" t="s">
        <v>89</v>
      </c>
    </row>
    <row r="282" spans="1:6" x14ac:dyDescent="0.3">
      <c r="A282" s="156" t="s">
        <v>645</v>
      </c>
      <c r="B282" t="s">
        <v>10</v>
      </c>
      <c r="C282" s="159">
        <v>5</v>
      </c>
      <c r="D282" t="str">
        <f>VLOOKUP(A282,DataUsuario!B:D,2,FALSE)</f>
        <v>Operaciones</v>
      </c>
      <c r="E282" t="str">
        <f>VLOOKUP(A282,DataUsuario!B:D,3,FALSE)</f>
        <v>Cosecha</v>
      </c>
      <c r="F282" t="s">
        <v>70</v>
      </c>
    </row>
    <row r="283" spans="1:6" x14ac:dyDescent="0.3">
      <c r="A283" s="157" t="s">
        <v>646</v>
      </c>
      <c r="B283" t="s">
        <v>10</v>
      </c>
      <c r="C283" s="160">
        <v>5</v>
      </c>
      <c r="D283" t="str">
        <f>VLOOKUP(A283,DataUsuario!B:D,2,FALSE)</f>
        <v>Operaciones</v>
      </c>
      <c r="E283" t="str">
        <f>VLOOKUP(A283,DataUsuario!B:D,3,FALSE)</f>
        <v xml:space="preserve">Almacén </v>
      </c>
      <c r="F283" t="s">
        <v>70</v>
      </c>
    </row>
    <row r="284" spans="1:6" x14ac:dyDescent="0.3">
      <c r="A284" s="156" t="s">
        <v>647</v>
      </c>
      <c r="B284" t="s">
        <v>10</v>
      </c>
      <c r="C284" s="159">
        <v>4</v>
      </c>
      <c r="D284" t="str">
        <f>VLOOKUP(A284,DataUsuario!B:D,2,FALSE)</f>
        <v>Operaciones</v>
      </c>
      <c r="E284" t="str">
        <f>VLOOKUP(A284,DataUsuario!B:D,3,FALSE)</f>
        <v>Almacenes y Distribución PT</v>
      </c>
      <c r="F284" t="s">
        <v>70</v>
      </c>
    </row>
    <row r="285" spans="1:6" x14ac:dyDescent="0.3">
      <c r="A285" s="157" t="s">
        <v>61</v>
      </c>
      <c r="B285" t="s">
        <v>10</v>
      </c>
      <c r="C285" s="160">
        <v>4</v>
      </c>
      <c r="D285" t="str">
        <f>VLOOKUP(A285,DataUsuario!B:D,2,FALSE)</f>
        <v>Gestión Humana y Sostenibilidad</v>
      </c>
      <c r="E285" t="str">
        <f>VLOOKUP(A285,DataUsuario!B:D,3,FALSE)</f>
        <v>Compensación y Nóminas</v>
      </c>
      <c r="F285" t="s">
        <v>62</v>
      </c>
    </row>
    <row r="286" spans="1:6" x14ac:dyDescent="0.3">
      <c r="A286" s="156" t="s">
        <v>350</v>
      </c>
      <c r="B286" t="s">
        <v>10</v>
      </c>
      <c r="C286" s="159">
        <v>4</v>
      </c>
      <c r="D286" t="str">
        <f>VLOOKUP(A286,DataUsuario!B:D,2,FALSE)</f>
        <v>Agrícola</v>
      </c>
      <c r="E286" t="str">
        <f>VLOOKUP(A286,DataUsuario!B:D,3,FALSE)</f>
        <v>Planificador Agrícola</v>
      </c>
      <c r="F286" t="s">
        <v>89</v>
      </c>
    </row>
    <row r="287" spans="1:6" x14ac:dyDescent="0.3">
      <c r="A287" s="157" t="s">
        <v>359</v>
      </c>
      <c r="B287" t="s">
        <v>10</v>
      </c>
      <c r="C287" s="160">
        <v>3</v>
      </c>
      <c r="D287" t="str">
        <f>VLOOKUP(A287,DataUsuario!B:D,2,FALSE)</f>
        <v>Operaciones</v>
      </c>
      <c r="E287" t="str">
        <f>VLOOKUP(A287,DataUsuario!B:D,3,FALSE)</f>
        <v>Gerencia de Operaciones</v>
      </c>
      <c r="F287" t="s">
        <v>70</v>
      </c>
    </row>
    <row r="288" spans="1:6" x14ac:dyDescent="0.3">
      <c r="A288" s="156" t="s">
        <v>303</v>
      </c>
      <c r="B288" t="s">
        <v>10</v>
      </c>
      <c r="C288" s="159">
        <v>4</v>
      </c>
      <c r="D288" t="str">
        <f>VLOOKUP(A288,DataUsuario!B:D,2,FALSE)</f>
        <v>Administración y Finanzas</v>
      </c>
      <c r="E288" t="str">
        <f>VLOOKUP(A288,DataUsuario!B:D,3,FALSE)</f>
        <v>Control de Gestión</v>
      </c>
      <c r="F288" t="s">
        <v>66</v>
      </c>
    </row>
    <row r="289" spans="1:6" x14ac:dyDescent="0.3">
      <c r="A289" s="157" t="s">
        <v>372</v>
      </c>
      <c r="B289" t="s">
        <v>10</v>
      </c>
      <c r="C289" s="160" t="s">
        <v>655</v>
      </c>
      <c r="D289" t="str">
        <f>VLOOKUP(A289,DataUsuario!B:D,2,FALSE)</f>
        <v>Agrícola</v>
      </c>
      <c r="E289" t="str">
        <f>VLOOKUP(A289,DataUsuario!B:D,3,FALSE)</f>
        <v>Laboratorio e Investigación Agricola</v>
      </c>
      <c r="F289" t="s">
        <v>89</v>
      </c>
    </row>
    <row r="290" spans="1:6" x14ac:dyDescent="0.3">
      <c r="A290" s="156" t="s">
        <v>399</v>
      </c>
      <c r="B290" t="s">
        <v>10</v>
      </c>
      <c r="C290" s="159">
        <v>4</v>
      </c>
      <c r="D290" t="str">
        <f>VLOOKUP(A290,DataUsuario!B:D,2,FALSE)</f>
        <v>Gestión Humana y Sostenibilidad</v>
      </c>
      <c r="E290" t="str">
        <f>VLOOKUP(A290,DataUsuario!B:D,3,FALSE)</f>
        <v>Seguridad</v>
      </c>
      <c r="F290" t="s">
        <v>62</v>
      </c>
    </row>
    <row r="291" spans="1:6" x14ac:dyDescent="0.3">
      <c r="A291" s="157" t="s">
        <v>123</v>
      </c>
      <c r="B291" t="s">
        <v>10</v>
      </c>
      <c r="C291" s="160">
        <v>4</v>
      </c>
      <c r="D291" t="str">
        <f>VLOOKUP(A291,DataUsuario!B:D,2,FALSE)</f>
        <v>Administración y Finanzas</v>
      </c>
      <c r="E291" t="str">
        <f>VLOOKUP(A291,DataUsuario!B:D,3,FALSE)</f>
        <v>Gerencia Administración y Finanzas</v>
      </c>
      <c r="F291" t="s">
        <v>66</v>
      </c>
    </row>
    <row r="292" spans="1:6" x14ac:dyDescent="0.3">
      <c r="A292" s="158" t="s">
        <v>352</v>
      </c>
      <c r="B292" t="s">
        <v>10</v>
      </c>
      <c r="C292" s="161" t="s">
        <v>655</v>
      </c>
      <c r="D292" t="str">
        <f>VLOOKUP(A292,DataUsuario!B:D,2,FALSE)</f>
        <v>Gestión Humana y Sostenibilidad</v>
      </c>
      <c r="E292" t="str">
        <f>VLOOKUP(A292,DataUsuario!B:D,3,FALSE)</f>
        <v>Compensación y Nóminas</v>
      </c>
      <c r="F292" t="s">
        <v>62</v>
      </c>
    </row>
    <row r="293" spans="1:6" x14ac:dyDescent="0.3">
      <c r="A293" s="156" t="s">
        <v>592</v>
      </c>
      <c r="B293" t="s">
        <v>11</v>
      </c>
      <c r="C293" s="162">
        <v>5</v>
      </c>
      <c r="D293" t="str">
        <f>VLOOKUP(A293,DataUsuario!B:D,2,FALSE)</f>
        <v>Gestión Humana y Sostenibilidad</v>
      </c>
      <c r="E293" t="str">
        <f>VLOOKUP(A293,DataUsuario!B:D,3,FALSE)</f>
        <v>Seguridad</v>
      </c>
      <c r="F293" t="s">
        <v>62</v>
      </c>
    </row>
    <row r="294" spans="1:6" x14ac:dyDescent="0.3">
      <c r="A294" s="157" t="s">
        <v>192</v>
      </c>
      <c r="B294" t="s">
        <v>11</v>
      </c>
      <c r="C294" s="163">
        <v>4</v>
      </c>
      <c r="D294" t="str">
        <f>VLOOKUP(A294,DataUsuario!B:D,2,FALSE)</f>
        <v>Agrícola</v>
      </c>
      <c r="E294" t="str">
        <f>VLOOKUP(A294,DataUsuario!B:D,3,FALSE)</f>
        <v>Mantenimiento de Riego y Bombas</v>
      </c>
      <c r="F294" t="s">
        <v>89</v>
      </c>
    </row>
    <row r="295" spans="1:6" x14ac:dyDescent="0.3">
      <c r="A295" s="156" t="s">
        <v>92</v>
      </c>
      <c r="B295" t="s">
        <v>11</v>
      </c>
      <c r="C295" s="162">
        <v>5</v>
      </c>
      <c r="D295" t="str">
        <f>VLOOKUP(A295,DataUsuario!B:D,2,FALSE)</f>
        <v>Administración y Finanzas</v>
      </c>
      <c r="E295" t="str">
        <f>VLOOKUP(A295,DataUsuario!B:D,3,FALSE)</f>
        <v>Control de Gestión</v>
      </c>
      <c r="F295" t="s">
        <v>66</v>
      </c>
    </row>
    <row r="296" spans="1:6" x14ac:dyDescent="0.3">
      <c r="A296" s="157" t="s">
        <v>145</v>
      </c>
      <c r="B296" t="s">
        <v>11</v>
      </c>
      <c r="C296" s="163" t="s">
        <v>655</v>
      </c>
      <c r="D296" t="str">
        <f>VLOOKUP(A296,DataUsuario!B:D,2,FALSE)</f>
        <v>Administración y Finanzas</v>
      </c>
      <c r="E296" t="str">
        <f>VLOOKUP(A296,DataUsuario!B:D,3,FALSE)</f>
        <v>Legal</v>
      </c>
      <c r="F296" t="s">
        <v>66</v>
      </c>
    </row>
    <row r="297" spans="1:6" x14ac:dyDescent="0.3">
      <c r="A297" s="156" t="s">
        <v>341</v>
      </c>
      <c r="B297" t="s">
        <v>11</v>
      </c>
      <c r="C297" s="162">
        <v>5</v>
      </c>
      <c r="D297" t="str">
        <f>VLOOKUP(A297,DataUsuario!B:D,2,FALSE)</f>
        <v>Administración y Finanzas</v>
      </c>
      <c r="E297" t="str">
        <f>VLOOKUP(A297,DataUsuario!B:D,3,FALSE)</f>
        <v>Contabilidad Tributaria</v>
      </c>
      <c r="F297" t="s">
        <v>66</v>
      </c>
    </row>
    <row r="298" spans="1:6" x14ac:dyDescent="0.3">
      <c r="A298" s="157" t="s">
        <v>115</v>
      </c>
      <c r="B298" t="s">
        <v>11</v>
      </c>
      <c r="C298" s="163">
        <v>4</v>
      </c>
      <c r="D298" t="str">
        <f>VLOOKUP(A298,DataUsuario!B:D,2,FALSE)</f>
        <v>Industrial y de Mantenimiento</v>
      </c>
      <c r="E298" t="str">
        <f>VLOOKUP(A298,DataUsuario!B:D,3,FALSE)</f>
        <v>Mantenimiento de Transportes</v>
      </c>
      <c r="F298" t="s">
        <v>74</v>
      </c>
    </row>
    <row r="299" spans="1:6" x14ac:dyDescent="0.3">
      <c r="A299" s="156" t="s">
        <v>299</v>
      </c>
      <c r="B299" t="s">
        <v>11</v>
      </c>
      <c r="C299" s="162">
        <v>4</v>
      </c>
      <c r="D299" t="str">
        <f>VLOOKUP(A299,DataUsuario!B:D,2,FALSE)</f>
        <v>Administración y Finanzas</v>
      </c>
      <c r="E299" t="str">
        <f>VLOOKUP(A299,DataUsuario!B:D,3,FALSE)</f>
        <v>Legal</v>
      </c>
      <c r="F299" t="s">
        <v>66</v>
      </c>
    </row>
    <row r="300" spans="1:6" x14ac:dyDescent="0.3">
      <c r="A300" s="157" t="s">
        <v>322</v>
      </c>
      <c r="B300" t="s">
        <v>11</v>
      </c>
      <c r="C300" s="163">
        <v>4</v>
      </c>
      <c r="D300" t="str">
        <f>VLOOKUP(A300,DataUsuario!B:D,2,FALSE)</f>
        <v>Administración y Finanzas</v>
      </c>
      <c r="E300" t="str">
        <f>VLOOKUP(A300,DataUsuario!B:D,3,FALSE)</f>
        <v>Finanzas y Tesorería</v>
      </c>
      <c r="F300" t="s">
        <v>66</v>
      </c>
    </row>
    <row r="301" spans="1:6" x14ac:dyDescent="0.3">
      <c r="A301" s="156" t="s">
        <v>138</v>
      </c>
      <c r="B301" t="s">
        <v>11</v>
      </c>
      <c r="C301" s="162">
        <v>4</v>
      </c>
      <c r="D301" t="str">
        <f>VLOOKUP(A301,DataUsuario!B:D,2,FALSE)</f>
        <v>Gestión Humana y Sostenibilidad</v>
      </c>
      <c r="E301" t="str">
        <f>VLOOKUP(A301,DataUsuario!B:D,3,FALSE)</f>
        <v>Gestion del Talento</v>
      </c>
      <c r="F301" t="s">
        <v>62</v>
      </c>
    </row>
    <row r="302" spans="1:6" x14ac:dyDescent="0.3">
      <c r="A302" s="157" t="s">
        <v>595</v>
      </c>
      <c r="B302" t="s">
        <v>11</v>
      </c>
      <c r="C302" s="163">
        <v>4</v>
      </c>
      <c r="D302" t="str">
        <f>VLOOKUP(A302,DataUsuario!B:D,2,FALSE)</f>
        <v>Operaciones</v>
      </c>
      <c r="E302" t="str">
        <f>VLOOKUP(A302,DataUsuario!B:D,3,FALSE)</f>
        <v>Transporte</v>
      </c>
      <c r="F302" t="s">
        <v>70</v>
      </c>
    </row>
    <row r="303" spans="1:6" x14ac:dyDescent="0.3">
      <c r="A303" s="156" t="s">
        <v>82</v>
      </c>
      <c r="B303" t="s">
        <v>11</v>
      </c>
      <c r="C303" s="162">
        <v>4</v>
      </c>
      <c r="D303" t="str">
        <f>VLOOKUP(A303,DataUsuario!B:D,2,FALSE)</f>
        <v>Industrial y de Mantenimiento</v>
      </c>
      <c r="E303" t="str">
        <f>VLOOKUP(A303,DataUsuario!B:D,3,FALSE)</f>
        <v>Producción</v>
      </c>
      <c r="F303" t="s">
        <v>74</v>
      </c>
    </row>
    <row r="304" spans="1:6" x14ac:dyDescent="0.3">
      <c r="A304" s="157" t="s">
        <v>378</v>
      </c>
      <c r="B304" t="s">
        <v>11</v>
      </c>
      <c r="C304" s="163">
        <v>3</v>
      </c>
      <c r="D304" t="str">
        <f>VLOOKUP(A304,DataUsuario!B:D,2,FALSE)</f>
        <v>Industrial y de Mantenimiento</v>
      </c>
      <c r="E304" t="str">
        <f>VLOOKUP(A304,DataUsuario!B:D,3,FALSE)</f>
        <v>Gerencia industrial y de Mantenimiento</v>
      </c>
      <c r="F304" t="s">
        <v>74</v>
      </c>
    </row>
    <row r="305" spans="1:6" x14ac:dyDescent="0.3">
      <c r="A305" s="156" t="s">
        <v>435</v>
      </c>
      <c r="B305" t="s">
        <v>11</v>
      </c>
      <c r="C305" s="162">
        <v>3</v>
      </c>
      <c r="D305" t="str">
        <f>VLOOKUP(A305,DataUsuario!B:D,2,FALSE)</f>
        <v>Operaciones</v>
      </c>
      <c r="E305" t="str">
        <f>VLOOKUP(A305,DataUsuario!B:D,3,FALSE)</f>
        <v>Almacenes y Distribución PT</v>
      </c>
      <c r="F305" t="s">
        <v>70</v>
      </c>
    </row>
    <row r="306" spans="1:6" x14ac:dyDescent="0.3">
      <c r="A306" s="157" t="s">
        <v>431</v>
      </c>
      <c r="B306" t="s">
        <v>11</v>
      </c>
      <c r="C306" s="163">
        <v>2</v>
      </c>
      <c r="D306" t="str">
        <f>VLOOKUP(A306,DataUsuario!B:D,2,FALSE)</f>
        <v>Agrícola</v>
      </c>
      <c r="E306" t="str">
        <f>VLOOKUP(A306,DataUsuario!B:D,3,FALSE)</f>
        <v>Fundo San Vicente</v>
      </c>
      <c r="F306" t="s">
        <v>89</v>
      </c>
    </row>
    <row r="307" spans="1:6" x14ac:dyDescent="0.3">
      <c r="A307" s="156" t="s">
        <v>133</v>
      </c>
      <c r="B307" t="s">
        <v>11</v>
      </c>
      <c r="C307" s="162">
        <v>3</v>
      </c>
      <c r="D307" t="str">
        <f>VLOOKUP(A307,DataUsuario!B:D,2,FALSE)</f>
        <v>Industrial y de Mantenimiento</v>
      </c>
      <c r="E307" t="str">
        <f>VLOOKUP(A307,DataUsuario!B:D,3,FALSE)</f>
        <v>Electricidad</v>
      </c>
      <c r="F307" t="s">
        <v>74</v>
      </c>
    </row>
    <row r="308" spans="1:6" x14ac:dyDescent="0.3">
      <c r="A308" s="157" t="s">
        <v>598</v>
      </c>
      <c r="B308" t="s">
        <v>11</v>
      </c>
      <c r="C308" s="163">
        <v>3</v>
      </c>
      <c r="D308" t="str">
        <f>VLOOKUP(A308,DataUsuario!B:D,2,FALSE)</f>
        <v>Agrícola</v>
      </c>
      <c r="E308" t="str">
        <f>VLOOKUP(A308,DataUsuario!B:D,3,FALSE)</f>
        <v>Fundo San Vicente</v>
      </c>
      <c r="F308" t="s">
        <v>89</v>
      </c>
    </row>
    <row r="309" spans="1:6" x14ac:dyDescent="0.3">
      <c r="A309" s="156" t="s">
        <v>221</v>
      </c>
      <c r="B309" t="s">
        <v>11</v>
      </c>
      <c r="C309" s="162">
        <v>5</v>
      </c>
      <c r="D309" t="str">
        <f>VLOOKUP(A309,DataUsuario!B:D,2,FALSE)</f>
        <v>Administración y Finanzas</v>
      </c>
      <c r="E309" t="str">
        <f>VLOOKUP(A309,DataUsuario!B:D,3,FALSE)</f>
        <v>Sistemas y TI</v>
      </c>
      <c r="F309" t="s">
        <v>66</v>
      </c>
    </row>
    <row r="310" spans="1:6" x14ac:dyDescent="0.3">
      <c r="A310" s="157" t="s">
        <v>376</v>
      </c>
      <c r="B310" t="s">
        <v>11</v>
      </c>
      <c r="C310" s="163">
        <v>5</v>
      </c>
      <c r="D310" t="str">
        <f>VLOOKUP(A310,DataUsuario!B:D,2,FALSE)</f>
        <v>Administración y Finanzas</v>
      </c>
      <c r="E310" t="str">
        <f>VLOOKUP(A310,DataUsuario!B:D,3,FALSE)</f>
        <v>Control de Gestión</v>
      </c>
      <c r="F310" t="s">
        <v>66</v>
      </c>
    </row>
    <row r="311" spans="1:6" x14ac:dyDescent="0.3">
      <c r="A311" s="156" t="s">
        <v>207</v>
      </c>
      <c r="B311" t="s">
        <v>11</v>
      </c>
      <c r="C311" s="162">
        <v>4</v>
      </c>
      <c r="D311" t="str">
        <f>VLOOKUP(A311,DataUsuario!B:D,2,FALSE)</f>
        <v>Administración y Finanzas</v>
      </c>
      <c r="E311" t="str">
        <f>VLOOKUP(A311,DataUsuario!B:D,3,FALSE)</f>
        <v>Riesgos y Cumplimiento</v>
      </c>
      <c r="F311" t="s">
        <v>66</v>
      </c>
    </row>
    <row r="312" spans="1:6" x14ac:dyDescent="0.3">
      <c r="A312" s="157" t="s">
        <v>170</v>
      </c>
      <c r="B312" t="s">
        <v>11</v>
      </c>
      <c r="C312" s="163">
        <v>4</v>
      </c>
      <c r="D312" t="str">
        <f>VLOOKUP(A312,DataUsuario!B:D,2,FALSE)</f>
        <v>Operaciones</v>
      </c>
      <c r="E312" t="str">
        <f>VLOOKUP(A312,DataUsuario!B:D,3,FALSE)</f>
        <v>Mantenimiento CAT</v>
      </c>
      <c r="F312" t="s">
        <v>70</v>
      </c>
    </row>
    <row r="313" spans="1:6" x14ac:dyDescent="0.3">
      <c r="A313" s="156" t="s">
        <v>603</v>
      </c>
      <c r="B313" t="s">
        <v>11</v>
      </c>
      <c r="C313" s="162">
        <v>4</v>
      </c>
      <c r="D313" t="str">
        <f>VLOOKUP(A313,DataUsuario!B:D,2,FALSE)</f>
        <v>Agrícola</v>
      </c>
      <c r="E313" t="str">
        <f>VLOOKUP(A313,DataUsuario!B:D,3,FALSE)</f>
        <v>Mantenimiento de Riego y Bombas</v>
      </c>
      <c r="F313" t="s">
        <v>89</v>
      </c>
    </row>
    <row r="314" spans="1:6" x14ac:dyDescent="0.3">
      <c r="A314" s="157" t="s">
        <v>318</v>
      </c>
      <c r="B314" t="s">
        <v>11</v>
      </c>
      <c r="C314" s="163">
        <v>4</v>
      </c>
      <c r="D314" t="str">
        <f>VLOOKUP(A314,DataUsuario!B:D,2,FALSE)</f>
        <v>Operaciones</v>
      </c>
      <c r="E314" t="str">
        <f>VLOOKUP(A314,DataUsuario!B:D,3,FALSE)</f>
        <v>Cosecha</v>
      </c>
      <c r="F314" t="s">
        <v>70</v>
      </c>
    </row>
    <row r="315" spans="1:6" x14ac:dyDescent="0.3">
      <c r="A315" s="156" t="s">
        <v>604</v>
      </c>
      <c r="B315" t="s">
        <v>11</v>
      </c>
      <c r="C315" s="162" t="s">
        <v>655</v>
      </c>
      <c r="D315" t="str">
        <f>VLOOKUP(A315,DataUsuario!B:D,2,FALSE)</f>
        <v>Industrial y de Mantenimiento</v>
      </c>
      <c r="E315" t="str">
        <f>VLOOKUP(A315,DataUsuario!B:D,3,FALSE)</f>
        <v>Mantenimiento Industrial</v>
      </c>
      <c r="F315" t="s">
        <v>74</v>
      </c>
    </row>
    <row r="316" spans="1:6" x14ac:dyDescent="0.3">
      <c r="A316" s="157" t="s">
        <v>312</v>
      </c>
      <c r="B316" t="s">
        <v>11</v>
      </c>
      <c r="C316" s="163">
        <v>4</v>
      </c>
      <c r="D316" t="str">
        <f>VLOOKUP(A316,DataUsuario!B:D,2,FALSE)</f>
        <v>Operaciones</v>
      </c>
      <c r="E316" t="str">
        <f>VLOOKUP(A316,DataUsuario!B:D,3,FALSE)</f>
        <v>Calidad</v>
      </c>
      <c r="F316" t="s">
        <v>70</v>
      </c>
    </row>
    <row r="317" spans="1:6" x14ac:dyDescent="0.3">
      <c r="A317" s="156" t="s">
        <v>176</v>
      </c>
      <c r="B317" t="s">
        <v>11</v>
      </c>
      <c r="C317" s="162">
        <v>5</v>
      </c>
      <c r="D317" t="str">
        <f>VLOOKUP(A317,DataUsuario!B:D,2,FALSE)</f>
        <v>Administración y Finanzas</v>
      </c>
      <c r="E317" t="str">
        <f>VLOOKUP(A317,DataUsuario!B:D,3,FALSE)</f>
        <v>Cadenas Productivas</v>
      </c>
      <c r="F317" t="s">
        <v>66</v>
      </c>
    </row>
    <row r="318" spans="1:6" x14ac:dyDescent="0.3">
      <c r="A318" s="157" t="s">
        <v>337</v>
      </c>
      <c r="B318" t="s">
        <v>11</v>
      </c>
      <c r="C318" s="163">
        <v>5</v>
      </c>
      <c r="D318" t="str">
        <f>VLOOKUP(A318,DataUsuario!B:D,2,FALSE)</f>
        <v>Agrícola</v>
      </c>
      <c r="E318" t="str">
        <f>VLOOKUP(A318,DataUsuario!B:D,3,FALSE)</f>
        <v>Fundo San Vicente</v>
      </c>
      <c r="F318" t="s">
        <v>89</v>
      </c>
    </row>
    <row r="319" spans="1:6" x14ac:dyDescent="0.3">
      <c r="A319" s="156" t="s">
        <v>374</v>
      </c>
      <c r="B319" t="s">
        <v>11</v>
      </c>
      <c r="C319" s="162">
        <v>4</v>
      </c>
      <c r="D319" t="str">
        <f>VLOOKUP(A319,DataUsuario!B:D,2,FALSE)</f>
        <v>Agrícola</v>
      </c>
      <c r="E319" t="str">
        <f>VLOOKUP(A319,DataUsuario!B:D,3,FALSE)</f>
        <v>Mantenimiento de Riego y Bombas</v>
      </c>
      <c r="F319" t="s">
        <v>89</v>
      </c>
    </row>
    <row r="320" spans="1:6" x14ac:dyDescent="0.3">
      <c r="A320" s="157" t="s">
        <v>236</v>
      </c>
      <c r="B320" t="s">
        <v>11</v>
      </c>
      <c r="C320" s="163">
        <v>5</v>
      </c>
      <c r="D320" t="str">
        <f>VLOOKUP(A320,DataUsuario!B:D,2,FALSE)</f>
        <v>Administración y Finanzas</v>
      </c>
      <c r="E320" t="str">
        <f>VLOOKUP(A320,DataUsuario!B:D,3,FALSE)</f>
        <v>Sistemas y TI</v>
      </c>
      <c r="F320" t="s">
        <v>66</v>
      </c>
    </row>
    <row r="321" spans="1:6" x14ac:dyDescent="0.3">
      <c r="A321" s="156" t="s">
        <v>423</v>
      </c>
      <c r="B321" t="s">
        <v>11</v>
      </c>
      <c r="C321" s="162">
        <v>3</v>
      </c>
      <c r="D321" t="str">
        <f>VLOOKUP(A321,DataUsuario!B:D,2,FALSE)</f>
        <v>Industrial y de Mantenimiento</v>
      </c>
      <c r="E321" t="str">
        <f>VLOOKUP(A321,DataUsuario!B:D,3,FALSE)</f>
        <v>Producción</v>
      </c>
      <c r="F321" t="s">
        <v>74</v>
      </c>
    </row>
    <row r="322" spans="1:6" x14ac:dyDescent="0.3">
      <c r="A322" s="157" t="s">
        <v>271</v>
      </c>
      <c r="B322" t="s">
        <v>11</v>
      </c>
      <c r="C322" s="163">
        <v>5</v>
      </c>
      <c r="D322" t="str">
        <f>VLOOKUP(A322,DataUsuario!B:D,2,FALSE)</f>
        <v>Operaciones</v>
      </c>
      <c r="E322" t="str">
        <f>VLOOKUP(A322,DataUsuario!B:D,3,FALSE)</f>
        <v>Calidad</v>
      </c>
      <c r="F322" t="s">
        <v>70</v>
      </c>
    </row>
    <row r="323" spans="1:6" x14ac:dyDescent="0.3">
      <c r="A323" s="156" t="s">
        <v>258</v>
      </c>
      <c r="B323" t="s">
        <v>11</v>
      </c>
      <c r="C323" s="162">
        <v>4</v>
      </c>
      <c r="D323" t="str">
        <f>VLOOKUP(A323,DataUsuario!B:D,2,FALSE)</f>
        <v>Operaciones</v>
      </c>
      <c r="E323" t="str">
        <f>VLOOKUP(A323,DataUsuario!B:D,3,FALSE)</f>
        <v>Calidad</v>
      </c>
      <c r="F323" t="s">
        <v>70</v>
      </c>
    </row>
    <row r="324" spans="1:6" x14ac:dyDescent="0.3">
      <c r="A324" s="157" t="s">
        <v>612</v>
      </c>
      <c r="B324" t="s">
        <v>11</v>
      </c>
      <c r="C324" s="163">
        <v>5</v>
      </c>
      <c r="D324" t="str">
        <f>VLOOKUP(A324,DataUsuario!B:D,2,FALSE)</f>
        <v>Gestión Humana y Sostenibilidad</v>
      </c>
      <c r="E324" t="str">
        <f>VLOOKUP(A324,DataUsuario!B:D,3,FALSE)</f>
        <v>Gestor de Recursos Humanos</v>
      </c>
      <c r="F324" t="s">
        <v>62</v>
      </c>
    </row>
    <row r="325" spans="1:6" x14ac:dyDescent="0.3">
      <c r="A325" s="156" t="s">
        <v>614</v>
      </c>
      <c r="B325" t="s">
        <v>11</v>
      </c>
      <c r="C325" s="162">
        <v>5</v>
      </c>
      <c r="D325" t="str">
        <f>VLOOKUP(A325,DataUsuario!B:D,2,FALSE)</f>
        <v>Administración y Finanzas</v>
      </c>
      <c r="E325" t="str">
        <f>VLOOKUP(A325,DataUsuario!B:D,3,FALSE)</f>
        <v>Sistemas y TI</v>
      </c>
      <c r="F325" t="s">
        <v>66</v>
      </c>
    </row>
    <row r="326" spans="1:6" x14ac:dyDescent="0.3">
      <c r="A326" s="157" t="s">
        <v>242</v>
      </c>
      <c r="B326" t="s">
        <v>11</v>
      </c>
      <c r="C326" s="163">
        <v>4</v>
      </c>
      <c r="D326" t="str">
        <f>VLOOKUP(A326,DataUsuario!B:D,2,FALSE)</f>
        <v>Agrícola</v>
      </c>
      <c r="E326" t="str">
        <f>VLOOKUP(A326,DataUsuario!B:D,3,FALSE)</f>
        <v>Fundo Montelima</v>
      </c>
      <c r="F326" t="s">
        <v>89</v>
      </c>
    </row>
    <row r="327" spans="1:6" x14ac:dyDescent="0.3">
      <c r="A327" s="156" t="s">
        <v>196</v>
      </c>
      <c r="B327" t="s">
        <v>11</v>
      </c>
      <c r="C327" s="162">
        <v>4</v>
      </c>
      <c r="D327" t="str">
        <f>VLOOKUP(A327,DataUsuario!B:D,2,FALSE)</f>
        <v>Agrícola</v>
      </c>
      <c r="E327" t="str">
        <f>VLOOKUP(A327,DataUsuario!B:D,3,FALSE)</f>
        <v>Mantenimiento de Riego y Bombas</v>
      </c>
      <c r="F327" t="s">
        <v>89</v>
      </c>
    </row>
    <row r="328" spans="1:6" x14ac:dyDescent="0.3">
      <c r="A328" s="157" t="s">
        <v>224</v>
      </c>
      <c r="B328" t="s">
        <v>11</v>
      </c>
      <c r="C328" s="163">
        <v>4</v>
      </c>
      <c r="D328" t="str">
        <f>VLOOKUP(A328,DataUsuario!B:D,2,FALSE)</f>
        <v>Agrícola</v>
      </c>
      <c r="E328" t="str">
        <f>VLOOKUP(A328,DataUsuario!B:D,3,FALSE)</f>
        <v>Laboratorio e Investigación Agricola</v>
      </c>
      <c r="F328" t="s">
        <v>89</v>
      </c>
    </row>
    <row r="329" spans="1:6" x14ac:dyDescent="0.3">
      <c r="A329" s="156" t="s">
        <v>385</v>
      </c>
      <c r="B329" t="s">
        <v>11</v>
      </c>
      <c r="C329" s="162" t="s">
        <v>655</v>
      </c>
      <c r="D329" t="str">
        <f>VLOOKUP(A329,DataUsuario!B:D,2,FALSE)</f>
        <v>Agrícola</v>
      </c>
      <c r="E329" t="str">
        <f>VLOOKUP(A329,DataUsuario!B:D,3,FALSE)</f>
        <v>Fundo Montelima</v>
      </c>
      <c r="F329" t="s">
        <v>89</v>
      </c>
    </row>
    <row r="330" spans="1:6" x14ac:dyDescent="0.3">
      <c r="A330" s="157" t="s">
        <v>183</v>
      </c>
      <c r="B330" t="s">
        <v>11</v>
      </c>
      <c r="C330" s="163" t="s">
        <v>655</v>
      </c>
      <c r="D330" t="str">
        <f>VLOOKUP(A330,DataUsuario!B:D,2,FALSE)</f>
        <v>Agrícola</v>
      </c>
      <c r="E330" t="str">
        <f>VLOOKUP(A330,DataUsuario!B:D,3,FALSE)</f>
        <v>Planificador Agrícola</v>
      </c>
      <c r="F330" t="s">
        <v>89</v>
      </c>
    </row>
    <row r="331" spans="1:6" x14ac:dyDescent="0.3">
      <c r="A331" s="156" t="s">
        <v>617</v>
      </c>
      <c r="B331" t="s">
        <v>11</v>
      </c>
      <c r="C331" s="162">
        <v>3</v>
      </c>
      <c r="D331" t="str">
        <f>VLOOKUP(A331,DataUsuario!B:D,2,FALSE)</f>
        <v>Gestión Humana y Sostenibilidad</v>
      </c>
      <c r="E331" t="str">
        <f>VLOOKUP(A331,DataUsuario!B:D,3,FALSE)</f>
        <v>Seguridad</v>
      </c>
      <c r="F331" t="s">
        <v>62</v>
      </c>
    </row>
    <row r="332" spans="1:6" x14ac:dyDescent="0.3">
      <c r="A332" s="157" t="s">
        <v>383</v>
      </c>
      <c r="B332" t="s">
        <v>11</v>
      </c>
      <c r="C332" s="163">
        <v>5</v>
      </c>
      <c r="D332" t="str">
        <f>VLOOKUP(A332,DataUsuario!B:D,2,FALSE)</f>
        <v>Agrícola</v>
      </c>
      <c r="E332" t="str">
        <f>VLOOKUP(A332,DataUsuario!B:D,3,FALSE)</f>
        <v>Fundo Lobo</v>
      </c>
      <c r="F332" t="s">
        <v>89</v>
      </c>
    </row>
    <row r="333" spans="1:6" x14ac:dyDescent="0.3">
      <c r="A333" s="156" t="s">
        <v>289</v>
      </c>
      <c r="B333" t="s">
        <v>11</v>
      </c>
      <c r="C333" s="162">
        <v>4</v>
      </c>
      <c r="D333" t="str">
        <f>VLOOKUP(A333,DataUsuario!B:D,2,FALSE)</f>
        <v>Agrícola</v>
      </c>
      <c r="E333" t="str">
        <f>VLOOKUP(A333,DataUsuario!B:D,3,FALSE)</f>
        <v>Mantenimiento de Riego y Bombas</v>
      </c>
      <c r="F333" t="s">
        <v>89</v>
      </c>
    </row>
    <row r="334" spans="1:6" x14ac:dyDescent="0.3">
      <c r="A334" s="157" t="s">
        <v>158</v>
      </c>
      <c r="B334" t="s">
        <v>11</v>
      </c>
      <c r="C334" s="163">
        <v>4</v>
      </c>
      <c r="D334" t="str">
        <f>VLOOKUP(A334,DataUsuario!B:D,2,FALSE)</f>
        <v>Operaciones</v>
      </c>
      <c r="E334" t="str">
        <f>VLOOKUP(A334,DataUsuario!B:D,3,FALSE)</f>
        <v>Calidad</v>
      </c>
      <c r="F334" t="s">
        <v>70</v>
      </c>
    </row>
    <row r="335" spans="1:6" x14ac:dyDescent="0.3">
      <c r="A335" s="156" t="s">
        <v>279</v>
      </c>
      <c r="B335" t="s">
        <v>11</v>
      </c>
      <c r="C335" s="162">
        <v>4</v>
      </c>
      <c r="D335" t="str">
        <f>VLOOKUP(A335,DataUsuario!B:D,2,FALSE)</f>
        <v>Operaciones</v>
      </c>
      <c r="E335" t="str">
        <f>VLOOKUP(A335,DataUsuario!B:D,3,FALSE)</f>
        <v>Transporte</v>
      </c>
      <c r="F335" t="s">
        <v>70</v>
      </c>
    </row>
    <row r="336" spans="1:6" x14ac:dyDescent="0.3">
      <c r="A336" s="157" t="s">
        <v>164</v>
      </c>
      <c r="B336" t="s">
        <v>11</v>
      </c>
      <c r="C336" s="163">
        <v>5</v>
      </c>
      <c r="D336" t="str">
        <f>VLOOKUP(A336,DataUsuario!B:D,2,FALSE)</f>
        <v>Agrícola</v>
      </c>
      <c r="E336" t="str">
        <f>VLOOKUP(A336,DataUsuario!B:D,3,FALSE)</f>
        <v>Fundo San Vicente</v>
      </c>
      <c r="F336" t="s">
        <v>89</v>
      </c>
    </row>
    <row r="337" spans="1:6" x14ac:dyDescent="0.3">
      <c r="A337" s="156" t="s">
        <v>275</v>
      </c>
      <c r="B337" t="s">
        <v>11</v>
      </c>
      <c r="C337" s="162">
        <v>4</v>
      </c>
      <c r="D337" t="str">
        <f>VLOOKUP(A337,DataUsuario!B:D,2,FALSE)</f>
        <v>Administración y Finanzas</v>
      </c>
      <c r="E337" t="str">
        <f>VLOOKUP(A337,DataUsuario!B:D,3,FALSE)</f>
        <v>Compras</v>
      </c>
      <c r="F337" t="s">
        <v>66</v>
      </c>
    </row>
    <row r="338" spans="1:6" x14ac:dyDescent="0.3">
      <c r="A338" s="157" t="s">
        <v>620</v>
      </c>
      <c r="B338" t="s">
        <v>11</v>
      </c>
      <c r="C338" s="163">
        <v>5</v>
      </c>
      <c r="D338" t="str">
        <f>VLOOKUP(A338,DataUsuario!B:D,2,FALSE)</f>
        <v>Administración y Finanzas</v>
      </c>
      <c r="E338" t="str">
        <f>VLOOKUP(A338,DataUsuario!B:D,3,FALSE)</f>
        <v>Sistemas y TI</v>
      </c>
      <c r="F338" t="s">
        <v>66</v>
      </c>
    </row>
    <row r="339" spans="1:6" x14ac:dyDescent="0.3">
      <c r="A339" s="156" t="s">
        <v>343</v>
      </c>
      <c r="B339" t="s">
        <v>11</v>
      </c>
      <c r="C339" s="162">
        <v>5</v>
      </c>
      <c r="D339" t="str">
        <f>VLOOKUP(A339,DataUsuario!B:D,2,FALSE)</f>
        <v>Operaciones</v>
      </c>
      <c r="E339" t="str">
        <f>VLOOKUP(A339,DataUsuario!B:D,3,FALSE)</f>
        <v>Comercial No Giro</v>
      </c>
      <c r="F339" t="s">
        <v>70</v>
      </c>
    </row>
    <row r="340" spans="1:6" x14ac:dyDescent="0.3">
      <c r="A340" s="157" t="s">
        <v>332</v>
      </c>
      <c r="B340" t="s">
        <v>11</v>
      </c>
      <c r="C340" s="163">
        <v>4</v>
      </c>
      <c r="D340" t="str">
        <f>VLOOKUP(A340,DataUsuario!B:D,2,FALSE)</f>
        <v>Agrícola</v>
      </c>
      <c r="E340" t="str">
        <f>VLOOKUP(A340,DataUsuario!B:D,3,FALSE)</f>
        <v>Gerencia Agrícola</v>
      </c>
      <c r="F340" t="s">
        <v>89</v>
      </c>
    </row>
    <row r="341" spans="1:6" x14ac:dyDescent="0.3">
      <c r="A341" s="156" t="s">
        <v>320</v>
      </c>
      <c r="B341" t="s">
        <v>11</v>
      </c>
      <c r="C341" s="162">
        <v>5</v>
      </c>
      <c r="D341" t="str">
        <f>VLOOKUP(A341,DataUsuario!B:D,2,FALSE)</f>
        <v>Gestión Humana y Sostenibilidad</v>
      </c>
      <c r="E341" t="str">
        <f>VLOOKUP(A341,DataUsuario!B:D,3,FALSE)</f>
        <v>Sostenibilidad</v>
      </c>
      <c r="F341" t="s">
        <v>62</v>
      </c>
    </row>
    <row r="342" spans="1:6" x14ac:dyDescent="0.3">
      <c r="A342" s="157" t="s">
        <v>287</v>
      </c>
      <c r="B342" t="s">
        <v>11</v>
      </c>
      <c r="C342" s="163">
        <v>4</v>
      </c>
      <c r="D342" t="str">
        <f>VLOOKUP(A342,DataUsuario!B:D,2,FALSE)</f>
        <v>Operaciones</v>
      </c>
      <c r="E342" t="str">
        <f>VLOOKUP(A342,DataUsuario!B:D,3,FALSE)</f>
        <v>Calidad</v>
      </c>
      <c r="F342" t="s">
        <v>70</v>
      </c>
    </row>
    <row r="343" spans="1:6" x14ac:dyDescent="0.3">
      <c r="A343" s="156" t="s">
        <v>136</v>
      </c>
      <c r="B343" t="s">
        <v>11</v>
      </c>
      <c r="C343" s="162">
        <v>5</v>
      </c>
      <c r="D343" t="str">
        <f>VLOOKUP(A343,DataUsuario!B:D,2,FALSE)</f>
        <v>Operaciones</v>
      </c>
      <c r="E343" t="str">
        <f>VLOOKUP(A343,DataUsuario!B:D,3,FALSE)</f>
        <v>Comercial</v>
      </c>
      <c r="F343" t="s">
        <v>70</v>
      </c>
    </row>
    <row r="344" spans="1:6" x14ac:dyDescent="0.3">
      <c r="A344" s="157" t="s">
        <v>624</v>
      </c>
      <c r="B344" t="s">
        <v>11</v>
      </c>
      <c r="C344" s="163">
        <v>5</v>
      </c>
      <c r="D344" t="str">
        <f>VLOOKUP(A344,DataUsuario!B:D,2,FALSE)</f>
        <v>Administración y Finanzas</v>
      </c>
      <c r="E344" t="str">
        <f>VLOOKUP(A344,DataUsuario!B:D,3,FALSE)</f>
        <v>Finanzas y Tesorería</v>
      </c>
      <c r="F344" t="s">
        <v>66</v>
      </c>
    </row>
    <row r="345" spans="1:6" x14ac:dyDescent="0.3">
      <c r="A345" s="156" t="s">
        <v>625</v>
      </c>
      <c r="B345" t="s">
        <v>11</v>
      </c>
      <c r="C345" s="162">
        <v>5</v>
      </c>
      <c r="D345" t="str">
        <f>VLOOKUP(A345,DataUsuario!B:D,2,FALSE)</f>
        <v>Administración y Finanzas</v>
      </c>
      <c r="E345" t="str">
        <f>VLOOKUP(A345,DataUsuario!B:D,3,FALSE)</f>
        <v>Sistemas y TI</v>
      </c>
      <c r="F345" t="s">
        <v>66</v>
      </c>
    </row>
    <row r="346" spans="1:6" x14ac:dyDescent="0.3">
      <c r="A346" s="157" t="s">
        <v>85</v>
      </c>
      <c r="B346" t="s">
        <v>11</v>
      </c>
      <c r="C346" s="163">
        <v>4</v>
      </c>
      <c r="D346" t="str">
        <f>VLOOKUP(A346,DataUsuario!B:D,2,FALSE)</f>
        <v>Operaciones</v>
      </c>
      <c r="E346" t="str">
        <f>VLOOKUP(A346,DataUsuario!B:D,3,FALSE)</f>
        <v>Comercial</v>
      </c>
      <c r="F346" t="s">
        <v>70</v>
      </c>
    </row>
    <row r="347" spans="1:6" x14ac:dyDescent="0.3">
      <c r="A347" s="156" t="s">
        <v>194</v>
      </c>
      <c r="B347" t="s">
        <v>11</v>
      </c>
      <c r="C347" s="162">
        <v>5</v>
      </c>
      <c r="D347" t="str">
        <f>VLOOKUP(A347,DataUsuario!B:D,2,FALSE)</f>
        <v>Operaciones</v>
      </c>
      <c r="E347" t="str">
        <f>VLOOKUP(A347,DataUsuario!B:D,3,FALSE)</f>
        <v>Almacenes y Distribución PT</v>
      </c>
      <c r="F347" t="s">
        <v>70</v>
      </c>
    </row>
    <row r="348" spans="1:6" x14ac:dyDescent="0.3">
      <c r="A348" s="157" t="s">
        <v>205</v>
      </c>
      <c r="B348" t="s">
        <v>11</v>
      </c>
      <c r="C348" s="163">
        <v>4</v>
      </c>
      <c r="D348" t="str">
        <f>VLOOKUP(A348,DataUsuario!B:D,2,FALSE)</f>
        <v>Operaciones</v>
      </c>
      <c r="E348" t="str">
        <f>VLOOKUP(A348,DataUsuario!B:D,3,FALSE)</f>
        <v>Almacenes y Distribución PT</v>
      </c>
      <c r="F348" t="s">
        <v>70</v>
      </c>
    </row>
    <row r="349" spans="1:6" x14ac:dyDescent="0.3">
      <c r="A349" s="156" t="s">
        <v>307</v>
      </c>
      <c r="B349" t="s">
        <v>11</v>
      </c>
      <c r="C349" s="162">
        <v>5</v>
      </c>
      <c r="D349" t="str">
        <f>VLOOKUP(A349,DataUsuario!B:D,2,FALSE)</f>
        <v>Gestión Humana y Sostenibilidad</v>
      </c>
      <c r="E349" t="str">
        <f>VLOOKUP(A349,DataUsuario!B:D,3,FALSE)</f>
        <v>Comunicaciones y Responsabilidad Social</v>
      </c>
      <c r="F349" t="s">
        <v>62</v>
      </c>
    </row>
    <row r="350" spans="1:6" x14ac:dyDescent="0.3">
      <c r="A350" s="157" t="s">
        <v>407</v>
      </c>
      <c r="B350" t="s">
        <v>11</v>
      </c>
      <c r="C350" s="163">
        <v>4</v>
      </c>
      <c r="D350" t="str">
        <f>VLOOKUP(A350,DataUsuario!B:D,2,FALSE)</f>
        <v>Agrícola</v>
      </c>
      <c r="E350" t="str">
        <f>VLOOKUP(A350,DataUsuario!B:D,3,FALSE)</f>
        <v>Laboratorio e Investigación Agricola</v>
      </c>
      <c r="F350" t="s">
        <v>89</v>
      </c>
    </row>
    <row r="351" spans="1:6" x14ac:dyDescent="0.3">
      <c r="A351" s="156" t="s">
        <v>256</v>
      </c>
      <c r="B351" t="s">
        <v>11</v>
      </c>
      <c r="C351" s="162">
        <v>4</v>
      </c>
      <c r="D351" t="str">
        <f>VLOOKUP(A351,DataUsuario!B:D,2,FALSE)</f>
        <v>Agrícola</v>
      </c>
      <c r="E351" t="str">
        <f>VLOOKUP(A351,DataUsuario!B:D,3,FALSE)</f>
        <v>Fundo Montelima</v>
      </c>
      <c r="F351" t="s">
        <v>89</v>
      </c>
    </row>
    <row r="352" spans="1:6" x14ac:dyDescent="0.3">
      <c r="A352" s="157" t="s">
        <v>362</v>
      </c>
      <c r="B352" t="s">
        <v>11</v>
      </c>
      <c r="C352" s="163">
        <v>5</v>
      </c>
      <c r="D352" t="str">
        <f>VLOOKUP(A352,DataUsuario!B:D,2,FALSE)</f>
        <v>Agrícola</v>
      </c>
      <c r="E352" t="str">
        <f>VLOOKUP(A352,DataUsuario!B:D,3,FALSE)</f>
        <v>Fundo Lobo</v>
      </c>
      <c r="F352" t="s">
        <v>89</v>
      </c>
    </row>
    <row r="353" spans="1:6" x14ac:dyDescent="0.3">
      <c r="A353" s="156" t="s">
        <v>439</v>
      </c>
      <c r="B353" t="s">
        <v>11</v>
      </c>
      <c r="C353" s="162">
        <v>5</v>
      </c>
      <c r="D353" t="str">
        <f>VLOOKUP(A353,DataUsuario!B:D,2,FALSE)</f>
        <v>Operaciones</v>
      </c>
      <c r="E353" t="str">
        <f>VLOOKUP(A353,DataUsuario!B:D,3,FALSE)</f>
        <v>Comercial</v>
      </c>
      <c r="F353" t="s">
        <v>70</v>
      </c>
    </row>
    <row r="354" spans="1:6" x14ac:dyDescent="0.3">
      <c r="A354" s="157" t="s">
        <v>198</v>
      </c>
      <c r="B354" t="s">
        <v>11</v>
      </c>
      <c r="C354" s="163">
        <v>5</v>
      </c>
      <c r="D354" t="str">
        <f>VLOOKUP(A354,DataUsuario!B:D,2,FALSE)</f>
        <v>Agrícola</v>
      </c>
      <c r="E354" t="str">
        <f>VLOOKUP(A354,DataUsuario!B:D,3,FALSE)</f>
        <v>Fundo Lobo</v>
      </c>
      <c r="F354" t="s">
        <v>89</v>
      </c>
    </row>
    <row r="355" spans="1:6" x14ac:dyDescent="0.3">
      <c r="A355" s="156" t="s">
        <v>202</v>
      </c>
      <c r="B355" t="s">
        <v>11</v>
      </c>
      <c r="C355" s="162">
        <v>5</v>
      </c>
      <c r="D355" t="str">
        <f>VLOOKUP(A355,DataUsuario!B:D,2,FALSE)</f>
        <v>Agrícola</v>
      </c>
      <c r="E355" t="str">
        <f>VLOOKUP(A355,DataUsuario!B:D,3,FALSE)</f>
        <v>Fundo La Huaca</v>
      </c>
      <c r="F355" t="s">
        <v>89</v>
      </c>
    </row>
    <row r="356" spans="1:6" x14ac:dyDescent="0.3">
      <c r="A356" s="157" t="s">
        <v>345</v>
      </c>
      <c r="B356" t="s">
        <v>11</v>
      </c>
      <c r="C356" s="163">
        <v>4</v>
      </c>
      <c r="D356" t="str">
        <f>VLOOKUP(A356,DataUsuario!B:D,2,FALSE)</f>
        <v>Agrícola</v>
      </c>
      <c r="E356" t="str">
        <f>VLOOKUP(A356,DataUsuario!B:D,3,FALSE)</f>
        <v>Mantenimiento de Riego y Bombas</v>
      </c>
      <c r="F356" t="s">
        <v>89</v>
      </c>
    </row>
    <row r="357" spans="1:6" x14ac:dyDescent="0.3">
      <c r="A357" s="156" t="s">
        <v>251</v>
      </c>
      <c r="B357" t="s">
        <v>11</v>
      </c>
      <c r="C357" s="162">
        <v>4</v>
      </c>
      <c r="D357" t="str">
        <f>VLOOKUP(A357,DataUsuario!B:D,2,FALSE)</f>
        <v>Industrial y de Mantenimiento</v>
      </c>
      <c r="E357" t="str">
        <f>VLOOKUP(A357,DataUsuario!B:D,3,FALSE)</f>
        <v>Automatización</v>
      </c>
      <c r="F357" t="s">
        <v>74</v>
      </c>
    </row>
    <row r="358" spans="1:6" x14ac:dyDescent="0.3">
      <c r="A358" s="157" t="s">
        <v>150</v>
      </c>
      <c r="B358" t="s">
        <v>11</v>
      </c>
      <c r="C358" s="163" t="s">
        <v>655</v>
      </c>
      <c r="D358" t="str">
        <f>VLOOKUP(A358,DataUsuario!B:D,2,FALSE)</f>
        <v>Industrial y de Mantenimiento</v>
      </c>
      <c r="E358" t="str">
        <f>VLOOKUP(A358,DataUsuario!B:D,3,FALSE)</f>
        <v>Producción</v>
      </c>
      <c r="F358" t="s">
        <v>74</v>
      </c>
    </row>
    <row r="359" spans="1:6" x14ac:dyDescent="0.3">
      <c r="A359" s="156" t="s">
        <v>200</v>
      </c>
      <c r="B359" t="s">
        <v>11</v>
      </c>
      <c r="C359" s="162" t="s">
        <v>655</v>
      </c>
      <c r="D359" t="str">
        <f>VLOOKUP(A359,DataUsuario!B:D,2,FALSE)</f>
        <v>Industrial y de Mantenimiento</v>
      </c>
      <c r="E359" t="str">
        <f>VLOOKUP(A359,DataUsuario!B:D,3,FALSE)</f>
        <v>Electricidad</v>
      </c>
      <c r="F359" t="s">
        <v>74</v>
      </c>
    </row>
    <row r="360" spans="1:6" x14ac:dyDescent="0.3">
      <c r="A360" s="157" t="s">
        <v>305</v>
      </c>
      <c r="B360" t="s">
        <v>11</v>
      </c>
      <c r="C360" s="163" t="s">
        <v>655</v>
      </c>
      <c r="D360" t="str">
        <f>VLOOKUP(A360,DataUsuario!B:D,2,FALSE)</f>
        <v>Industrial y de Mantenimiento</v>
      </c>
      <c r="E360" t="str">
        <f>VLOOKUP(A360,DataUsuario!B:D,3,FALSE)</f>
        <v>Producción</v>
      </c>
      <c r="F360" t="s">
        <v>74</v>
      </c>
    </row>
    <row r="361" spans="1:6" x14ac:dyDescent="0.3">
      <c r="A361" s="156" t="s">
        <v>314</v>
      </c>
      <c r="B361" t="s">
        <v>11</v>
      </c>
      <c r="C361" s="162">
        <v>4</v>
      </c>
      <c r="D361" t="str">
        <f>VLOOKUP(A361,DataUsuario!B:D,2,FALSE)</f>
        <v>Industrial y de Mantenimiento</v>
      </c>
      <c r="E361" t="str">
        <f>VLOOKUP(A361,DataUsuario!B:D,3,FALSE)</f>
        <v>Mantenimiento Industrial</v>
      </c>
      <c r="F361" t="s">
        <v>74</v>
      </c>
    </row>
    <row r="362" spans="1:6" x14ac:dyDescent="0.3">
      <c r="A362" s="157" t="s">
        <v>215</v>
      </c>
      <c r="B362" t="s">
        <v>11</v>
      </c>
      <c r="C362" s="163">
        <v>5</v>
      </c>
      <c r="D362" t="str">
        <f>VLOOKUP(A362,DataUsuario!B:D,2,FALSE)</f>
        <v>Gestión Humana y Sostenibilidad</v>
      </c>
      <c r="E362" t="str">
        <f>VLOOKUP(A362,DataUsuario!B:D,3,FALSE)</f>
        <v>Seguridad</v>
      </c>
      <c r="F362" t="s">
        <v>62</v>
      </c>
    </row>
    <row r="363" spans="1:6" x14ac:dyDescent="0.3">
      <c r="A363" s="156" t="s">
        <v>88</v>
      </c>
      <c r="B363" t="s">
        <v>11</v>
      </c>
      <c r="C363" s="162">
        <v>5</v>
      </c>
      <c r="D363" t="str">
        <f>VLOOKUP(A363,DataUsuario!B:D,2,FALSE)</f>
        <v>Agrícola</v>
      </c>
      <c r="E363" t="str">
        <f>VLOOKUP(A363,DataUsuario!B:D,3,FALSE)</f>
        <v>Fundo Lobo</v>
      </c>
      <c r="F363" t="s">
        <v>89</v>
      </c>
    </row>
    <row r="364" spans="1:6" x14ac:dyDescent="0.3">
      <c r="A364" s="157" t="s">
        <v>267</v>
      </c>
      <c r="B364" t="s">
        <v>11</v>
      </c>
      <c r="C364" s="163">
        <v>5</v>
      </c>
      <c r="D364" t="str">
        <f>VLOOKUP(A364,DataUsuario!B:D,2,FALSE)</f>
        <v>Gestión Humana y Sostenibilidad</v>
      </c>
      <c r="E364" t="str">
        <f>VLOOKUP(A364,DataUsuario!B:D,3,FALSE)</f>
        <v>Sostenibilidad</v>
      </c>
      <c r="F364" t="s">
        <v>62</v>
      </c>
    </row>
    <row r="365" spans="1:6" x14ac:dyDescent="0.3">
      <c r="A365" s="156" t="s">
        <v>637</v>
      </c>
      <c r="B365" t="s">
        <v>11</v>
      </c>
      <c r="C365" s="162" t="s">
        <v>655</v>
      </c>
      <c r="D365" t="str">
        <f>VLOOKUP(A365,DataUsuario!B:D,2,FALSE)</f>
        <v>Agrícola</v>
      </c>
      <c r="E365" t="str">
        <f>VLOOKUP(A365,DataUsuario!B:D,3,FALSE)</f>
        <v>Mantenimiento de Riego y Bombas</v>
      </c>
      <c r="F365" t="s">
        <v>89</v>
      </c>
    </row>
    <row r="366" spans="1:6" x14ac:dyDescent="0.3">
      <c r="A366" s="157" t="s">
        <v>369</v>
      </c>
      <c r="B366" t="s">
        <v>11</v>
      </c>
      <c r="C366" s="163">
        <v>4</v>
      </c>
      <c r="D366" t="str">
        <f>VLOOKUP(A366,DataUsuario!B:D,2,FALSE)</f>
        <v>Agrícola</v>
      </c>
      <c r="E366" t="str">
        <f>VLOOKUP(A366,DataUsuario!B:D,3,FALSE)</f>
        <v>Sistema Integral de Gestión</v>
      </c>
      <c r="F366" t="s">
        <v>89</v>
      </c>
    </row>
    <row r="367" spans="1:6" x14ac:dyDescent="0.3">
      <c r="A367" s="156" t="s">
        <v>365</v>
      </c>
      <c r="B367" t="s">
        <v>11</v>
      </c>
      <c r="C367" s="162">
        <v>3</v>
      </c>
      <c r="D367" t="str">
        <f>VLOOKUP(A367,DataUsuario!B:D,2,FALSE)</f>
        <v>Operaciones</v>
      </c>
      <c r="E367" t="str">
        <f>VLOOKUP(A367,DataUsuario!B:D,3,FALSE)</f>
        <v>Cosecha</v>
      </c>
      <c r="F367" t="s">
        <v>70</v>
      </c>
    </row>
    <row r="368" spans="1:6" x14ac:dyDescent="0.3">
      <c r="A368" s="157" t="s">
        <v>77</v>
      </c>
      <c r="B368" t="s">
        <v>11</v>
      </c>
      <c r="C368" s="163">
        <v>4</v>
      </c>
      <c r="D368" t="str">
        <f>VLOOKUP(A368,DataUsuario!B:D,2,FALSE)</f>
        <v>Operaciones</v>
      </c>
      <c r="E368" t="str">
        <f>VLOOKUP(A368,DataUsuario!B:D,3,FALSE)</f>
        <v>Comercial No Giro</v>
      </c>
      <c r="F368" t="s">
        <v>70</v>
      </c>
    </row>
    <row r="369" spans="1:6" x14ac:dyDescent="0.3">
      <c r="A369" s="156" t="s">
        <v>639</v>
      </c>
      <c r="B369" t="s">
        <v>11</v>
      </c>
      <c r="C369" s="162">
        <v>4</v>
      </c>
      <c r="D369" t="str">
        <f>VLOOKUP(A369,DataUsuario!B:D,2,FALSE)</f>
        <v>Gestión Humana y Sostenibilidad</v>
      </c>
      <c r="E369" t="str">
        <f>VLOOKUP(A369,DataUsuario!B:D,3,FALSE)</f>
        <v>Bienestar - Medico Ocupacional</v>
      </c>
      <c r="F369" t="s">
        <v>62</v>
      </c>
    </row>
    <row r="370" spans="1:6" x14ac:dyDescent="0.3">
      <c r="A370" s="157" t="s">
        <v>260</v>
      </c>
      <c r="B370" t="s">
        <v>11</v>
      </c>
      <c r="C370" s="163">
        <v>2</v>
      </c>
      <c r="D370" t="str">
        <f>VLOOKUP(A370,DataUsuario!B:D,2,FALSE)</f>
        <v>Industrial y de Mantenimiento</v>
      </c>
      <c r="E370" t="str">
        <f>VLOOKUP(A370,DataUsuario!B:D,3,FALSE)</f>
        <v>Producción</v>
      </c>
      <c r="F370" t="s">
        <v>74</v>
      </c>
    </row>
    <row r="371" spans="1:6" x14ac:dyDescent="0.3">
      <c r="A371" s="156" t="s">
        <v>285</v>
      </c>
      <c r="B371" t="s">
        <v>11</v>
      </c>
      <c r="C371" s="162">
        <v>4</v>
      </c>
      <c r="D371" t="str">
        <f>VLOOKUP(A371,DataUsuario!B:D,2,FALSE)</f>
        <v>Operaciones</v>
      </c>
      <c r="E371" t="str">
        <f>VLOOKUP(A371,DataUsuario!B:D,3,FALSE)</f>
        <v>Comercial</v>
      </c>
      <c r="F371" t="s">
        <v>70</v>
      </c>
    </row>
    <row r="372" spans="1:6" x14ac:dyDescent="0.3">
      <c r="A372" s="157" t="s">
        <v>641</v>
      </c>
      <c r="B372" t="s">
        <v>11</v>
      </c>
      <c r="C372" s="163">
        <v>5</v>
      </c>
      <c r="D372" t="str">
        <f>VLOOKUP(A372,DataUsuario!B:D,2,FALSE)</f>
        <v>Gestión Humana y Sostenibilidad</v>
      </c>
      <c r="E372" t="str">
        <f>VLOOKUP(A372,DataUsuario!B:D,3,FALSE)</f>
        <v>Relaciones Laborales</v>
      </c>
      <c r="F372" t="s">
        <v>62</v>
      </c>
    </row>
    <row r="373" spans="1:6" x14ac:dyDescent="0.3">
      <c r="A373" s="156" t="s">
        <v>642</v>
      </c>
      <c r="B373" t="s">
        <v>11</v>
      </c>
      <c r="C373" s="162">
        <v>3</v>
      </c>
      <c r="D373" t="str">
        <f>VLOOKUP(A373,DataUsuario!B:D,2,FALSE)</f>
        <v>Operaciones</v>
      </c>
      <c r="E373" t="str">
        <f>VLOOKUP(A373,DataUsuario!B:D,3,FALSE)</f>
        <v>Cosecha</v>
      </c>
      <c r="F373" t="s">
        <v>70</v>
      </c>
    </row>
    <row r="374" spans="1:6" x14ac:dyDescent="0.3">
      <c r="A374" s="157" t="s">
        <v>643</v>
      </c>
      <c r="B374" t="s">
        <v>11</v>
      </c>
      <c r="C374" s="163">
        <v>5</v>
      </c>
      <c r="D374" t="str">
        <f>VLOOKUP(A374,DataUsuario!B:D,2,FALSE)</f>
        <v>Gestión Humana y Sostenibilidad</v>
      </c>
      <c r="E374" t="str">
        <f>VLOOKUP(A374,DataUsuario!B:D,3,FALSE)</f>
        <v>Bienestar - Medico Ocupacional</v>
      </c>
      <c r="F374" t="s">
        <v>62</v>
      </c>
    </row>
    <row r="375" spans="1:6" x14ac:dyDescent="0.3">
      <c r="A375" s="156" t="s">
        <v>128</v>
      </c>
      <c r="B375" t="s">
        <v>11</v>
      </c>
      <c r="C375" s="162">
        <v>5</v>
      </c>
      <c r="D375" t="str">
        <f>VLOOKUP(A375,DataUsuario!B:D,2,FALSE)</f>
        <v>Agrícola</v>
      </c>
      <c r="E375" t="str">
        <f>VLOOKUP(A375,DataUsuario!B:D,3,FALSE)</f>
        <v>Fundo Lobo</v>
      </c>
      <c r="F375" t="s">
        <v>89</v>
      </c>
    </row>
    <row r="376" spans="1:6" x14ac:dyDescent="0.3">
      <c r="A376" s="157" t="s">
        <v>326</v>
      </c>
      <c r="B376" t="s">
        <v>11</v>
      </c>
      <c r="C376" s="163">
        <v>4</v>
      </c>
      <c r="D376" t="str">
        <f>VLOOKUP(A376,DataUsuario!B:D,2,FALSE)</f>
        <v>Operaciones</v>
      </c>
      <c r="E376" t="str">
        <f>VLOOKUP(A376,DataUsuario!B:D,3,FALSE)</f>
        <v>Calidad</v>
      </c>
      <c r="F376" t="s">
        <v>70</v>
      </c>
    </row>
    <row r="377" spans="1:6" x14ac:dyDescent="0.3">
      <c r="A377" s="156" t="s">
        <v>162</v>
      </c>
      <c r="B377" t="s">
        <v>11</v>
      </c>
      <c r="C377" s="162">
        <v>5</v>
      </c>
      <c r="D377" t="str">
        <f>VLOOKUP(A377,DataUsuario!B:D,2,FALSE)</f>
        <v>Agrícola</v>
      </c>
      <c r="E377" t="str">
        <f>VLOOKUP(A377,DataUsuario!B:D,3,FALSE)</f>
        <v>Fundo Lobo</v>
      </c>
      <c r="F377" t="s">
        <v>89</v>
      </c>
    </row>
    <row r="378" spans="1:6" x14ac:dyDescent="0.3">
      <c r="A378" s="157" t="s">
        <v>160</v>
      </c>
      <c r="B378" t="s">
        <v>11</v>
      </c>
      <c r="C378" s="163">
        <v>5</v>
      </c>
      <c r="D378" t="str">
        <f>VLOOKUP(A378,DataUsuario!B:D,2,FALSE)</f>
        <v>Agrícola</v>
      </c>
      <c r="E378" t="str">
        <f>VLOOKUP(A378,DataUsuario!B:D,3,FALSE)</f>
        <v>Fundo Lobo</v>
      </c>
      <c r="F378" t="s">
        <v>89</v>
      </c>
    </row>
    <row r="379" spans="1:6" x14ac:dyDescent="0.3">
      <c r="A379" s="156" t="s">
        <v>645</v>
      </c>
      <c r="B379" t="s">
        <v>11</v>
      </c>
      <c r="C379" s="162">
        <v>5</v>
      </c>
      <c r="D379" t="str">
        <f>VLOOKUP(A379,DataUsuario!B:D,2,FALSE)</f>
        <v>Operaciones</v>
      </c>
      <c r="E379" t="str">
        <f>VLOOKUP(A379,DataUsuario!B:D,3,FALSE)</f>
        <v>Cosecha</v>
      </c>
      <c r="F379" t="s">
        <v>70</v>
      </c>
    </row>
    <row r="380" spans="1:6" x14ac:dyDescent="0.3">
      <c r="A380" s="157" t="s">
        <v>646</v>
      </c>
      <c r="B380" t="s">
        <v>11</v>
      </c>
      <c r="C380" s="163">
        <v>5</v>
      </c>
      <c r="D380" t="str">
        <f>VLOOKUP(A380,DataUsuario!B:D,2,FALSE)</f>
        <v>Operaciones</v>
      </c>
      <c r="E380" t="str">
        <f>VLOOKUP(A380,DataUsuario!B:D,3,FALSE)</f>
        <v xml:space="preserve">Almacén </v>
      </c>
      <c r="F380" t="s">
        <v>70</v>
      </c>
    </row>
    <row r="381" spans="1:6" x14ac:dyDescent="0.3">
      <c r="A381" s="156" t="s">
        <v>647</v>
      </c>
      <c r="B381" t="s">
        <v>11</v>
      </c>
      <c r="C381" s="162">
        <v>5</v>
      </c>
      <c r="D381" t="str">
        <f>VLOOKUP(A381,DataUsuario!B:D,2,FALSE)</f>
        <v>Operaciones</v>
      </c>
      <c r="E381" t="str">
        <f>VLOOKUP(A381,DataUsuario!B:D,3,FALSE)</f>
        <v>Almacenes y Distribución PT</v>
      </c>
      <c r="F381" t="s">
        <v>70</v>
      </c>
    </row>
    <row r="382" spans="1:6" x14ac:dyDescent="0.3">
      <c r="A382" s="157" t="s">
        <v>61</v>
      </c>
      <c r="B382" t="s">
        <v>11</v>
      </c>
      <c r="C382" s="163">
        <v>4</v>
      </c>
      <c r="D382" t="str">
        <f>VLOOKUP(A382,DataUsuario!B:D,2,FALSE)</f>
        <v>Gestión Humana y Sostenibilidad</v>
      </c>
      <c r="E382" t="str">
        <f>VLOOKUP(A382,DataUsuario!B:D,3,FALSE)</f>
        <v>Compensación y Nóminas</v>
      </c>
      <c r="F382" t="s">
        <v>62</v>
      </c>
    </row>
    <row r="383" spans="1:6" x14ac:dyDescent="0.3">
      <c r="A383" s="156" t="s">
        <v>350</v>
      </c>
      <c r="B383" t="s">
        <v>11</v>
      </c>
      <c r="C383" s="162">
        <v>4</v>
      </c>
      <c r="D383" t="str">
        <f>VLOOKUP(A383,DataUsuario!B:D,2,FALSE)</f>
        <v>Agrícola</v>
      </c>
      <c r="E383" t="str">
        <f>VLOOKUP(A383,DataUsuario!B:D,3,FALSE)</f>
        <v>Planificador Agrícola</v>
      </c>
      <c r="F383" t="s">
        <v>89</v>
      </c>
    </row>
    <row r="384" spans="1:6" x14ac:dyDescent="0.3">
      <c r="A384" s="157" t="s">
        <v>359</v>
      </c>
      <c r="B384" t="s">
        <v>11</v>
      </c>
      <c r="C384" s="163">
        <v>4</v>
      </c>
      <c r="D384" t="str">
        <f>VLOOKUP(A384,DataUsuario!B:D,2,FALSE)</f>
        <v>Operaciones</v>
      </c>
      <c r="E384" t="str">
        <f>VLOOKUP(A384,DataUsuario!B:D,3,FALSE)</f>
        <v>Gerencia de Operaciones</v>
      </c>
      <c r="F384" t="s">
        <v>70</v>
      </c>
    </row>
    <row r="385" spans="1:6" x14ac:dyDescent="0.3">
      <c r="A385" s="156" t="s">
        <v>303</v>
      </c>
      <c r="B385" t="s">
        <v>11</v>
      </c>
      <c r="C385" s="162">
        <v>5</v>
      </c>
      <c r="D385" t="str">
        <f>VLOOKUP(A385,DataUsuario!B:D,2,FALSE)</f>
        <v>Administración y Finanzas</v>
      </c>
      <c r="E385" t="str">
        <f>VLOOKUP(A385,DataUsuario!B:D,3,FALSE)</f>
        <v>Control de Gestión</v>
      </c>
      <c r="F385" t="s">
        <v>66</v>
      </c>
    </row>
    <row r="386" spans="1:6" x14ac:dyDescent="0.3">
      <c r="A386" s="157" t="s">
        <v>372</v>
      </c>
      <c r="B386" t="s">
        <v>11</v>
      </c>
      <c r="C386" s="163">
        <v>4</v>
      </c>
      <c r="D386" t="str">
        <f>VLOOKUP(A386,DataUsuario!B:D,2,FALSE)</f>
        <v>Agrícola</v>
      </c>
      <c r="E386" t="str">
        <f>VLOOKUP(A386,DataUsuario!B:D,3,FALSE)</f>
        <v>Laboratorio e Investigación Agricola</v>
      </c>
      <c r="F386" t="s">
        <v>89</v>
      </c>
    </row>
    <row r="387" spans="1:6" x14ac:dyDescent="0.3">
      <c r="A387" s="156" t="s">
        <v>399</v>
      </c>
      <c r="B387" t="s">
        <v>11</v>
      </c>
      <c r="C387" s="162">
        <v>3</v>
      </c>
      <c r="D387" t="str">
        <f>VLOOKUP(A387,DataUsuario!B:D,2,FALSE)</f>
        <v>Gestión Humana y Sostenibilidad</v>
      </c>
      <c r="E387" t="str">
        <f>VLOOKUP(A387,DataUsuario!B:D,3,FALSE)</f>
        <v>Seguridad</v>
      </c>
      <c r="F387" t="s">
        <v>62</v>
      </c>
    </row>
    <row r="388" spans="1:6" x14ac:dyDescent="0.3">
      <c r="A388" s="157" t="s">
        <v>123</v>
      </c>
      <c r="B388" t="s">
        <v>11</v>
      </c>
      <c r="C388" s="163">
        <v>4</v>
      </c>
      <c r="D388" t="str">
        <f>VLOOKUP(A388,DataUsuario!B:D,2,FALSE)</f>
        <v>Administración y Finanzas</v>
      </c>
      <c r="E388" t="str">
        <f>VLOOKUP(A388,DataUsuario!B:D,3,FALSE)</f>
        <v>Gerencia Administración y Finanzas</v>
      </c>
      <c r="F388" t="s">
        <v>66</v>
      </c>
    </row>
    <row r="389" spans="1:6" x14ac:dyDescent="0.3">
      <c r="A389" s="158" t="s">
        <v>352</v>
      </c>
      <c r="B389" t="s">
        <v>11</v>
      </c>
      <c r="C389" s="164" t="s">
        <v>655</v>
      </c>
      <c r="D389" t="str">
        <f>VLOOKUP(A389,DataUsuario!B:D,2,FALSE)</f>
        <v>Gestión Humana y Sostenibilidad</v>
      </c>
      <c r="E389" t="str">
        <f>VLOOKUP(A389,DataUsuario!B:D,3,FALSE)</f>
        <v>Compensación y Nóminas</v>
      </c>
      <c r="F389" t="s">
        <v>62</v>
      </c>
    </row>
  </sheetData>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FC0B3-1A88-43C3-806E-70BE2878D279}">
  <sheetPr codeName="Hoja6"/>
  <dimension ref="A2:M41"/>
  <sheetViews>
    <sheetView workbookViewId="0">
      <selection activeCell="F18" sqref="F18"/>
    </sheetView>
  </sheetViews>
  <sheetFormatPr baseColWidth="10" defaultRowHeight="14.4" x14ac:dyDescent="0.3"/>
  <cols>
    <col min="1" max="1" width="30.6640625" bestFit="1" customWidth="1"/>
    <col min="2" max="2" width="11.44140625" bestFit="1" customWidth="1"/>
    <col min="3" max="3" width="5.5546875" bestFit="1" customWidth="1"/>
    <col min="4" max="4" width="7.6640625" bestFit="1" customWidth="1"/>
    <col min="5" max="5" width="9.88671875" bestFit="1" customWidth="1"/>
    <col min="12" max="12" width="30.6640625" bestFit="1" customWidth="1"/>
    <col min="13" max="13" width="32" bestFit="1" customWidth="1"/>
  </cols>
  <sheetData>
    <row r="2" spans="1:13" x14ac:dyDescent="0.3">
      <c r="A2" t="s">
        <v>661</v>
      </c>
      <c r="B2">
        <v>105</v>
      </c>
    </row>
    <row r="3" spans="1:13" x14ac:dyDescent="0.3">
      <c r="A3" t="s">
        <v>662</v>
      </c>
      <c r="B3">
        <v>97</v>
      </c>
    </row>
    <row r="4" spans="1:13" x14ac:dyDescent="0.3">
      <c r="A4" t="s">
        <v>663</v>
      </c>
      <c r="B4">
        <v>8</v>
      </c>
    </row>
    <row r="15" spans="1:13" x14ac:dyDescent="0.3">
      <c r="A15" t="s">
        <v>452</v>
      </c>
      <c r="B15" t="s">
        <v>658</v>
      </c>
      <c r="L15" t="s">
        <v>659</v>
      </c>
      <c r="M15" t="s">
        <v>660</v>
      </c>
    </row>
    <row r="16" spans="1:13" x14ac:dyDescent="0.3">
      <c r="A16" t="s">
        <v>10</v>
      </c>
      <c r="B16">
        <v>4.3330000000000002</v>
      </c>
      <c r="L16" t="s">
        <v>66</v>
      </c>
      <c r="M16">
        <v>4.5279999999999996</v>
      </c>
    </row>
    <row r="17" spans="1:13" x14ac:dyDescent="0.3">
      <c r="A17" t="s">
        <v>9</v>
      </c>
      <c r="B17">
        <v>4.3280000000000003</v>
      </c>
      <c r="L17" t="s">
        <v>89</v>
      </c>
      <c r="M17">
        <v>4.3970000000000002</v>
      </c>
    </row>
    <row r="18" spans="1:13" x14ac:dyDescent="0.3">
      <c r="A18" t="s">
        <v>11</v>
      </c>
      <c r="B18">
        <v>4.2759999999999998</v>
      </c>
      <c r="L18" t="s">
        <v>62</v>
      </c>
      <c r="M18">
        <v>4.3319999999999999</v>
      </c>
    </row>
    <row r="19" spans="1:13" x14ac:dyDescent="0.3">
      <c r="A19" t="s">
        <v>8</v>
      </c>
      <c r="B19">
        <v>4.1159999999999997</v>
      </c>
      <c r="L19" t="s">
        <v>70</v>
      </c>
      <c r="M19">
        <v>4.125</v>
      </c>
    </row>
    <row r="20" spans="1:13" x14ac:dyDescent="0.3">
      <c r="L20" t="s">
        <v>74</v>
      </c>
      <c r="M20">
        <v>3.7189999999999999</v>
      </c>
    </row>
    <row r="34" spans="1:13" x14ac:dyDescent="0.3">
      <c r="L34" s="174" t="s">
        <v>5</v>
      </c>
      <c r="M34" t="s">
        <v>124</v>
      </c>
    </row>
    <row r="36" spans="1:13" ht="15" thickBot="1" x14ac:dyDescent="0.35">
      <c r="B36" s="21">
        <v>2022</v>
      </c>
      <c r="C36" s="22">
        <v>2023</v>
      </c>
      <c r="D36" s="22" t="s">
        <v>454</v>
      </c>
      <c r="E36" s="20" t="s">
        <v>459</v>
      </c>
      <c r="L36" s="174" t="s">
        <v>666</v>
      </c>
      <c r="M36" t="s">
        <v>670</v>
      </c>
    </row>
    <row r="37" spans="1:13" x14ac:dyDescent="0.3">
      <c r="A37" t="s">
        <v>10</v>
      </c>
      <c r="B37" s="30">
        <v>4.1660628019323669</v>
      </c>
      <c r="C37" s="27">
        <v>4.0894298996819183</v>
      </c>
      <c r="D37" s="12">
        <v>4.0380000000000003</v>
      </c>
      <c r="E37">
        <v>4.3330000000000002</v>
      </c>
      <c r="L37" s="146" t="s">
        <v>11</v>
      </c>
      <c r="M37" s="198">
        <v>4</v>
      </c>
    </row>
    <row r="38" spans="1:13" x14ac:dyDescent="0.3">
      <c r="A38" t="s">
        <v>9</v>
      </c>
      <c r="B38" s="31">
        <v>4.0453003875968996</v>
      </c>
      <c r="C38" s="27">
        <v>4.1752631578947366</v>
      </c>
      <c r="D38" s="28">
        <v>4.0380000000000003</v>
      </c>
      <c r="E38">
        <v>4.3280000000000003</v>
      </c>
      <c r="L38" s="146" t="s">
        <v>8</v>
      </c>
      <c r="M38" s="198">
        <v>4</v>
      </c>
    </row>
    <row r="39" spans="1:13" x14ac:dyDescent="0.3">
      <c r="A39" t="s">
        <v>11</v>
      </c>
      <c r="B39" s="31">
        <v>3.9073836961160904</v>
      </c>
      <c r="C39" s="27">
        <v>3.9592039800995025</v>
      </c>
      <c r="D39" s="12">
        <v>4.1959999999999997</v>
      </c>
      <c r="E39">
        <v>4.2759999999999998</v>
      </c>
      <c r="L39" s="146" t="s">
        <v>9</v>
      </c>
      <c r="M39" s="198" t="e">
        <v>#DIV/0!</v>
      </c>
    </row>
    <row r="40" spans="1:13" ht="15" thickBot="1" x14ac:dyDescent="0.35">
      <c r="A40" t="s">
        <v>8</v>
      </c>
      <c r="B40" s="34">
        <v>3.888157894736842</v>
      </c>
      <c r="C40" s="29">
        <v>4.0772154906153482</v>
      </c>
      <c r="D40" s="32">
        <v>4.2249999999999996</v>
      </c>
      <c r="E40" s="18">
        <v>4.1159999999999997</v>
      </c>
      <c r="L40" s="146" t="s">
        <v>10</v>
      </c>
      <c r="M40" s="198">
        <v>4</v>
      </c>
    </row>
    <row r="41" spans="1:13" x14ac:dyDescent="0.3">
      <c r="L41" s="146" t="s">
        <v>667</v>
      </c>
      <c r="M41" s="198">
        <v>4</v>
      </c>
    </row>
  </sheetData>
  <autoFilter ref="A36:E40" xr:uid="{F46FC0B3-1A88-43C3-806E-70BE2878D279}">
    <sortState xmlns:xlrd2="http://schemas.microsoft.com/office/spreadsheetml/2017/richdata2" ref="A37:E40">
      <sortCondition descending="1" ref="E36:E40"/>
    </sortState>
  </autoFilter>
  <pageMargins left="0.7" right="0.7" top="0.75" bottom="0.75" header="0.3" footer="0.3"/>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E421D-9561-4FB7-80AE-D510E87A8B84}">
  <sheetPr codeName="Hoja9"/>
  <dimension ref="C69:O86"/>
  <sheetViews>
    <sheetView tabSelected="1" workbookViewId="0">
      <selection activeCell="A16" sqref="A16"/>
    </sheetView>
  </sheetViews>
  <sheetFormatPr baseColWidth="10" defaultRowHeight="14.4" x14ac:dyDescent="0.3"/>
  <sheetData>
    <row r="69" spans="3:15" x14ac:dyDescent="0.3">
      <c r="C69" s="165"/>
      <c r="D69" s="166"/>
      <c r="E69" s="166"/>
      <c r="F69" s="166"/>
      <c r="G69" s="166"/>
      <c r="H69" s="166"/>
      <c r="I69" s="166"/>
      <c r="J69" s="166"/>
      <c r="K69" s="166"/>
      <c r="L69" s="166"/>
      <c r="M69" s="166"/>
      <c r="N69" s="166"/>
      <c r="O69" s="167"/>
    </row>
    <row r="70" spans="3:15" x14ac:dyDescent="0.3">
      <c r="C70" s="168" t="s">
        <v>664</v>
      </c>
      <c r="O70" s="169"/>
    </row>
    <row r="71" spans="3:15" x14ac:dyDescent="0.3">
      <c r="C71" s="168"/>
      <c r="O71" s="169"/>
    </row>
    <row r="72" spans="3:15" x14ac:dyDescent="0.3">
      <c r="C72" s="10" t="s">
        <v>5</v>
      </c>
      <c r="D72" s="10">
        <v>2021</v>
      </c>
      <c r="E72" s="10">
        <v>2022</v>
      </c>
      <c r="F72" s="11">
        <v>2023</v>
      </c>
      <c r="G72" s="11">
        <v>2024</v>
      </c>
      <c r="H72" s="43"/>
      <c r="O72" s="169"/>
    </row>
    <row r="73" spans="3:15" x14ac:dyDescent="0.3">
      <c r="C73" s="170" t="s">
        <v>7</v>
      </c>
      <c r="D73" s="35">
        <v>4.04</v>
      </c>
      <c r="E73" s="17">
        <v>4.0017261950955501</v>
      </c>
      <c r="F73" s="15">
        <v>4.0752781320728761</v>
      </c>
      <c r="G73" s="17">
        <v>4.2670777025244506</v>
      </c>
      <c r="H73" s="43"/>
      <c r="O73" s="169"/>
    </row>
    <row r="74" spans="3:15" x14ac:dyDescent="0.3">
      <c r="C74" s="168"/>
      <c r="O74" s="169"/>
    </row>
    <row r="75" spans="3:15" x14ac:dyDescent="0.3">
      <c r="C75" s="168"/>
      <c r="D75" s="141"/>
      <c r="O75" s="169"/>
    </row>
    <row r="76" spans="3:15" x14ac:dyDescent="0.3">
      <c r="C76" s="168"/>
      <c r="O76" s="169"/>
    </row>
    <row r="77" spans="3:15" x14ac:dyDescent="0.3">
      <c r="C77" s="168"/>
      <c r="E77" s="141"/>
      <c r="O77" s="169"/>
    </row>
    <row r="78" spans="3:15" x14ac:dyDescent="0.3">
      <c r="C78" s="168"/>
      <c r="O78" s="169"/>
    </row>
    <row r="79" spans="3:15" x14ac:dyDescent="0.3">
      <c r="C79" s="168"/>
      <c r="O79" s="169"/>
    </row>
    <row r="80" spans="3:15" x14ac:dyDescent="0.3">
      <c r="C80" s="168"/>
      <c r="O80" s="169"/>
    </row>
    <row r="81" spans="3:15" x14ac:dyDescent="0.3">
      <c r="C81" s="168"/>
      <c r="O81" s="169"/>
    </row>
    <row r="82" spans="3:15" x14ac:dyDescent="0.3">
      <c r="C82" s="168"/>
      <c r="O82" s="169"/>
    </row>
    <row r="83" spans="3:15" x14ac:dyDescent="0.3">
      <c r="C83" s="168"/>
      <c r="O83" s="169"/>
    </row>
    <row r="84" spans="3:15" x14ac:dyDescent="0.3">
      <c r="C84" s="168"/>
      <c r="O84" s="169"/>
    </row>
    <row r="85" spans="3:15" x14ac:dyDescent="0.3">
      <c r="C85" s="168"/>
      <c r="O85" s="169"/>
    </row>
    <row r="86" spans="3:15" x14ac:dyDescent="0.3">
      <c r="C86" s="171"/>
      <c r="D86" s="172"/>
      <c r="E86" s="172"/>
      <c r="F86" s="172"/>
      <c r="G86" s="172"/>
      <c r="H86" s="172"/>
      <c r="I86" s="172"/>
      <c r="J86" s="172"/>
      <c r="K86" s="172"/>
      <c r="L86" s="172"/>
      <c r="M86" s="172"/>
      <c r="N86" s="172"/>
      <c r="O86" s="173"/>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DataUsuario</vt:lpstr>
      <vt:lpstr>EncuestaAreas</vt:lpstr>
      <vt:lpstr>HistoricoAreas</vt:lpstr>
      <vt:lpstr>UniversoAreas</vt:lpstr>
      <vt:lpstr>Paso1_RespuestasMicrosoftForms</vt:lpstr>
      <vt:lpstr>Estadística</vt:lpstr>
      <vt:lpstr>Estadística_Gerencias</vt:lpstr>
      <vt:lpstr>Paso2_Comentarios</vt:lpstr>
      <vt:lpstr>Paso3_Tabuleado</vt:lpstr>
      <vt:lpstr>DataResumen</vt:lpstr>
      <vt:lpstr>Graficos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Cristhian Martin Valladolid Chero</dc:creator>
  <cp:lastModifiedBy>Cristhian Martin Valladolid Chero</cp:lastModifiedBy>
  <dcterms:created xsi:type="dcterms:W3CDTF">2024-08-22T19:34:42Z</dcterms:created>
  <dcterms:modified xsi:type="dcterms:W3CDTF">2024-12-30T14:01:38Z</dcterms:modified>
</cp:coreProperties>
</file>