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65E97538-F227-4B35-B65F-68FD261425BD}" xr6:coauthVersionLast="47" xr6:coauthVersionMax="47" xr10:uidLastSave="{00000000-0000-0000-0000-000000000000}"/>
  <bookViews>
    <workbookView xWindow="-108" yWindow="-108" windowWidth="23256" windowHeight="13896" firstSheet="5" activeTab="10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definedNames>
    <definedName name="_xlnm._FilterDatabase" localSheetId="9" hidden="1">DataResumen!$A$36:$D$40</definedName>
  </definedNames>
  <calcPr calcId="191029"/>
  <pivotCaches>
    <pivotCache cacheId="351" r:id="rId12"/>
    <pivotCache cacheId="35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03" l="1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46" i="193" l="1"/>
  <c r="S35" i="200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<sst xmlns="http://schemas.openxmlformats.org/spreadsheetml/2006/main" count="3486" uniqueCount="649">
  <si>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</si>
  <si>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</si>
  <si>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</si>
  <si>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</si>
  <si>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</si>
  <si>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</si>
  <si>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</si>
  <si>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</si>
  <si>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</si>
  <si>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</si>
  <si>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</si>
  <si>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</si>
  <si>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</si>
  <si>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</si>
  <si>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</si>
  <si>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</si>
  <si>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</si>
  <si>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</si>
  <si>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</si>
  <si>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</si>
  <si>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</si>
  <si>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</si>
  <si>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</si>
  <si>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</si>
  <si>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</si>
  <si>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</si>
  <si>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</si>
  <si>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</si>
  <si>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</si>
  <si>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</si>
  <si>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</si>
  <si>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</si>
  <si>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</si>
  <si>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</si>
  <si>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</si>
  <si>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</si>
  <si>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</si>
  <si>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</si>
  <si>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</si>
  <si>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</si>
  <si>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</si>
  <si>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</si>
  <si>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</si>
  <si>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</si>
  <si>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</si>
  <si>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</si>
  <si>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</si>
  <si>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</si>
  <si>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</si>
  <si>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</si>
  <si>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</si>
  <si>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</si>
  <si>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</si>
  <si>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</si>
  <si>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</si>
  <si>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</si>
  <si>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</si>
  <si>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</si>
  <si>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</si>
  <si>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</si>
  <si>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</si>
  <si>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</si>
  <si>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</si>
  <si>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</si>
  <si>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</si>
  <si>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</si>
  <si>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</si>
  <si>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</si>
  <si>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</si>
  <si>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</si>
  <si>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</si>
  <si>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</si>
  <si>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</si>
  <si>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</si>
  <si>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</si>
  <si>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</si>
  <si>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</si>
  <si>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</si>
  <si>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</si>
  <si>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</si>
  <si>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</si>
  <si>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</si>
  <si>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</si>
  <si>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</si>
  <si>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</si>
  <si>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</si>
  <si>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</si>
  <si>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</si>
  <si>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</si>
  <si>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</si>
  <si>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</si>
  <si>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</si>
  <si>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</si>
  <si>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</si>
  <si>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</si>
  <si>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</si>
  <si>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</si>
  <si>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</si>
  <si>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</si>
  <si>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</si>
  <si>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</si>
  <si>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</si>
  <si>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</si>
  <si>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</si>
  <si>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</si>
  <si>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</si>
  <si>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</si>
  <si>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</si>
  <si>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</si>
  <si>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</si>
  <si>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</si>
  <si>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</si>
  <si>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</si>
  <si>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</si>
  <si>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</si>
  <si>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</si>
  <si>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</si>
  <si>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</si>
  <si>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</si>
  <si>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</si>
  <si>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</si>
  <si>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</si>
  <si>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</si>
  <si>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</si>
  <si>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</si>
  <si>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</si>
  <si>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</si>
  <si>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</si>
  <si>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</si>
  <si>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</si>
  <si>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</si>
  <si>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</si>
  <si>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</si>
  <si>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</si>
  <si>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</si>
  <si>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</si>
  <si>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</si>
  <si>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</si>
  <si>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</si>
  <si>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</si>
  <si>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</si>
  <si>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</si>
  <si>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</si>
  <si>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</si>
  <si>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</si>
  <si>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</si>
  <si>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</si>
  <si>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</si>
  <si>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</si>
  <si>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</si>
  <si>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</si>
  <si>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</si>
  <si>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</si>
  <si>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</si>
  <si>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</si>
  <si>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</si>
  <si>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</si>
  <si>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</si>
  <si>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</si>
  <si>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</si>
  <si>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</si>
  <si>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</si>
  <si>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</si>
  <si>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</si>
  <si>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</si>
  <si>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</si>
  <si>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</si>
  <si>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</si>
  <si>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</si>
  <si>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</si>
  <si>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</si>
  <si>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</si>
  <si>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</si>
  <si>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</si>
  <si>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</si>
  <si>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</si>
  <si>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</si>
  <si>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</si>
  <si>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</si>
  <si>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</si>
  <si>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</si>
  <si>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</si>
  <si>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</si>
  <si>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</si>
  <si>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</si>
  <si>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</si>
  <si>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</si>
  <si>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</si>
  <si>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</si>
  <si>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</si>
  <si>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</si>
  <si>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</si>
  <si>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</si>
  <si>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</si>
  <si>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</si>
  <si>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</si>
  <si>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</si>
  <si>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</si>
  <si>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</si>
  <si>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</si>
  <si>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</si>
  <si>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</si>
  <si>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</si>
  <si>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</si>
  <si>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</si>
  <si>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</si>
  <si>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</si>
  <si>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</si>
  <si>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</si>
  <si>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</si>
  <si>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</si>
  <si>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</si>
  <si>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</si>
  <si>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</si>
  <si>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</si>
  <si>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</si>
  <si>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</si>
  <si>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</si>
  <si>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</si>
  <si>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</si>
  <si>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</si>
  <si>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</si>
  <si>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</si>
  <si>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</si>
  <si>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</si>
  <si>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</si>
  <si>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</si>
  <si>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</si>
  <si>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</si>
  <si>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</si>
  <si>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</si>
  <si>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</si>
  <si>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</si>
  <si>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</si>
  <si>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</si>
  <si>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</si>
  <si>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</si>
  <si>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</si>
  <si>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</si>
  <si>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</si>
  <si>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</si>
  <si>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</si>
  <si>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</si>
  <si>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</si>
  <si>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</si>
  <si>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</si>
  <si>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</si>
  <si>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</si>
  <si>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</si>
  <si>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</si>
  <si>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</si>
  <si>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</si>
  <si>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</si>
  <si>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</si>
  <si>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</si>
  <si>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</si>
  <si>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</si>
  <si>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</si>
  <si>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</si>
  <si>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</si>
  <si>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</si>
  <si>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</si>
  <si>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</si>
  <si>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</si>
  <si>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</si>
  <si>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</si>
  <si>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</si>
  <si>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</si>
  <si>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</si>
  <si>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</si>
  <si>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</si>
  <si>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</si>
  <si>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</si>
  <si>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</si>
  <si>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</si>
  <si>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</si>
  <si>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</si>
  <si>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</si>
  <si>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</si>
  <si>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</si>
  <si>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</si>
  <si>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</si>
  <si>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</si>
  <si>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</si>
  <si>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</si>
  <si>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</si>
  <si>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</si>
  <si>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</si>
  <si>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</si>
  <si>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</si>
  <si>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</si>
  <si>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</si>
  <si>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</si>
  <si>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</si>
  <si>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</si>
  <si>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</si>
  <si>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</si>
  <si>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</si>
  <si>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</si>
  <si>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</si>
  <si>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</si>
  <si>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</si>
  <si>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</si>
  <si>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</si>
  <si>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</si>
  <si>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</si>
  <si>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</si>
  <si>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</si>
  <si>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</si>
  <si>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</si>
  <si>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</si>
  <si>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</si>
  <si>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</si>
  <si>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</si>
  <si>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</si>
  <si>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</si>
  <si>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</si>
  <si>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</si>
  <si>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</si>
  <si>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</si>
  <si>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</si>
  <si>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</si>
  <si>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</si>
  <si>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</si>
  <si>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</si>
  <si>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</si>
  <si>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</si>
  <si>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</si>
  <si>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</si>
  <si>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</si>
  <si>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</si>
  <si>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</si>
  <si>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</si>
  <si>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</si>
  <si>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</si>
  <si>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</si>
  <si>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</si>
  <si>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</si>
  <si>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</si>
  <si>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</si>
  <si>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</si>
  <si>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</si>
  <si>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</si>
  <si>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</si>
  <si>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</si>
  <si>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</si>
  <si>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</si>
  <si>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</si>
  <si>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</si>
  <si>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</si>
  <si>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</si>
  <si>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</si>
  <si>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</si>
  <si>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</si>
  <si>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</si>
  <si>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</si>
  <si>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</si>
  <si>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</si>
  <si>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</si>
  <si>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</si>
  <si>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</si>
  <si>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</si>
  <si>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</si>
  <si>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</si>
  <si>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</si>
  <si>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</si>
  <si>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</si>
  <si>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</si>
  <si>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</si>
  <si>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</si>
  <si>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</si>
  <si>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</si>
  <si>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</si>
  <si>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</si>
  <si>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</si>
  <si>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</si>
  <si>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</si>
  <si>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</si>
  <si>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</si>
  <si>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</si>
  <si>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</si>
  <si>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</si>
  <si>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</si>
  <si>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</si>
  <si>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</si>
  <si>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</si>
  <si>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</si>
  <si>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</si>
  <si>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</si>
  <si>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</si>
  <si>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</si>
  <si>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</si>
  <si>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</si>
  <si>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</si>
  <si>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</si>
  <si>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</si>
  <si>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</si>
  <si>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</si>
  <si>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</si>
  <si>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</si>
  <si>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</si>
  <si>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</si>
  <si>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</si>
  <si>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</si>
  <si>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</si>
  <si>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</si>
  <si>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</si>
  <si>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</si>
  <si>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</si>
  <si>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</si>
  <si>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</si>
  <si>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</si>
  <si>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</si>
  <si>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</si>
  <si>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</si>
  <si>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</si>
  <si>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</si>
  <si>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</si>
  <si>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</si>
  <si>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</si>
  <si>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</si>
  <si>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</si>
  <si>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</si>
  <si>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</si>
  <si>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</si>
  <si>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</si>
  <si>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</si>
  <si>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</si>
  <si>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</si>
  <si>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</si>
  <si>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</si>
  <si>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</si>
  <si>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</si>
  <si>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</si>
  <si>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</si>
  <si>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</si>
  <si>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</si>
  <si>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</si>
  <si>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</si>
  <si>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</si>
  <si>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</si>
  <si>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</si>
  <si>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</si>
  <si>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</si>
  <si>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</si>
  <si>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</si>
  <si>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</si>
  <si>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</si>
  <si>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</si>
  <si>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</si>
  <si>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</si>
  <si>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</si>
  <si>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</si>
  <si>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</si>
  <si>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</si>
  <si>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</si>
  <si>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</si>
  <si>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</si>
  <si>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</si>
  <si>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</si>
  <si>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</si>
  <si>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</si>
  <si>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</si>
  <si>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</si>
  <si>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</si>
  <si>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</si>
  <si>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</si>
  <si>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</si>
  <si>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</si>
  <si>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</si>
  <si>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</si>
  <si>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</si>
  <si>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</si>
  <si>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</si>
  <si>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</si>
  <si>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</si>
  <si>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</si>
  <si>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</si>
  <si>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</si>
  <si>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</si>
  <si>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</si>
  <si>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</si>
  <si>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</si>
  <si>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</si>
  <si>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</si>
  <si>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</si>
  <si>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</si>
  <si>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</si>
  <si>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</si>
  <si>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</si>
  <si>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</si>
  <si>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</si>
  <si>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</si>
  <si>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</si>
  <si>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</si>
  <si>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</si>
  <si>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</si>
  <si>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</si>
  <si>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</si>
  <si>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</si>
  <si>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</si>
  <si>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</si>
  <si>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</si>
  <si>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</si>
  <si>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</si>
  <si>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</si>
  <si>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</si>
  <si>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</si>
  <si>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</si>
  <si>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</si>
  <si>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</si>
  <si>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</si>
  <si>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</si>
  <si>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</si>
  <si>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</si>
  <si>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</si>
  <si>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</si>
  <si>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</si>
  <si>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</si>
  <si>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</si>
  <si>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</si>
  <si>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</si>
  <si>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</si>
  <si>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</si>
  <si>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</si>
  <si>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</si>
  <si>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</si>
  <si>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</si>
  <si>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</si>
  <si>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</si>
  <si>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</si>
  <si>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</si>
  <si>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</si>
  <si>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</si>
  <si>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</si>
  <si>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</si>
  <si>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</si>
  <si>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</si>
  <si>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</si>
  <si>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</si>
  <si>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</si>
  <si>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</si>
  <si>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</si>
  <si>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</si>
  <si>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</si>
  <si>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</si>
  <si>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</si>
  <si>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</si>
  <si>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</si>
  <si>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</si>
  <si>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</si>
  <si>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</si>
  <si>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</si>
  <si>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</si>
  <si>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</si>
  <si>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</si>
  <si>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</si>
  <si>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</si>
  <si>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</si>
  <si>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</si>
  <si>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</si>
  <si>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</si>
  <si>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</si>
  <si>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</si>
  <si>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</si>
  <si>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</si>
  <si>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</si>
  <si>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</si>
  <si>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</si>
  <si>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</si>
  <si>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</si>
  <si>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</si>
  <si>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</si>
  <si>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</si>
  <si>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</si>
  <si>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</si>
  <si>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</si>
  <si>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</si>
  <si>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</si>
  <si>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</si>
  <si>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</si>
  <si>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 xml:space="preserve">          </t>
  </si>
  <si>
    <t xml:space="preserve">      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</si>
  <si>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</si>
  <si>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</si>
  <si>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</si>
  <si>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</si>
  <si>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</si>
  <si>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</si>
  <si>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</si>
  <si>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</si>
  <si>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Agradecemos su participación en esta encuesta, si tuviera alguna sugerencia para mejorar el servicio, por favor escríbalo en el siguiente espacio.</t>
  </si>
  <si>
    <t>JArevaloga@agricolachira.com.pe</t>
  </si>
  <si>
    <t>Jene Fransheska Gómez Aparicio</t>
  </si>
  <si>
    <t>Respuesta rápida del equipo, Se pediría más tiempo en pedir la información, ya que se están en diferentes actividades, las cuales se dejan de lado.</t>
  </si>
  <si>
    <t>No aplica</t>
  </si>
  <si>
    <t>en la maqueta de costo falta el dato de dolares por tonelada</t>
  </si>
  <si>
    <t>aporta mucho su trabajo al control de costos y gastos, ya que se revisa constantemente</t>
  </si>
  <si>
    <t>Pedro Alejandro Trigoso Feijoo</t>
  </si>
  <si>
    <t>Que se otorgue más tiempo en cambios en PB, en algunos casos se solicita de un día para otro y esto puede llevar a errores por apuro en tener información.</t>
  </si>
  <si>
    <t>Creo que puede mejorar el plan de trabajo para no correr a última hora con la actualización de datos que nos pueden exponer a errores.</t>
  </si>
  <si>
    <t>Giancarlo Cubas Acha</t>
  </si>
  <si>
    <t>JChumaceroC@sucroalcoleradelchira.com.pe</t>
  </si>
  <si>
    <t>excelente</t>
  </si>
  <si>
    <t>buena area</t>
  </si>
  <si>
    <t>Lia con muy buena dirección a su equipo humano, buena apertura a las consultas y soluciones oportunas.</t>
  </si>
  <si>
    <t>Carlos Andrés Manayay Barrios</t>
  </si>
  <si>
    <t>VCruzC@agricolachira.com.pe</t>
  </si>
  <si>
    <t>Excelente equipo</t>
  </si>
  <si>
    <t xml:space="preserve">Ninguna </t>
  </si>
  <si>
    <t>Buen equipo!!!</t>
  </si>
  <si>
    <t>ALachiraP@agricolachira.com.pe</t>
  </si>
  <si>
    <t>Brindar capacitación de Imputaciones  reservas y ordenes de mantenimiento</t>
  </si>
  <si>
    <t>Todo conforme</t>
  </si>
  <si>
    <t>Raul Javier Torres Silva</t>
  </si>
  <si>
    <t xml:space="preserve">Más capacitaciones </t>
  </si>
  <si>
    <t>Ricardo Mera Chu</t>
  </si>
  <si>
    <t>CSosaL@agricolachira.com.pe</t>
  </si>
  <si>
    <t>Lenin Vasquez Pinday</t>
  </si>
  <si>
    <t>AChirinosC@agricolachira.com.pe</t>
  </si>
  <si>
    <t>En mi caso, ayudaría mucho tener acceso a las bases de datos relacionadas a costos y gastos. Capacitación sobre la estructura de costos y gastos. Conocer cómo es el proceso para la elaboración del presupuesto de mano de obra y gastos de gerencia.</t>
  </si>
  <si>
    <t>AVasquezM@agricolachira.com.pe</t>
  </si>
  <si>
    <t>Se debe generar el reporte de costo del valor de la $/Tn según cada equipo turno</t>
  </si>
  <si>
    <t>Siempre dispuestos a apoyar y resolver dudas</t>
  </si>
  <si>
    <t>VHilaresZ@agricolachira.com.pe</t>
  </si>
  <si>
    <t>Victor Hilares Zamudio</t>
  </si>
  <si>
    <t>LI Di Liberto Sauri</t>
  </si>
  <si>
    <t>.</t>
  </si>
  <si>
    <t>ASeminarioV@agricolachira.com.pe</t>
  </si>
  <si>
    <t>JCheroPa@agricolachira.com.pe</t>
  </si>
  <si>
    <t>Jose Alexander Jimenez Caceres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</si>
  <si>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</si>
  <si>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</si>
  <si>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</si>
  <si>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</si>
  <si>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</si>
  <si>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</si>
  <si>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</si>
  <si>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</si>
  <si>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93 personas (88.57%)</t>
  </si>
  <si>
    <t>No completaron 12 personas (11.43%)</t>
  </si>
  <si>
    <t>Manual</t>
  </si>
  <si>
    <t>Control de gestión</t>
  </si>
  <si>
    <t>Columna1</t>
  </si>
  <si>
    <t>Etiquetas de fila</t>
  </si>
  <si>
    <t>Total general</t>
  </si>
  <si>
    <t>Cuenta de Nro</t>
  </si>
  <si>
    <t>(Varios elementos)</t>
  </si>
  <si>
    <t>Promedio de 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</si>
</sst>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9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9" borderId="63" xfId="0" applyFill="1" applyBorder="1"/>
    <xf numFmtId="0" fontId="0" fillId="8" borderId="44" xfId="0" applyFill="1" applyBorder="1"/>
    <xf numFmtId="0" fontId="0" fillId="8" borderId="64" xfId="0" applyFill="1" applyBorder="1"/>
    <xf numFmtId="0" fontId="0" fillId="9" borderId="64" xfId="0" applyFill="1" applyBorder="1"/>
    <xf numFmtId="0" fontId="0" fillId="8" borderId="41" xfId="0" applyFill="1" applyBorder="1"/>
    <xf numFmtId="0" fontId="0" fillId="8" borderId="65" xfId="0" applyFill="1" applyBorder="1"/>
    <xf numFmtId="0" fontId="0" fillId="9" borderId="65" xfId="0" applyFill="1" applyBorder="1"/>
    <xf numFmtId="0" fontId="0" fillId="8" borderId="42" xfId="0" applyFill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4" xfId="0" applyBorder="1"/>
    <xf numFmtId="0" fontId="0" fillId="0" borderId="0" xfId="0" pivotButton="1"/>
    <xf numFmtId="0" fontId="0" fillId="0" borderId="0" xfId="0" applyAlignment="1">
      <alignment horizontal="left" indent="1"/>
    </xf>
    <xf numFmtId="165" fontId="0" fillId="0" borderId="0" xfId="0" applyNumberFormat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DataResumen!$A$16:$A$19</c:f>
              <c:strCache>
                <c:ptCount val="4"/>
                <c:pt idx="0">
                  <c:v>Consultas y orientaciones</c:v>
                </c:pt>
                <c:pt idx="1">
                  <c:v>Presupuestos y Proyecciones Mensuales y Anuales</c:v>
                </c:pt>
                <c:pt idx="2">
                  <c:v>Control y seguimiento de gastos y costos</c:v>
                </c:pt>
                <c:pt idx="3">
                  <c:v>Gestión y Control de Inversiones</c:v>
                </c:pt>
              </c:strCache>
            </c:strRef>
          </c:cat>
          <c:val>
            <c:numRef>
              <c:f>DataResumen!$B$16:$B$19</c:f>
              <c:numCache>
                <c:formatCode>0.000</c:formatCode>
                <c:ptCount val="4"/>
                <c:pt idx="0" formatCode="General">
                  <c:v>4.4640000000000004</c:v>
                </c:pt>
                <c:pt idx="1">
                  <c:v>4.3</c:v>
                </c:pt>
                <c:pt idx="2" formatCode="General">
                  <c:v>4.2939999999999996</c:v>
                </c:pt>
                <c:pt idx="3" formatCode="General">
                  <c:v>4.2880000000000003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3-40A1-A24F-231F75D97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967984"/>
        <c:axId val="112972304"/>
      </c:barChart>
      <c:catAx>
        <c:axId val="11296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972304"/>
        <c:crosses val="autoZero"/>
        <c:auto val="1"/>
        <c:lblAlgn val="ctr"/>
        <c:lblOffset val="100"/>
        <c:noMultiLvlLbl val="0"/>
      </c:catAx>
      <c:valAx>
        <c:axId val="112972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2967984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Gestión Humana y Sostenibilidad</c:v>
                </c:pt>
                <c:pt idx="1">
                  <c:v>Industrial y de Mantenimiento</c:v>
                </c:pt>
                <c:pt idx="2">
                  <c:v>Administración y Finanzas</c:v>
                </c:pt>
                <c:pt idx="3">
                  <c:v>Operaciones</c:v>
                </c:pt>
                <c:pt idx="4">
                  <c:v>Agrícola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4.6500000000000004</c:v>
                </c:pt>
                <c:pt idx="1">
                  <c:v>4.3289999999999997</c:v>
                </c:pt>
                <c:pt idx="2">
                  <c:v>4.3010000000000002</c:v>
                </c:pt>
                <c:pt idx="3">
                  <c:v>4.2919999999999998</c:v>
                </c:pt>
                <c:pt idx="4">
                  <c:v>4.258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40-44F8-83FA-5DE817B97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982384"/>
        <c:axId val="112973744"/>
      </c:barChart>
      <c:catAx>
        <c:axId val="11298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973744"/>
        <c:crosses val="autoZero"/>
        <c:auto val="1"/>
        <c:lblAlgn val="ctr"/>
        <c:lblOffset val="100"/>
        <c:noMultiLvlLbl val="0"/>
      </c:catAx>
      <c:valAx>
        <c:axId val="112973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2982384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HistoricoAreas!$D$1:$F$1</c:f>
              <c:strCache>
                <c:ptCount val="3"/>
                <c:pt idx="0">
                  <c:v>2023</c:v>
                </c:pt>
                <c:pt idx="1">
                  <c:v>2024-01</c:v>
                </c:pt>
                <c:pt idx="2">
                  <c:v>2024-02</c:v>
                </c:pt>
              </c:strCache>
            </c:strRef>
          </c:cat>
          <c:val>
            <c:numRef>
              <c:f>HistoricoAreas!$D$8:$F$8</c:f>
              <c:numCache>
                <c:formatCode>_-* #,##0.000_-;\-* #,##0.000_-;_-* "-"??_-;_-@_-</c:formatCode>
                <c:ptCount val="3"/>
                <c:pt idx="0">
                  <c:v>4.2511088144452396</c:v>
                </c:pt>
                <c:pt idx="1">
                  <c:v>4.407</c:v>
                </c:pt>
                <c:pt idx="2" formatCode="General">
                  <c:v>4.3369999999999997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1B-4576-AE87-81E14F58E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318960"/>
        <c:axId val="142319920"/>
      </c:barChart>
      <c:catAx>
        <c:axId val="14231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319920"/>
        <c:crosses val="autoZero"/>
        <c:auto val="1"/>
        <c:lblAlgn val="ctr"/>
        <c:lblOffset val="100"/>
        <c:noMultiLvlLbl val="0"/>
      </c:catAx>
      <c:valAx>
        <c:axId val="142319920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4231896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105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7.7684278688922234E-2"/>
                  <c:y val="-0.11792326488165175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F2755A-137D-470B-BD88-1A5E58D0EE71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E8C-4C24-8418-3E105939A137}"/>
                </c:ext>
              </c:extLst>
            </c:dLbl>
            <c:dLbl>
              <c:idx val="1"/>
              <c:layout>
                <c:manualLayout>
                  <c:x val="7.5005510458269753E-2"/>
                  <c:y val="-2.2677550938779267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DD4D88C-8C33-4168-822F-BDCF7403572F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>
                  <a:softEdge rad="0"/>
                </a:effectLst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E8C-4C24-8418-3E105939A13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93 personas (88.57%)</c:v>
                </c:pt>
                <c:pt idx="1">
                  <c:v>No completaron 12 personas (11.43%)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93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8C-4C24-8418-3E105939A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7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kern="1200" cap="none" spc="0" normalizeH="0" baseline="0">
                <a:solidFill>
                  <a:schemeClr val="tx1"/>
                </a:solidFill>
              </a:rPr>
              <a:t>Satisfacción Histórica Control de gestión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Graficos!$E$72:$F$72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7001033630883184E-2"/>
                  <c:y val="7.2649578761153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BE-4EBA-AA31-E81F9EE22CAA}"/>
                </c:ext>
              </c:extLst>
            </c:dLbl>
            <c:dLbl>
              <c:idx val="1"/>
              <c:layout>
                <c:manualLayout>
                  <c:x val="-4.1471500262544085E-2"/>
                  <c:y val="0.108974368141729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BE-4EBA-AA31-E81F9EE22C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Graficos!$E$72:$F$72</c:f>
              <c:numCache>
                <c:formatCode>General</c:formatCode>
                <c:ptCount val="2"/>
                <c:pt idx="0">
                  <c:v>2023</c:v>
                </c:pt>
                <c:pt idx="1">
                  <c:v>2024</c:v>
                </c:pt>
              </c:numCache>
            </c:numRef>
          </c:cat>
          <c:val>
            <c:numRef>
              <c:f>Graficos!$E$73:$F$73</c:f>
              <c:numCache>
                <c:formatCode>_-* #,##0.000_-;\-* #,##0.000_-;_-* "-"??_-;_-@_-</c:formatCode>
                <c:ptCount val="2"/>
                <c:pt idx="0">
                  <c:v>4.2511088144452396</c:v>
                </c:pt>
                <c:pt idx="1">
                  <c:v>4.3719999999999999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BE-4EBA-AA31-E81F9EE2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4864"/>
        <c:axId val="1461838543"/>
      </c:lineChart>
      <c:catAx>
        <c:axId val="1968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61838543"/>
        <c:crosses val="autoZero"/>
        <c:auto val="1"/>
        <c:lblAlgn val="ctr"/>
        <c:lblOffset val="100"/>
        <c:noMultiLvlLbl val="0"/>
      </c:catAx>
      <c:valAx>
        <c:axId val="14618385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874864"/>
        <c:crosses val="autoZero"/>
        <c:crossBetween val="between"/>
      </c:valAx>
      <c:spPr>
        <a:pattFill prst="pct5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DataResumen!$A$37:$A$40</c:f>
              <c:strCache>
                <c:ptCount val="4"/>
                <c:pt idx="0">
                  <c:v>Consultas y orientaciones</c:v>
                </c:pt>
                <c:pt idx="1">
                  <c:v>Presupuestos y Proyecciones Mensuales y Anuales</c:v>
                </c:pt>
                <c:pt idx="2">
                  <c:v>Control y seguimiento de gastos y costos</c:v>
                </c:pt>
                <c:pt idx="3">
                  <c:v>Gestión y Control de Inversiones</c:v>
                </c:pt>
              </c:strCache>
            </c:strRef>
          </c:cat>
          <c:val>
            <c:numRef>
              <c:f>DataResumen!$B$37:$B$40</c:f>
              <c:numCache>
                <c:formatCode>0.000</c:formatCode>
                <c:ptCount val="4"/>
                <c:pt idx="0">
                  <c:v>4.3879999999999999</c:v>
                </c:pt>
                <c:pt idx="1">
                  <c:v>4.2069999999999999</c:v>
                </c:pt>
                <c:pt idx="2">
                  <c:v>4.2350000000000003</c:v>
                </c:pt>
                <c:pt idx="3">
                  <c:v>4.173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2F-4D87-A439-D5634B927258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2024-01</c:v>
                </c:pt>
              </c:strCache>
            </c:strRef>
          </c:tx>
          <c:spPr>
            <a:solidFill>
              <a:schemeClr val="accent6">
                <a:lumMod val="75000"/>
                <a:alpha val="93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DataResumen!$A$37:$A$40</c:f>
              <c:strCache>
                <c:ptCount val="4"/>
                <c:pt idx="0">
                  <c:v>Consultas y orientaciones</c:v>
                </c:pt>
                <c:pt idx="1">
                  <c:v>Presupuestos y Proyecciones Mensuales y Anuales</c:v>
                </c:pt>
                <c:pt idx="2">
                  <c:v>Control y seguimiento de gastos y costos</c:v>
                </c:pt>
                <c:pt idx="3">
                  <c:v>Gestión y Control de Inversiones</c:v>
                </c:pt>
              </c:strCache>
            </c:strRef>
          </c:cat>
          <c:val>
            <c:numRef>
              <c:f>DataResumen!$C$37:$C$40</c:f>
              <c:numCache>
                <c:formatCode>General</c:formatCode>
                <c:ptCount val="4"/>
                <c:pt idx="0">
                  <c:v>4.5410000000000004</c:v>
                </c:pt>
                <c:pt idx="1">
                  <c:v>4.4619999999999997</c:v>
                </c:pt>
                <c:pt idx="2">
                  <c:v>4.625</c:v>
                </c:pt>
                <c:pt idx="3">
                  <c:v>4.556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2F-4D87-A439-D5634B927258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DataResumen!$A$37:$A$40</c:f>
              <c:strCache>
                <c:ptCount val="4"/>
                <c:pt idx="0">
                  <c:v>Consultas y orientaciones</c:v>
                </c:pt>
                <c:pt idx="1">
                  <c:v>Presupuestos y Proyecciones Mensuales y Anuales</c:v>
                </c:pt>
                <c:pt idx="2">
                  <c:v>Control y seguimiento de gastos y costos</c:v>
                </c:pt>
                <c:pt idx="3">
                  <c:v>Gestión y Control de Inversiones</c:v>
                </c:pt>
              </c:strCache>
            </c:strRef>
          </c:cat>
          <c:val>
            <c:numRef>
              <c:f>DataResumen!$D$37:$D$40</c:f>
              <c:numCache>
                <c:formatCode>General</c:formatCode>
                <c:ptCount val="4"/>
                <c:pt idx="0">
                  <c:v>4.4640000000000004</c:v>
                </c:pt>
                <c:pt idx="1">
                  <c:v>4.3</c:v>
                </c:pt>
                <c:pt idx="2">
                  <c:v>4.2939999999999996</c:v>
                </c:pt>
                <c:pt idx="3">
                  <c:v>4.2880000000000003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2F-4D87-A439-D5634B927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7"/>
        <c:overlap val="-47"/>
        <c:axId val="278431680"/>
        <c:axId val="278427840"/>
      </c:barChart>
      <c:catAx>
        <c:axId val="2784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278427840"/>
        <c:crosses val="autoZero"/>
        <c:auto val="1"/>
        <c:lblAlgn val="ctr"/>
        <c:lblOffset val="100"/>
        <c:noMultiLvlLbl val="0"/>
      </c:catAx>
      <c:valAx>
        <c:axId val="278427840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27843168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[EncuestaControlDeGestión.xlsm]DataResumen!PivotTablaAutoevaluacion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PE"/>
              <a:t>Autoevaluación</a:t>
            </a:r>
            <a:r>
              <a:rPr lang="es-PE" baseline="0"/>
              <a:t> por servicios (5 usuarios)</a:t>
            </a:r>
            <a:endParaRPr lang="es-PE"/>
          </a:p>
        </c:rich>
      </c:tx>
      <c:overlay val="0"/>
    </c:title>
    <c:autoTitleDeleted val="0"/>
    <c:pivotFmts>
      <c:pivotFmt>
        <c:idx val="0"/>
        <c:spPr>
          <a:solidFill>
            <a:srgbClr val="0B84A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DataResumen!$L$37:$L$41</c:f>
              <c:strCache>
                <c:ptCount val="4"/>
                <c:pt idx="0">
                  <c:v>Consultas y orientaciones</c:v>
                </c:pt>
                <c:pt idx="1">
                  <c:v>Control y seguimiento de gastos y costos</c:v>
                </c:pt>
                <c:pt idx="2">
                  <c:v>Gestión y Control de Inversiones</c:v>
                </c:pt>
                <c:pt idx="3">
                  <c:v>Presupuestos y Proyecciones Mensuales y Anuales</c:v>
                </c:pt>
              </c:strCache>
            </c:strRef>
          </c:cat>
          <c:val>
            <c:numRef>
              <c:f>DataResumen!$M$37:$M$41</c:f>
              <c:numCache>
                <c:formatCode>0.000</c:formatCode>
                <c:ptCount val="4"/>
                <c:pt idx="0">
                  <c:v>5</c:v>
                </c:pt>
                <c:pt idx="1">
                  <c:v>5</c:v>
                </c:pt>
                <c:pt idx="2">
                  <c:v>4.8</c:v>
                </c:pt>
                <c:pt idx="3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9-48DF-B631-065D9E2FB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63888"/>
        <c:axId val="312150928"/>
      </c:barChart>
      <c:catAx>
        <c:axId val="312163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150928"/>
        <c:crosses val="autoZero"/>
        <c:auto val="1"/>
        <c:lblAlgn val="ctr"/>
        <c:lblOffset val="100"/>
        <c:noMultiLvlLbl val="0"/>
      </c:catAx>
      <c:valAx>
        <c:axId val="312150928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312163888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9</xdr:row>
          <xdr:rowOff>83820</xdr:rowOff>
        </xdr:from>
        <xdr:to>
          <xdr:col>17</xdr:col>
          <xdr:colOff>327660</xdr:colOff>
          <xdr:row>12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21</xdr:col>
      <xdr:colOff>398720</xdr:colOff>
      <xdr:row>9</xdr:row>
      <xdr:rowOff>81194</xdr:rowOff>
    </xdr:from>
    <xdr:to>
      <xdr:col>26</xdr:col>
      <xdr:colOff>354419</xdr:colOff>
      <xdr:row>12</xdr:row>
      <xdr:rowOff>132906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D92E291-325E-02D8-FC53-861B74DD72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571" t="50703" r="-2571" b="24670"/>
        <a:stretch/>
      </xdr:blipFill>
      <xdr:spPr>
        <a:xfrm>
          <a:off x="11465441" y="1808985"/>
          <a:ext cx="2480931" cy="609921"/>
        </a:xfrm>
        <a:prstGeom prst="rect">
          <a:avLst/>
        </a:prstGeom>
      </xdr:spPr>
    </xdr:pic>
    <xdr:clientData/>
  </xdr:twoCellAnchor>
  <xdr:twoCellAnchor editAs="oneCell">
    <xdr:from>
      <xdr:col>27</xdr:col>
      <xdr:colOff>99238</xdr:colOff>
      <xdr:row>9</xdr:row>
      <xdr:rowOff>168349</xdr:rowOff>
    </xdr:from>
    <xdr:to>
      <xdr:col>33</xdr:col>
      <xdr:colOff>79012</xdr:colOff>
      <xdr:row>13</xdr:row>
      <xdr:rowOff>132906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219D583-009E-CB18-7D74-BB9AED4C07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75244"/>
        <a:stretch/>
      </xdr:blipFill>
      <xdr:spPr>
        <a:xfrm>
          <a:off x="14196238" y="1896140"/>
          <a:ext cx="2868286" cy="708836"/>
        </a:xfrm>
        <a:prstGeom prst="rect">
          <a:avLst/>
        </a:prstGeom>
      </xdr:spPr>
    </xdr:pic>
    <xdr:clientData/>
  </xdr:twoCellAnchor>
  <xdr:twoCellAnchor editAs="oneCell">
    <xdr:from>
      <xdr:col>15</xdr:col>
      <xdr:colOff>304799</xdr:colOff>
      <xdr:row>9</xdr:row>
      <xdr:rowOff>170233</xdr:rowOff>
    </xdr:from>
    <xdr:to>
      <xdr:col>20</xdr:col>
      <xdr:colOff>451884</xdr:colOff>
      <xdr:row>13</xdr:row>
      <xdr:rowOff>94561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3A19A4-71ED-2354-ED41-12977C26D4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75426"/>
        <a:stretch/>
      </xdr:blipFill>
      <xdr:spPr>
        <a:xfrm>
          <a:off x="8243776" y="1898024"/>
          <a:ext cx="2725480" cy="668607"/>
        </a:xfrm>
        <a:prstGeom prst="rect">
          <a:avLst/>
        </a:prstGeom>
      </xdr:spPr>
    </xdr:pic>
    <xdr:clientData/>
  </xdr:twoCellAnchor>
  <xdr:twoCellAnchor editAs="oneCell">
    <xdr:from>
      <xdr:col>9</xdr:col>
      <xdr:colOff>168347</xdr:colOff>
      <xdr:row>9</xdr:row>
      <xdr:rowOff>54064</xdr:rowOff>
    </xdr:from>
    <xdr:to>
      <xdr:col>14</xdr:col>
      <xdr:colOff>256954</xdr:colOff>
      <xdr:row>12</xdr:row>
      <xdr:rowOff>168348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4FAFF01-F05D-8BE2-C61D-5CEB5641D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68" t="24369" r="-169" b="50039"/>
        <a:stretch/>
      </xdr:blipFill>
      <xdr:spPr>
        <a:xfrm>
          <a:off x="5077045" y="1781855"/>
          <a:ext cx="2613839" cy="6724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  <xdr:twoCellAnchor editAs="oneCell">
    <xdr:from>
      <xdr:col>27</xdr:col>
      <xdr:colOff>381001</xdr:colOff>
      <xdr:row>0</xdr:row>
      <xdr:rowOff>141666</xdr:rowOff>
    </xdr:from>
    <xdr:to>
      <xdr:col>33</xdr:col>
      <xdr:colOff>44303</xdr:colOff>
      <xdr:row>4</xdr:row>
      <xdr:rowOff>124049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17AB90E-1872-ECAB-3F93-F4CDA20B1F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75830"/>
        <a:stretch/>
      </xdr:blipFill>
      <xdr:spPr>
        <a:xfrm>
          <a:off x="14540024" y="141666"/>
          <a:ext cx="2551814" cy="770964"/>
        </a:xfrm>
        <a:prstGeom prst="rect">
          <a:avLst/>
        </a:prstGeom>
      </xdr:spPr>
    </xdr:pic>
    <xdr:clientData/>
  </xdr:twoCellAnchor>
  <xdr:twoCellAnchor editAs="oneCell">
    <xdr:from>
      <xdr:col>21</xdr:col>
      <xdr:colOff>462516</xdr:colOff>
      <xdr:row>1</xdr:row>
      <xdr:rowOff>65103</xdr:rowOff>
    </xdr:from>
    <xdr:to>
      <xdr:col>26</xdr:col>
      <xdr:colOff>354418</xdr:colOff>
      <xdr:row>5</xdr:row>
      <xdr:rowOff>53162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220B057-9A97-3A9E-E42A-BDF76DB494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47918" b="26378"/>
        <a:stretch/>
      </xdr:blipFill>
      <xdr:spPr>
        <a:xfrm>
          <a:off x="11591260" y="251173"/>
          <a:ext cx="2417135" cy="776640"/>
        </a:xfrm>
        <a:prstGeom prst="rect">
          <a:avLst/>
        </a:prstGeom>
      </xdr:spPr>
    </xdr:pic>
    <xdr:clientData/>
  </xdr:twoCellAnchor>
  <xdr:twoCellAnchor editAs="oneCell">
    <xdr:from>
      <xdr:col>15</xdr:col>
      <xdr:colOff>402265</xdr:colOff>
      <xdr:row>1</xdr:row>
      <xdr:rowOff>64211</xdr:rowOff>
    </xdr:from>
    <xdr:to>
      <xdr:col>20</xdr:col>
      <xdr:colOff>478464</xdr:colOff>
      <xdr:row>5</xdr:row>
      <xdr:rowOff>94894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7443E2D-4AAE-594D-6969-7AEC2A2DE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75310"/>
        <a:stretch/>
      </xdr:blipFill>
      <xdr:spPr>
        <a:xfrm>
          <a:off x="8447567" y="250281"/>
          <a:ext cx="2654595" cy="819264"/>
        </a:xfrm>
        <a:prstGeom prst="rect">
          <a:avLst/>
        </a:prstGeom>
      </xdr:spPr>
    </xdr:pic>
    <xdr:clientData/>
  </xdr:twoCellAnchor>
  <xdr:twoCellAnchor editAs="oneCell">
    <xdr:from>
      <xdr:col>8</xdr:col>
      <xdr:colOff>333154</xdr:colOff>
      <xdr:row>1</xdr:row>
      <xdr:rowOff>183800</xdr:rowOff>
    </xdr:from>
    <xdr:to>
      <xdr:col>13</xdr:col>
      <xdr:colOff>389861</xdr:colOff>
      <xdr:row>5</xdr:row>
      <xdr:rowOff>132907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B9A8C6D8-BA97-0AB1-27D1-25EBC61248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4822" b="50816"/>
        <a:stretch/>
      </xdr:blipFill>
      <xdr:spPr>
        <a:xfrm>
          <a:off x="4896294" y="369870"/>
          <a:ext cx="2422451" cy="737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1E2A3E-C553-0FC6-F291-7C4D2C387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A6CCD0-D885-2E2D-E3F6-943A747F5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525780</xdr:colOff>
      <xdr:row>41</xdr:row>
      <xdr:rowOff>22860</xdr:rowOff>
    </xdr:from>
    <xdr:to>
      <xdr:col>9</xdr:col>
      <xdr:colOff>58420</xdr:colOff>
      <xdr:row>61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763FD12-719C-BD00-6545-0DB66721EC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144780</xdr:colOff>
      <xdr:row>1</xdr:row>
      <xdr:rowOff>152400</xdr:rowOff>
    </xdr:from>
    <xdr:to>
      <xdr:col>8</xdr:col>
      <xdr:colOff>130885</xdr:colOff>
      <xdr:row>17</xdr:row>
      <xdr:rowOff>26446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E949397-0C91-4FA6-973A-860A29C0F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692972</xdr:colOff>
      <xdr:row>69</xdr:row>
      <xdr:rowOff>71270</xdr:rowOff>
    </xdr:from>
    <xdr:to>
      <xdr:col>14</xdr:col>
      <xdr:colOff>531608</xdr:colOff>
      <xdr:row>84</xdr:row>
      <xdr:rowOff>125058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8B9473B-E6FA-4AE0-A733-BDE75F969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41</xdr:row>
      <xdr:rowOff>0</xdr:rowOff>
    </xdr:from>
    <xdr:to>
      <xdr:col>17</xdr:col>
      <xdr:colOff>303605</xdr:colOff>
      <xdr:row>61</xdr:row>
      <xdr:rowOff>80682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13BB804-25C6-4BCD-8102-9421D6AA4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29</xdr:col>
      <xdr:colOff>10160</xdr:colOff>
      <xdr:row>42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A624A6-125A-C6BF-50B9-2A6F5A551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3.066149652775" createdVersion="8" refreshedVersion="8" minRefreshableVersion="3" recordCount="372" xr:uid="{D9E454ED-EE23-423D-87A4-8D309339E0E3}">
  <cacheSource type="worksheet">
    <worksheetSource name="Resumen2"/>
  </cacheSource>
  <cacheFields count="6">
    <cacheField name="Correo electrónico" numFmtId="0">
      <sharedItems/>
    </cacheField>
    <cacheField name="Servicios" numFmtId="0">
      <sharedItems count="4">
        <s v="Control y seguimiento de gastos y costos"/>
        <s v="Presupuestos y Proyecciones Mensuales y Anuales"/>
        <s v="Gestión y Control de Inversiones"/>
        <s v="Consultas y orientaciones"/>
      </sharedItems>
    </cacheField>
    <cacheField name="Nro" numFmtId="0">
      <sharedItems containsMixedTypes="1" containsNumber="1" containsInteger="1" minValue="2" maxValue="5" count="5">
        <n v="5"/>
        <n v="3"/>
        <n v="4"/>
        <s v="X"/>
        <n v="2"/>
      </sharedItems>
    </cacheField>
    <cacheField name="Gerencia" numFmtId="0">
      <sharedItems count="5">
        <s v="Gestión Humana y Sostenibilidad"/>
        <s v="Agrícola"/>
        <s v="Industrial y de Mantenimiento"/>
        <s v="Administración y Finanzas"/>
        <s v="Operaciones"/>
      </sharedItems>
    </cacheField>
    <cacheField name="Area" numFmtId="0">
      <sharedItems count="39">
        <s v="Seguridad"/>
        <s v="Fundo Montelima"/>
        <s v="Electricidad"/>
        <s v="Sistemas y TI"/>
        <s v="Automatización"/>
        <s v="Producción"/>
        <s v="Fundo San Vicente"/>
        <s v="Control de Gestión"/>
        <s v="Comercial No Giro"/>
        <s v="Fundo Lobo"/>
        <s v="Finanzas y Tesorería"/>
        <s v="Gerencia de Operaciones"/>
        <s v="Mantenimiento Industrial"/>
        <s v="Legal"/>
        <s v="Mantenimiento de Riego y Bombas"/>
        <s v="Gestion del Talento"/>
        <s v="Calidad"/>
        <s v="Cosecha"/>
        <s v="Cadenas Productivas"/>
        <s v="Comercial"/>
        <s v="Contabilidad Tributaria"/>
        <s v="Administración"/>
        <s v="Laboratorio e Investigación Agricola"/>
        <s v="Compensación y Nóminas"/>
        <s v="Gestor de Recursos Humanos"/>
        <s v="Riesgos y Cumplimiento"/>
        <s v="Mantenimiento CAT"/>
        <s v="Planificador Agrícola"/>
        <s v="Almacenes y Distribución PT"/>
        <s v="Compras"/>
        <s v="Gerencia industrial y de Mantenimiento"/>
        <s v="Planta y Srv Industriales"/>
        <s v="Control Presupuestal"/>
        <s v="Gerencia Administración y Finanzas"/>
        <s v="Sistema Integral de Gestión"/>
        <s v="Gerencia Agrícola"/>
        <s v="Fundo La Huaca"/>
        <s v="Mantenimiento de Transportes"/>
        <s v="Sostenibilidad"/>
      </sharedItems>
    </cacheField>
    <cacheField name="Columna1" numFmtId="0">
      <sharedItems count="5">
        <s v="Gestión Humana y Sostenibilidad"/>
        <s v="Agrícola"/>
        <s v="Industrial y de Mantenimiento"/>
        <s v="Administración y Finanzas"/>
        <s v="Operacion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6.360822800925" createdVersion="3" refreshedVersion="8" minRefreshableVersion="3" recordCount="372" xr:uid="{68048F84-8B1A-4784-9DD8-D75BA35078F3}">
  <cacheSource type="worksheet">
    <worksheetSource ref="A1:E373" sheet="Paso3_Tabuleado"/>
  </cacheSource>
  <cacheFields count="5">
    <cacheField name="Correo electrónico" numFmtId="0">
      <sharedItems/>
    </cacheField>
    <cacheField name="Servicios" numFmtId="0">
      <sharedItems count="4">
        <s v="Control y seguimiento de gastos y costos"/>
        <s v="Presupuestos y Proyecciones Mensuales y Anuales"/>
        <s v="Gestión y Control de Inversiones"/>
        <s v="Consultas y orientaciones"/>
      </sharedItems>
    </cacheField>
    <cacheField name="Nro" numFmtId="0">
      <sharedItems containsMixedTypes="1" containsNumber="1" containsInteger="1" minValue="2" maxValue="5"/>
    </cacheField>
    <cacheField name="Gerencia" numFmtId="0">
      <sharedItems/>
    </cacheField>
    <cacheField name="Area" numFmtId="0">
      <sharedItems count="39">
        <s v="Seguridad"/>
        <s v="Fundo Montelima"/>
        <s v="Electricidad"/>
        <s v="Sistemas y TI"/>
        <s v="Automatización"/>
        <s v="Producción"/>
        <s v="Fundo San Vicente"/>
        <s v="Control de Gestión"/>
        <s v="Comercial No Giro"/>
        <s v="Fundo Lobo"/>
        <s v="Finanzas y Tesorería"/>
        <s v="Gerencia de Operaciones"/>
        <s v="Mantenimiento Industrial"/>
        <s v="Legal"/>
        <s v="Mantenimiento de Riego y Bombas"/>
        <s v="Gestion del Talento"/>
        <s v="Calidad"/>
        <s v="Cosecha"/>
        <s v="Cadenas Productivas"/>
        <s v="Comercial"/>
        <s v="Contabilidad Tributaria"/>
        <s v="Administración"/>
        <s v="Laboratorio e Investigación Agricola"/>
        <s v="Compensación y Nóminas"/>
        <s v="Gestor de Recursos Humanos"/>
        <s v="Riesgos y Cumplimiento"/>
        <s v="Mantenimiento CAT"/>
        <s v="Planificador Agrícola"/>
        <s v="Almacenes y Distribución PT"/>
        <s v="Compras"/>
        <s v="Gerencia industrial y de Mantenimiento"/>
        <s v="Planta y Srv Industriales"/>
        <s v="Control Presupuestal"/>
        <s v="Gerencia Administración y Finanzas"/>
        <s v="Sistema Integral de Gestión"/>
        <s v="Gerencia Agrícola"/>
        <s v="Fundo La Huaca"/>
        <s v="Mantenimiento de Transportes"/>
        <s v="Sostenibilid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s v="JArevaloga@agricolachira.com.pe"/>
    <x v="0"/>
    <x v="0"/>
    <x v="0"/>
    <x v="0"/>
    <x v="0"/>
  </r>
  <r>
    <s v="JRojasBarr@agricolachira.com.pe"/>
    <x v="0"/>
    <x v="1"/>
    <x v="1"/>
    <x v="1"/>
    <x v="1"/>
  </r>
  <r>
    <s v="CCarrilloR@agricolachira.com.pe"/>
    <x v="0"/>
    <x v="2"/>
    <x v="2"/>
    <x v="2"/>
    <x v="2"/>
  </r>
  <r>
    <s v="JGomezAp@agricolachira.com.pe"/>
    <x v="0"/>
    <x v="0"/>
    <x v="3"/>
    <x v="3"/>
    <x v="3"/>
  </r>
  <r>
    <s v="JMazaV@agricolachira.com.pe"/>
    <x v="0"/>
    <x v="1"/>
    <x v="2"/>
    <x v="4"/>
    <x v="2"/>
  </r>
  <r>
    <s v="AFloresD@agricolachira.com.pe"/>
    <x v="0"/>
    <x v="2"/>
    <x v="2"/>
    <x v="5"/>
    <x v="2"/>
  </r>
  <r>
    <s v="WChavezS@agricolachira.com.pe"/>
    <x v="0"/>
    <x v="1"/>
    <x v="1"/>
    <x v="6"/>
    <x v="1"/>
  </r>
  <r>
    <s v="ABurneoL@agricolachira.com.pe"/>
    <x v="0"/>
    <x v="0"/>
    <x v="3"/>
    <x v="7"/>
    <x v="3"/>
  </r>
  <r>
    <s v="ABlancoE@agricolachira.com.pe"/>
    <x v="0"/>
    <x v="3"/>
    <x v="4"/>
    <x v="8"/>
    <x v="4"/>
  </r>
  <r>
    <s v="GPenaP@agricolachira.com.pe"/>
    <x v="0"/>
    <x v="2"/>
    <x v="1"/>
    <x v="9"/>
    <x v="1"/>
  </r>
  <r>
    <s v="LOlayaLe@agricolachira.com.pe"/>
    <x v="0"/>
    <x v="4"/>
    <x v="3"/>
    <x v="10"/>
    <x v="3"/>
  </r>
  <r>
    <s v="ptrigoso@agricolachira.com.pe"/>
    <x v="0"/>
    <x v="2"/>
    <x v="4"/>
    <x v="11"/>
    <x v="4"/>
  </r>
  <r>
    <s v="jvasquezc@agricolachira.com.pe"/>
    <x v="0"/>
    <x v="0"/>
    <x v="3"/>
    <x v="3"/>
    <x v="3"/>
  </r>
  <r>
    <s v="LVillarF@agricolachira.com.pe"/>
    <x v="0"/>
    <x v="0"/>
    <x v="2"/>
    <x v="12"/>
    <x v="2"/>
  </r>
  <r>
    <s v="DZuritaF@agricolachira.com.pe"/>
    <x v="0"/>
    <x v="2"/>
    <x v="3"/>
    <x v="13"/>
    <x v="3"/>
  </r>
  <r>
    <s v="KOtinianoP@agricolachira.com.pe"/>
    <x v="0"/>
    <x v="2"/>
    <x v="3"/>
    <x v="13"/>
    <x v="3"/>
  </r>
  <r>
    <s v="JMioA@agricolachira.com.pe"/>
    <x v="0"/>
    <x v="2"/>
    <x v="1"/>
    <x v="14"/>
    <x v="1"/>
  </r>
  <r>
    <s v="CRamosG@agricolachira.com.pe"/>
    <x v="0"/>
    <x v="2"/>
    <x v="0"/>
    <x v="15"/>
    <x v="0"/>
  </r>
  <r>
    <s v="MVegaY@agricolachira.com.pe"/>
    <x v="0"/>
    <x v="2"/>
    <x v="4"/>
    <x v="16"/>
    <x v="4"/>
  </r>
  <r>
    <s v="VLopezS@agricolachira.com.pe"/>
    <x v="0"/>
    <x v="2"/>
    <x v="4"/>
    <x v="17"/>
    <x v="4"/>
  </r>
  <r>
    <s v="LGarciaC@agricolachira.com.pe"/>
    <x v="0"/>
    <x v="0"/>
    <x v="4"/>
    <x v="17"/>
    <x v="4"/>
  </r>
  <r>
    <s v="EArevaloJ@agricolachira.com.pe"/>
    <x v="0"/>
    <x v="0"/>
    <x v="3"/>
    <x v="18"/>
    <x v="3"/>
  </r>
  <r>
    <s v="cfreym@agricolachira.com.pe"/>
    <x v="0"/>
    <x v="2"/>
    <x v="4"/>
    <x v="19"/>
    <x v="4"/>
  </r>
  <r>
    <s v="RMoncadaP@agricolachira.com.pe"/>
    <x v="0"/>
    <x v="0"/>
    <x v="3"/>
    <x v="7"/>
    <x v="3"/>
  </r>
  <r>
    <s v="JPichilinguP@agricolachira.com.pe"/>
    <x v="0"/>
    <x v="1"/>
    <x v="4"/>
    <x v="19"/>
    <x v="4"/>
  </r>
  <r>
    <s v="MMartinezP@agricolachira.com.pe"/>
    <x v="0"/>
    <x v="0"/>
    <x v="3"/>
    <x v="20"/>
    <x v="3"/>
  </r>
  <r>
    <s v="jquevedoa@agricolachira.com.pe"/>
    <x v="0"/>
    <x v="2"/>
    <x v="3"/>
    <x v="21"/>
    <x v="3"/>
  </r>
  <r>
    <s v="jbacilioh@agricolachira.com.pe"/>
    <x v="0"/>
    <x v="2"/>
    <x v="1"/>
    <x v="22"/>
    <x v="1"/>
  </r>
  <r>
    <s v="VTaboadaV@sucroalcoleradelchira.com.pe"/>
    <x v="0"/>
    <x v="0"/>
    <x v="3"/>
    <x v="10"/>
    <x v="3"/>
  </r>
  <r>
    <s v="GCubasA@agricolachira.com.pe"/>
    <x v="0"/>
    <x v="1"/>
    <x v="1"/>
    <x v="14"/>
    <x v="1"/>
  </r>
  <r>
    <s v="MVillegasJ@agricolachira.com.pe"/>
    <x v="0"/>
    <x v="2"/>
    <x v="3"/>
    <x v="21"/>
    <x v="3"/>
  </r>
  <r>
    <s v="USanchezF@agricolachira.com.pe"/>
    <x v="0"/>
    <x v="0"/>
    <x v="3"/>
    <x v="7"/>
    <x v="3"/>
  </r>
  <r>
    <s v="JChumaceroC@sucroalcoleradelchira.com.pe"/>
    <x v="0"/>
    <x v="0"/>
    <x v="2"/>
    <x v="12"/>
    <x v="2"/>
  </r>
  <r>
    <s v="JUrbinaP@agricolachira.com.pe"/>
    <x v="0"/>
    <x v="0"/>
    <x v="1"/>
    <x v="9"/>
    <x v="1"/>
  </r>
  <r>
    <s v="RLupucheQ@agricolachira.com.pe"/>
    <x v="0"/>
    <x v="2"/>
    <x v="1"/>
    <x v="22"/>
    <x v="1"/>
  </r>
  <r>
    <s v="VRequelmeS@agricolachira.com.pe"/>
    <x v="0"/>
    <x v="0"/>
    <x v="3"/>
    <x v="10"/>
    <x v="3"/>
  </r>
  <r>
    <s v="JOrdinolaZ@agricolachira.com.pe"/>
    <x v="0"/>
    <x v="2"/>
    <x v="4"/>
    <x v="16"/>
    <x v="4"/>
  </r>
  <r>
    <s v="JCobenasS@agricolachira.com.pe"/>
    <x v="0"/>
    <x v="0"/>
    <x v="4"/>
    <x v="16"/>
    <x v="4"/>
  </r>
  <r>
    <s v="AAdanaqueE@agricolachira.com.pe"/>
    <x v="0"/>
    <x v="0"/>
    <x v="0"/>
    <x v="23"/>
    <x v="0"/>
  </r>
  <r>
    <s v="ASernaqueV@agricolachira.com.pe"/>
    <x v="0"/>
    <x v="0"/>
    <x v="0"/>
    <x v="24"/>
    <x v="0"/>
  </r>
  <r>
    <s v="JVillegasP@agricolachira.com.pe"/>
    <x v="0"/>
    <x v="0"/>
    <x v="0"/>
    <x v="23"/>
    <x v="0"/>
  </r>
  <r>
    <s v="JEstelaF@agricolachira.com.pe"/>
    <x v="0"/>
    <x v="2"/>
    <x v="4"/>
    <x v="16"/>
    <x v="4"/>
  </r>
  <r>
    <s v="CManayayB@agricolachira.com.pe"/>
    <x v="0"/>
    <x v="0"/>
    <x v="1"/>
    <x v="9"/>
    <x v="1"/>
  </r>
  <r>
    <s v="HMocarroC@agricolachira.com.pe"/>
    <x v="0"/>
    <x v="0"/>
    <x v="3"/>
    <x v="25"/>
    <x v="3"/>
  </r>
  <r>
    <s v="SNizamaM@agricolachira.com.pe"/>
    <x v="0"/>
    <x v="1"/>
    <x v="4"/>
    <x v="26"/>
    <x v="4"/>
  </r>
  <r>
    <s v="ereyesp@agricolachira.com.pe"/>
    <x v="0"/>
    <x v="0"/>
    <x v="1"/>
    <x v="27"/>
    <x v="1"/>
  </r>
  <r>
    <s v="VCruzC@agricolachira.com.pe"/>
    <x v="0"/>
    <x v="0"/>
    <x v="0"/>
    <x v="24"/>
    <x v="0"/>
  </r>
  <r>
    <s v="PSuncionZ@agricolachira.com.pe"/>
    <x v="0"/>
    <x v="2"/>
    <x v="0"/>
    <x v="23"/>
    <x v="0"/>
  </r>
  <r>
    <s v="JMendozaG@agricolachira.com.pe"/>
    <x v="0"/>
    <x v="0"/>
    <x v="0"/>
    <x v="0"/>
    <x v="0"/>
  </r>
  <r>
    <s v="RGarciaFe@agricolachira.com.pe"/>
    <x v="0"/>
    <x v="2"/>
    <x v="3"/>
    <x v="20"/>
    <x v="3"/>
  </r>
  <r>
    <s v="SSanchezV@agricolachira.com.pe"/>
    <x v="0"/>
    <x v="0"/>
    <x v="3"/>
    <x v="7"/>
    <x v="3"/>
  </r>
  <r>
    <s v="CMendozaM@agricolachira.com.pe"/>
    <x v="0"/>
    <x v="2"/>
    <x v="1"/>
    <x v="1"/>
    <x v="1"/>
  </r>
  <r>
    <s v="ALachiraP@agricolachira.com.pe"/>
    <x v="0"/>
    <x v="0"/>
    <x v="4"/>
    <x v="28"/>
    <x v="4"/>
  </r>
  <r>
    <s v="JNegronC@agricolachira.com.pe"/>
    <x v="0"/>
    <x v="2"/>
    <x v="1"/>
    <x v="14"/>
    <x v="1"/>
  </r>
  <r>
    <s v="JAquijeD@agricolachira.com.pe"/>
    <x v="0"/>
    <x v="2"/>
    <x v="1"/>
    <x v="1"/>
    <x v="1"/>
  </r>
  <r>
    <s v="adelchiradigitadorsv@agricolachira.com.pe"/>
    <x v="0"/>
    <x v="0"/>
    <x v="1"/>
    <x v="6"/>
    <x v="1"/>
  </r>
  <r>
    <s v="EMijahuancaG@agricolachira.com.pe"/>
    <x v="0"/>
    <x v="0"/>
    <x v="4"/>
    <x v="26"/>
    <x v="4"/>
  </r>
  <r>
    <s v="MCulqueC@agricolachira.com.pe"/>
    <x v="0"/>
    <x v="0"/>
    <x v="1"/>
    <x v="6"/>
    <x v="1"/>
  </r>
  <r>
    <s v="WFacundoF@agricolachira.com.pe"/>
    <x v="0"/>
    <x v="2"/>
    <x v="2"/>
    <x v="5"/>
    <x v="2"/>
  </r>
  <r>
    <s v="HCruzA@agricolachira.com.pe"/>
    <x v="0"/>
    <x v="0"/>
    <x v="4"/>
    <x v="28"/>
    <x v="4"/>
  </r>
  <r>
    <s v="DGameroS@agricolachira.com.pe"/>
    <x v="0"/>
    <x v="2"/>
    <x v="2"/>
    <x v="5"/>
    <x v="2"/>
  </r>
  <r>
    <s v="RTorresS@agricolachira.com.pe"/>
    <x v="0"/>
    <x v="2"/>
    <x v="1"/>
    <x v="14"/>
    <x v="1"/>
  </r>
  <r>
    <s v="DFloreanoP@agricolachira.com.pe"/>
    <x v="0"/>
    <x v="3"/>
    <x v="3"/>
    <x v="29"/>
    <x v="3"/>
  </r>
  <r>
    <s v="FValladaresC@agricolachira.com.pe"/>
    <x v="0"/>
    <x v="2"/>
    <x v="1"/>
    <x v="14"/>
    <x v="1"/>
  </r>
  <r>
    <s v="DCheroN@agricolachira.com.pe"/>
    <x v="0"/>
    <x v="2"/>
    <x v="4"/>
    <x v="28"/>
    <x v="4"/>
  </r>
  <r>
    <s v="rmerach@agricolachira.com.pe"/>
    <x v="0"/>
    <x v="2"/>
    <x v="2"/>
    <x v="30"/>
    <x v="2"/>
  </r>
  <r>
    <s v="digitadorlb2@agricolachira.com.pe"/>
    <x v="0"/>
    <x v="2"/>
    <x v="1"/>
    <x v="9"/>
    <x v="1"/>
  </r>
  <r>
    <s v="digitadorlb1@agricolachira.com.pe"/>
    <x v="0"/>
    <x v="0"/>
    <x v="1"/>
    <x v="9"/>
    <x v="1"/>
  </r>
  <r>
    <s v="CSosaL@agricolachira.com.pe"/>
    <x v="0"/>
    <x v="0"/>
    <x v="3"/>
    <x v="7"/>
    <x v="3"/>
  </r>
  <r>
    <s v="IFloresF@bioenergiadelchira.pe"/>
    <x v="0"/>
    <x v="2"/>
    <x v="2"/>
    <x v="31"/>
    <x v="2"/>
  </r>
  <r>
    <s v="ovasquezp@agricolachira.com.pe"/>
    <x v="0"/>
    <x v="2"/>
    <x v="1"/>
    <x v="27"/>
    <x v="1"/>
  </r>
  <r>
    <s v="AChirinosC@agricolachira.com.pe"/>
    <x v="0"/>
    <x v="2"/>
    <x v="0"/>
    <x v="32"/>
    <x v="0"/>
  </r>
  <r>
    <s v="DAlbercaS@agricolachira.com.pe"/>
    <x v="0"/>
    <x v="2"/>
    <x v="4"/>
    <x v="16"/>
    <x v="4"/>
  </r>
  <r>
    <s v="AColomaL@agricolachira.com.pe"/>
    <x v="0"/>
    <x v="2"/>
    <x v="0"/>
    <x v="23"/>
    <x v="0"/>
  </r>
  <r>
    <s v="RInfanteB@agricolachira.com.pe"/>
    <x v="0"/>
    <x v="3"/>
    <x v="1"/>
    <x v="1"/>
    <x v="1"/>
  </r>
  <r>
    <s v="AVasquezM@agricolachira.com.pe"/>
    <x v="0"/>
    <x v="0"/>
    <x v="2"/>
    <x v="12"/>
    <x v="2"/>
  </r>
  <r>
    <s v="CVivancoM@agricolachira.com.pe"/>
    <x v="0"/>
    <x v="2"/>
    <x v="3"/>
    <x v="33"/>
    <x v="3"/>
  </r>
  <r>
    <s v="CLupucheV@agricolachira.com.pe"/>
    <x v="0"/>
    <x v="0"/>
    <x v="1"/>
    <x v="9"/>
    <x v="1"/>
  </r>
  <r>
    <s v="JCalderonChu@agricolachira.com.pe"/>
    <x v="0"/>
    <x v="2"/>
    <x v="2"/>
    <x v="5"/>
    <x v="2"/>
  </r>
  <r>
    <s v="VAbadP@agricolachira.com.pe"/>
    <x v="0"/>
    <x v="2"/>
    <x v="3"/>
    <x v="20"/>
    <x v="3"/>
  </r>
  <r>
    <s v="AGutierrezR@agricolachira.com.pe"/>
    <x v="0"/>
    <x v="0"/>
    <x v="4"/>
    <x v="19"/>
    <x v="4"/>
  </r>
  <r>
    <s v="YMoscolC@agricolachira.com.pe"/>
    <x v="0"/>
    <x v="0"/>
    <x v="4"/>
    <x v="19"/>
    <x v="4"/>
  </r>
  <r>
    <s v="VHilaresZ@agricolachira.com.pe"/>
    <x v="0"/>
    <x v="2"/>
    <x v="1"/>
    <x v="6"/>
    <x v="1"/>
  </r>
  <r>
    <s v="PMarroquinR@agricolachira.com.pe"/>
    <x v="0"/>
    <x v="2"/>
    <x v="1"/>
    <x v="34"/>
    <x v="1"/>
  </r>
  <r>
    <s v="RCrespoV@sucroalcoleradelchira.com.pe"/>
    <x v="0"/>
    <x v="2"/>
    <x v="2"/>
    <x v="12"/>
    <x v="2"/>
  </r>
  <r>
    <s v="YGarridoS@agricolachira.com.pe"/>
    <x v="0"/>
    <x v="2"/>
    <x v="4"/>
    <x v="28"/>
    <x v="4"/>
  </r>
  <r>
    <s v="MDilibertoS@agricolachira.com.pe"/>
    <x v="0"/>
    <x v="2"/>
    <x v="1"/>
    <x v="35"/>
    <x v="1"/>
  </r>
  <r>
    <s v="HMatiasZ@agricolachira.com.pe"/>
    <x v="0"/>
    <x v="0"/>
    <x v="1"/>
    <x v="36"/>
    <x v="1"/>
  </r>
  <r>
    <s v="DigitadorML@agricolachira.com.pe"/>
    <x v="0"/>
    <x v="2"/>
    <x v="1"/>
    <x v="1"/>
    <x v="1"/>
  </r>
  <r>
    <s v="ASeminarioV@agricolachira.com.pe"/>
    <x v="0"/>
    <x v="2"/>
    <x v="1"/>
    <x v="14"/>
    <x v="1"/>
  </r>
  <r>
    <s v="creyesy@agricolachira.com.pe"/>
    <x v="0"/>
    <x v="0"/>
    <x v="2"/>
    <x v="37"/>
    <x v="2"/>
  </r>
  <r>
    <s v="JCheroPa@agricolachira.com.pe"/>
    <x v="0"/>
    <x v="2"/>
    <x v="3"/>
    <x v="29"/>
    <x v="3"/>
  </r>
  <r>
    <s v="jjimenezc@agricolachira.com.pe"/>
    <x v="0"/>
    <x v="0"/>
    <x v="0"/>
    <x v="38"/>
    <x v="0"/>
  </r>
  <r>
    <s v="JArevaloga@agricolachira.com.pe"/>
    <x v="1"/>
    <x v="0"/>
    <x v="0"/>
    <x v="0"/>
    <x v="0"/>
  </r>
  <r>
    <s v="JRojasBarr@agricolachira.com.pe"/>
    <x v="1"/>
    <x v="1"/>
    <x v="1"/>
    <x v="1"/>
    <x v="1"/>
  </r>
  <r>
    <s v="CCarrilloR@agricolachira.com.pe"/>
    <x v="1"/>
    <x v="2"/>
    <x v="2"/>
    <x v="2"/>
    <x v="2"/>
  </r>
  <r>
    <s v="JGomezAp@agricolachira.com.pe"/>
    <x v="1"/>
    <x v="2"/>
    <x v="3"/>
    <x v="3"/>
    <x v="3"/>
  </r>
  <r>
    <s v="JMazaV@agricolachira.com.pe"/>
    <x v="1"/>
    <x v="1"/>
    <x v="2"/>
    <x v="4"/>
    <x v="2"/>
  </r>
  <r>
    <s v="AFloresD@agricolachira.com.pe"/>
    <x v="1"/>
    <x v="2"/>
    <x v="2"/>
    <x v="5"/>
    <x v="2"/>
  </r>
  <r>
    <s v="WChavezS@agricolachira.com.pe"/>
    <x v="1"/>
    <x v="2"/>
    <x v="1"/>
    <x v="6"/>
    <x v="1"/>
  </r>
  <r>
    <s v="ABurneoL@agricolachira.com.pe"/>
    <x v="1"/>
    <x v="0"/>
    <x v="3"/>
    <x v="7"/>
    <x v="3"/>
  </r>
  <r>
    <s v="ABlancoE@agricolachira.com.pe"/>
    <x v="1"/>
    <x v="0"/>
    <x v="4"/>
    <x v="8"/>
    <x v="4"/>
  </r>
  <r>
    <s v="GPenaP@agricolachira.com.pe"/>
    <x v="1"/>
    <x v="2"/>
    <x v="1"/>
    <x v="9"/>
    <x v="1"/>
  </r>
  <r>
    <s v="LOlayaLe@agricolachira.com.pe"/>
    <x v="1"/>
    <x v="4"/>
    <x v="3"/>
    <x v="10"/>
    <x v="3"/>
  </r>
  <r>
    <s v="ptrigoso@agricolachira.com.pe"/>
    <x v="1"/>
    <x v="2"/>
    <x v="4"/>
    <x v="11"/>
    <x v="4"/>
  </r>
  <r>
    <s v="jvasquezc@agricolachira.com.pe"/>
    <x v="1"/>
    <x v="2"/>
    <x v="3"/>
    <x v="3"/>
    <x v="3"/>
  </r>
  <r>
    <s v="LVillarF@agricolachira.com.pe"/>
    <x v="1"/>
    <x v="0"/>
    <x v="2"/>
    <x v="12"/>
    <x v="2"/>
  </r>
  <r>
    <s v="DZuritaF@agricolachira.com.pe"/>
    <x v="1"/>
    <x v="3"/>
    <x v="3"/>
    <x v="13"/>
    <x v="3"/>
  </r>
  <r>
    <s v="KOtinianoP@agricolachira.com.pe"/>
    <x v="1"/>
    <x v="2"/>
    <x v="3"/>
    <x v="13"/>
    <x v="3"/>
  </r>
  <r>
    <s v="JMioA@agricolachira.com.pe"/>
    <x v="1"/>
    <x v="2"/>
    <x v="1"/>
    <x v="14"/>
    <x v="1"/>
  </r>
  <r>
    <s v="CRamosG@agricolachira.com.pe"/>
    <x v="1"/>
    <x v="2"/>
    <x v="0"/>
    <x v="15"/>
    <x v="0"/>
  </r>
  <r>
    <s v="MVegaY@agricolachira.com.pe"/>
    <x v="1"/>
    <x v="2"/>
    <x v="4"/>
    <x v="16"/>
    <x v="4"/>
  </r>
  <r>
    <s v="VLopezS@agricolachira.com.pe"/>
    <x v="1"/>
    <x v="2"/>
    <x v="4"/>
    <x v="17"/>
    <x v="4"/>
  </r>
  <r>
    <s v="LGarciaC@agricolachira.com.pe"/>
    <x v="1"/>
    <x v="0"/>
    <x v="4"/>
    <x v="17"/>
    <x v="4"/>
  </r>
  <r>
    <s v="EArevaloJ@agricolachira.com.pe"/>
    <x v="1"/>
    <x v="0"/>
    <x v="3"/>
    <x v="18"/>
    <x v="3"/>
  </r>
  <r>
    <s v="cfreym@agricolachira.com.pe"/>
    <x v="1"/>
    <x v="1"/>
    <x v="4"/>
    <x v="19"/>
    <x v="4"/>
  </r>
  <r>
    <s v="RMoncadaP@agricolachira.com.pe"/>
    <x v="1"/>
    <x v="0"/>
    <x v="3"/>
    <x v="7"/>
    <x v="3"/>
  </r>
  <r>
    <s v="JPichilinguP@agricolachira.com.pe"/>
    <x v="1"/>
    <x v="1"/>
    <x v="4"/>
    <x v="19"/>
    <x v="4"/>
  </r>
  <r>
    <s v="MMartinezP@agricolachira.com.pe"/>
    <x v="1"/>
    <x v="0"/>
    <x v="3"/>
    <x v="20"/>
    <x v="3"/>
  </r>
  <r>
    <s v="jquevedoa@agricolachira.com.pe"/>
    <x v="1"/>
    <x v="2"/>
    <x v="3"/>
    <x v="21"/>
    <x v="3"/>
  </r>
  <r>
    <s v="jbacilioh@agricolachira.com.pe"/>
    <x v="1"/>
    <x v="2"/>
    <x v="1"/>
    <x v="22"/>
    <x v="1"/>
  </r>
  <r>
    <s v="VTaboadaV@sucroalcoleradelchira.com.pe"/>
    <x v="1"/>
    <x v="0"/>
    <x v="3"/>
    <x v="10"/>
    <x v="3"/>
  </r>
  <r>
    <s v="GCubasA@agricolachira.com.pe"/>
    <x v="1"/>
    <x v="1"/>
    <x v="1"/>
    <x v="14"/>
    <x v="1"/>
  </r>
  <r>
    <s v="MVillegasJ@agricolachira.com.pe"/>
    <x v="1"/>
    <x v="2"/>
    <x v="3"/>
    <x v="21"/>
    <x v="3"/>
  </r>
  <r>
    <s v="USanchezF@agricolachira.com.pe"/>
    <x v="1"/>
    <x v="2"/>
    <x v="3"/>
    <x v="7"/>
    <x v="3"/>
  </r>
  <r>
    <s v="JChumaceroC@sucroalcoleradelchira.com.pe"/>
    <x v="1"/>
    <x v="2"/>
    <x v="2"/>
    <x v="12"/>
    <x v="2"/>
  </r>
  <r>
    <s v="JUrbinaP@agricolachira.com.pe"/>
    <x v="1"/>
    <x v="0"/>
    <x v="1"/>
    <x v="9"/>
    <x v="1"/>
  </r>
  <r>
    <s v="RLupucheQ@agricolachira.com.pe"/>
    <x v="1"/>
    <x v="2"/>
    <x v="1"/>
    <x v="22"/>
    <x v="1"/>
  </r>
  <r>
    <s v="VRequelmeS@agricolachira.com.pe"/>
    <x v="1"/>
    <x v="0"/>
    <x v="3"/>
    <x v="10"/>
    <x v="3"/>
  </r>
  <r>
    <s v="JOrdinolaZ@agricolachira.com.pe"/>
    <x v="1"/>
    <x v="2"/>
    <x v="4"/>
    <x v="16"/>
    <x v="4"/>
  </r>
  <r>
    <s v="JCobenasS@agricolachira.com.pe"/>
    <x v="1"/>
    <x v="2"/>
    <x v="4"/>
    <x v="16"/>
    <x v="4"/>
  </r>
  <r>
    <s v="AAdanaqueE@agricolachira.com.pe"/>
    <x v="1"/>
    <x v="0"/>
    <x v="0"/>
    <x v="23"/>
    <x v="0"/>
  </r>
  <r>
    <s v="ASernaqueV@agricolachira.com.pe"/>
    <x v="1"/>
    <x v="0"/>
    <x v="0"/>
    <x v="24"/>
    <x v="0"/>
  </r>
  <r>
    <s v="JVillegasP@agricolachira.com.pe"/>
    <x v="1"/>
    <x v="0"/>
    <x v="0"/>
    <x v="23"/>
    <x v="0"/>
  </r>
  <r>
    <s v="JEstelaF@agricolachira.com.pe"/>
    <x v="1"/>
    <x v="2"/>
    <x v="4"/>
    <x v="16"/>
    <x v="4"/>
  </r>
  <r>
    <s v="CManayayB@agricolachira.com.pe"/>
    <x v="1"/>
    <x v="0"/>
    <x v="1"/>
    <x v="9"/>
    <x v="1"/>
  </r>
  <r>
    <s v="HMocarroC@agricolachira.com.pe"/>
    <x v="1"/>
    <x v="0"/>
    <x v="3"/>
    <x v="25"/>
    <x v="3"/>
  </r>
  <r>
    <s v="SNizamaM@agricolachira.com.pe"/>
    <x v="1"/>
    <x v="2"/>
    <x v="4"/>
    <x v="26"/>
    <x v="4"/>
  </r>
  <r>
    <s v="ereyesp@agricolachira.com.pe"/>
    <x v="1"/>
    <x v="0"/>
    <x v="1"/>
    <x v="27"/>
    <x v="1"/>
  </r>
  <r>
    <s v="VCruzC@agricolachira.com.pe"/>
    <x v="1"/>
    <x v="0"/>
    <x v="0"/>
    <x v="24"/>
    <x v="0"/>
  </r>
  <r>
    <s v="PSuncionZ@agricolachira.com.pe"/>
    <x v="1"/>
    <x v="2"/>
    <x v="0"/>
    <x v="23"/>
    <x v="0"/>
  </r>
  <r>
    <s v="JMendozaG@agricolachira.com.pe"/>
    <x v="1"/>
    <x v="0"/>
    <x v="0"/>
    <x v="0"/>
    <x v="0"/>
  </r>
  <r>
    <s v="RGarciaFe@agricolachira.com.pe"/>
    <x v="1"/>
    <x v="0"/>
    <x v="3"/>
    <x v="20"/>
    <x v="3"/>
  </r>
  <r>
    <s v="SSanchezV@agricolachira.com.pe"/>
    <x v="1"/>
    <x v="0"/>
    <x v="3"/>
    <x v="7"/>
    <x v="3"/>
  </r>
  <r>
    <s v="CMendozaM@agricolachira.com.pe"/>
    <x v="1"/>
    <x v="2"/>
    <x v="1"/>
    <x v="1"/>
    <x v="1"/>
  </r>
  <r>
    <s v="ALachiraP@agricolachira.com.pe"/>
    <x v="1"/>
    <x v="0"/>
    <x v="4"/>
    <x v="28"/>
    <x v="4"/>
  </r>
  <r>
    <s v="JNegronC@agricolachira.com.pe"/>
    <x v="1"/>
    <x v="2"/>
    <x v="1"/>
    <x v="14"/>
    <x v="1"/>
  </r>
  <r>
    <s v="JAquijeD@agricolachira.com.pe"/>
    <x v="1"/>
    <x v="2"/>
    <x v="1"/>
    <x v="1"/>
    <x v="1"/>
  </r>
  <r>
    <s v="adelchiradigitadorsv@agricolachira.com.pe"/>
    <x v="1"/>
    <x v="3"/>
    <x v="1"/>
    <x v="6"/>
    <x v="1"/>
  </r>
  <r>
    <s v="EMijahuancaG@agricolachira.com.pe"/>
    <x v="1"/>
    <x v="0"/>
    <x v="4"/>
    <x v="26"/>
    <x v="4"/>
  </r>
  <r>
    <s v="MCulqueC@agricolachira.com.pe"/>
    <x v="1"/>
    <x v="0"/>
    <x v="1"/>
    <x v="6"/>
    <x v="1"/>
  </r>
  <r>
    <s v="WFacundoF@agricolachira.com.pe"/>
    <x v="1"/>
    <x v="2"/>
    <x v="2"/>
    <x v="5"/>
    <x v="2"/>
  </r>
  <r>
    <s v="HCruzA@agricolachira.com.pe"/>
    <x v="1"/>
    <x v="0"/>
    <x v="4"/>
    <x v="28"/>
    <x v="4"/>
  </r>
  <r>
    <s v="DGameroS@agricolachira.com.pe"/>
    <x v="1"/>
    <x v="2"/>
    <x v="2"/>
    <x v="5"/>
    <x v="2"/>
  </r>
  <r>
    <s v="RTorresS@agricolachira.com.pe"/>
    <x v="1"/>
    <x v="2"/>
    <x v="1"/>
    <x v="14"/>
    <x v="1"/>
  </r>
  <r>
    <s v="DFloreanoP@agricolachira.com.pe"/>
    <x v="1"/>
    <x v="3"/>
    <x v="3"/>
    <x v="29"/>
    <x v="3"/>
  </r>
  <r>
    <s v="FValladaresC@agricolachira.com.pe"/>
    <x v="1"/>
    <x v="2"/>
    <x v="1"/>
    <x v="14"/>
    <x v="1"/>
  </r>
  <r>
    <s v="DCheroN@agricolachira.com.pe"/>
    <x v="1"/>
    <x v="2"/>
    <x v="4"/>
    <x v="28"/>
    <x v="4"/>
  </r>
  <r>
    <s v="rmerach@agricolachira.com.pe"/>
    <x v="1"/>
    <x v="2"/>
    <x v="2"/>
    <x v="30"/>
    <x v="2"/>
  </r>
  <r>
    <s v="digitadorlb2@agricolachira.com.pe"/>
    <x v="1"/>
    <x v="3"/>
    <x v="1"/>
    <x v="9"/>
    <x v="1"/>
  </r>
  <r>
    <s v="digitadorlb1@agricolachira.com.pe"/>
    <x v="1"/>
    <x v="3"/>
    <x v="1"/>
    <x v="9"/>
    <x v="1"/>
  </r>
  <r>
    <s v="CSosaL@agricolachira.com.pe"/>
    <x v="1"/>
    <x v="0"/>
    <x v="3"/>
    <x v="7"/>
    <x v="3"/>
  </r>
  <r>
    <s v="IFloresF@bioenergiadelchira.pe"/>
    <x v="1"/>
    <x v="2"/>
    <x v="2"/>
    <x v="31"/>
    <x v="2"/>
  </r>
  <r>
    <s v="ovasquezp@agricolachira.com.pe"/>
    <x v="1"/>
    <x v="0"/>
    <x v="1"/>
    <x v="27"/>
    <x v="1"/>
  </r>
  <r>
    <s v="AChirinosC@agricolachira.com.pe"/>
    <x v="1"/>
    <x v="2"/>
    <x v="0"/>
    <x v="32"/>
    <x v="0"/>
  </r>
  <r>
    <s v="DAlbercaS@agricolachira.com.pe"/>
    <x v="1"/>
    <x v="2"/>
    <x v="4"/>
    <x v="16"/>
    <x v="4"/>
  </r>
  <r>
    <s v="AColomaL@agricolachira.com.pe"/>
    <x v="1"/>
    <x v="2"/>
    <x v="0"/>
    <x v="23"/>
    <x v="0"/>
  </r>
  <r>
    <s v="RInfanteB@agricolachira.com.pe"/>
    <x v="1"/>
    <x v="3"/>
    <x v="1"/>
    <x v="1"/>
    <x v="1"/>
  </r>
  <r>
    <s v="AVasquezM@agricolachira.com.pe"/>
    <x v="1"/>
    <x v="0"/>
    <x v="2"/>
    <x v="12"/>
    <x v="2"/>
  </r>
  <r>
    <s v="CVivancoM@agricolachira.com.pe"/>
    <x v="1"/>
    <x v="2"/>
    <x v="3"/>
    <x v="33"/>
    <x v="3"/>
  </r>
  <r>
    <s v="CLupucheV@agricolachira.com.pe"/>
    <x v="1"/>
    <x v="0"/>
    <x v="1"/>
    <x v="9"/>
    <x v="1"/>
  </r>
  <r>
    <s v="JCalderonChu@agricolachira.com.pe"/>
    <x v="1"/>
    <x v="2"/>
    <x v="2"/>
    <x v="5"/>
    <x v="2"/>
  </r>
  <r>
    <s v="VAbadP@agricolachira.com.pe"/>
    <x v="1"/>
    <x v="2"/>
    <x v="3"/>
    <x v="20"/>
    <x v="3"/>
  </r>
  <r>
    <s v="AGutierrezR@agricolachira.com.pe"/>
    <x v="1"/>
    <x v="0"/>
    <x v="4"/>
    <x v="19"/>
    <x v="4"/>
  </r>
  <r>
    <s v="YMoscolC@agricolachira.com.pe"/>
    <x v="1"/>
    <x v="0"/>
    <x v="4"/>
    <x v="19"/>
    <x v="4"/>
  </r>
  <r>
    <s v="VHilaresZ@agricolachira.com.pe"/>
    <x v="1"/>
    <x v="2"/>
    <x v="1"/>
    <x v="6"/>
    <x v="1"/>
  </r>
  <r>
    <s v="PMarroquinR@agricolachira.com.pe"/>
    <x v="1"/>
    <x v="0"/>
    <x v="1"/>
    <x v="34"/>
    <x v="1"/>
  </r>
  <r>
    <s v="RCrespoV@sucroalcoleradelchira.com.pe"/>
    <x v="1"/>
    <x v="3"/>
    <x v="2"/>
    <x v="12"/>
    <x v="2"/>
  </r>
  <r>
    <s v="YGarridoS@agricolachira.com.pe"/>
    <x v="1"/>
    <x v="2"/>
    <x v="4"/>
    <x v="28"/>
    <x v="4"/>
  </r>
  <r>
    <s v="MDilibertoS@agricolachira.com.pe"/>
    <x v="1"/>
    <x v="2"/>
    <x v="1"/>
    <x v="35"/>
    <x v="1"/>
  </r>
  <r>
    <s v="HMatiasZ@agricolachira.com.pe"/>
    <x v="1"/>
    <x v="0"/>
    <x v="1"/>
    <x v="36"/>
    <x v="1"/>
  </r>
  <r>
    <s v="DigitadorML@agricolachira.com.pe"/>
    <x v="1"/>
    <x v="2"/>
    <x v="1"/>
    <x v="1"/>
    <x v="1"/>
  </r>
  <r>
    <s v="ASeminarioV@agricolachira.com.pe"/>
    <x v="1"/>
    <x v="3"/>
    <x v="1"/>
    <x v="14"/>
    <x v="1"/>
  </r>
  <r>
    <s v="creyesy@agricolachira.com.pe"/>
    <x v="1"/>
    <x v="0"/>
    <x v="2"/>
    <x v="37"/>
    <x v="2"/>
  </r>
  <r>
    <s v="JCheroPa@agricolachira.com.pe"/>
    <x v="1"/>
    <x v="2"/>
    <x v="3"/>
    <x v="29"/>
    <x v="3"/>
  </r>
  <r>
    <s v="jjimenezc@agricolachira.com.pe"/>
    <x v="1"/>
    <x v="0"/>
    <x v="0"/>
    <x v="38"/>
    <x v="0"/>
  </r>
  <r>
    <s v="JArevaloga@agricolachira.com.pe"/>
    <x v="2"/>
    <x v="0"/>
    <x v="0"/>
    <x v="0"/>
    <x v="0"/>
  </r>
  <r>
    <s v="JRojasBarr@agricolachira.com.pe"/>
    <x v="2"/>
    <x v="1"/>
    <x v="1"/>
    <x v="1"/>
    <x v="1"/>
  </r>
  <r>
    <s v="CCarrilloR@agricolachira.com.pe"/>
    <x v="2"/>
    <x v="0"/>
    <x v="2"/>
    <x v="2"/>
    <x v="2"/>
  </r>
  <r>
    <s v="JGomezAp@agricolachira.com.pe"/>
    <x v="2"/>
    <x v="2"/>
    <x v="3"/>
    <x v="3"/>
    <x v="3"/>
  </r>
  <r>
    <s v="JMazaV@agricolachira.com.pe"/>
    <x v="2"/>
    <x v="1"/>
    <x v="2"/>
    <x v="4"/>
    <x v="2"/>
  </r>
  <r>
    <s v="AFloresD@agricolachira.com.pe"/>
    <x v="2"/>
    <x v="2"/>
    <x v="2"/>
    <x v="5"/>
    <x v="2"/>
  </r>
  <r>
    <s v="WChavezS@agricolachira.com.pe"/>
    <x v="2"/>
    <x v="1"/>
    <x v="1"/>
    <x v="6"/>
    <x v="1"/>
  </r>
  <r>
    <s v="ABurneoL@agricolachira.com.pe"/>
    <x v="2"/>
    <x v="0"/>
    <x v="3"/>
    <x v="7"/>
    <x v="3"/>
  </r>
  <r>
    <s v="ABlancoE@agricolachira.com.pe"/>
    <x v="2"/>
    <x v="0"/>
    <x v="4"/>
    <x v="8"/>
    <x v="4"/>
  </r>
  <r>
    <s v="GPenaP@agricolachira.com.pe"/>
    <x v="2"/>
    <x v="0"/>
    <x v="1"/>
    <x v="9"/>
    <x v="1"/>
  </r>
  <r>
    <s v="LOlayaLe@agricolachira.com.pe"/>
    <x v="2"/>
    <x v="4"/>
    <x v="3"/>
    <x v="10"/>
    <x v="3"/>
  </r>
  <r>
    <s v="ptrigoso@agricolachira.com.pe"/>
    <x v="2"/>
    <x v="2"/>
    <x v="4"/>
    <x v="11"/>
    <x v="4"/>
  </r>
  <r>
    <s v="jvasquezc@agricolachira.com.pe"/>
    <x v="2"/>
    <x v="2"/>
    <x v="3"/>
    <x v="3"/>
    <x v="3"/>
  </r>
  <r>
    <s v="LVillarF@agricolachira.com.pe"/>
    <x v="2"/>
    <x v="0"/>
    <x v="2"/>
    <x v="12"/>
    <x v="2"/>
  </r>
  <r>
    <s v="DZuritaF@agricolachira.com.pe"/>
    <x v="2"/>
    <x v="3"/>
    <x v="3"/>
    <x v="13"/>
    <x v="3"/>
  </r>
  <r>
    <s v="KOtinianoP@agricolachira.com.pe"/>
    <x v="2"/>
    <x v="2"/>
    <x v="3"/>
    <x v="13"/>
    <x v="3"/>
  </r>
  <r>
    <s v="JMioA@agricolachira.com.pe"/>
    <x v="2"/>
    <x v="2"/>
    <x v="1"/>
    <x v="14"/>
    <x v="1"/>
  </r>
  <r>
    <s v="CRamosG@agricolachira.com.pe"/>
    <x v="2"/>
    <x v="2"/>
    <x v="0"/>
    <x v="15"/>
    <x v="0"/>
  </r>
  <r>
    <s v="MVegaY@agricolachira.com.pe"/>
    <x v="2"/>
    <x v="0"/>
    <x v="4"/>
    <x v="16"/>
    <x v="4"/>
  </r>
  <r>
    <s v="VLopezS@agricolachira.com.pe"/>
    <x v="2"/>
    <x v="2"/>
    <x v="4"/>
    <x v="17"/>
    <x v="4"/>
  </r>
  <r>
    <s v="LGarciaC@agricolachira.com.pe"/>
    <x v="2"/>
    <x v="0"/>
    <x v="4"/>
    <x v="17"/>
    <x v="4"/>
  </r>
  <r>
    <s v="EArevaloJ@agricolachira.com.pe"/>
    <x v="2"/>
    <x v="3"/>
    <x v="3"/>
    <x v="18"/>
    <x v="3"/>
  </r>
  <r>
    <s v="cfreym@agricolachira.com.pe"/>
    <x v="2"/>
    <x v="3"/>
    <x v="4"/>
    <x v="19"/>
    <x v="4"/>
  </r>
  <r>
    <s v="RMoncadaP@agricolachira.com.pe"/>
    <x v="2"/>
    <x v="0"/>
    <x v="3"/>
    <x v="7"/>
    <x v="3"/>
  </r>
  <r>
    <s v="JPichilinguP@agricolachira.com.pe"/>
    <x v="2"/>
    <x v="3"/>
    <x v="4"/>
    <x v="19"/>
    <x v="4"/>
  </r>
  <r>
    <s v="MMartinezP@agricolachira.com.pe"/>
    <x v="2"/>
    <x v="3"/>
    <x v="3"/>
    <x v="20"/>
    <x v="3"/>
  </r>
  <r>
    <s v="jquevedoa@agricolachira.com.pe"/>
    <x v="2"/>
    <x v="2"/>
    <x v="3"/>
    <x v="21"/>
    <x v="3"/>
  </r>
  <r>
    <s v="jbacilioh@agricolachira.com.pe"/>
    <x v="2"/>
    <x v="2"/>
    <x v="1"/>
    <x v="22"/>
    <x v="1"/>
  </r>
  <r>
    <s v="VTaboadaV@sucroalcoleradelchira.com.pe"/>
    <x v="2"/>
    <x v="0"/>
    <x v="3"/>
    <x v="10"/>
    <x v="3"/>
  </r>
  <r>
    <s v="GCubasA@agricolachira.com.pe"/>
    <x v="2"/>
    <x v="3"/>
    <x v="1"/>
    <x v="14"/>
    <x v="1"/>
  </r>
  <r>
    <s v="MVillegasJ@agricolachira.com.pe"/>
    <x v="2"/>
    <x v="0"/>
    <x v="3"/>
    <x v="21"/>
    <x v="3"/>
  </r>
  <r>
    <s v="USanchezF@agricolachira.com.pe"/>
    <x v="2"/>
    <x v="2"/>
    <x v="3"/>
    <x v="7"/>
    <x v="3"/>
  </r>
  <r>
    <s v="JChumaceroC@sucroalcoleradelchira.com.pe"/>
    <x v="2"/>
    <x v="0"/>
    <x v="2"/>
    <x v="12"/>
    <x v="2"/>
  </r>
  <r>
    <s v="JUrbinaP@agricolachira.com.pe"/>
    <x v="2"/>
    <x v="0"/>
    <x v="1"/>
    <x v="9"/>
    <x v="1"/>
  </r>
  <r>
    <s v="RLupucheQ@agricolachira.com.pe"/>
    <x v="2"/>
    <x v="2"/>
    <x v="1"/>
    <x v="22"/>
    <x v="1"/>
  </r>
  <r>
    <s v="VRequelmeS@agricolachira.com.pe"/>
    <x v="2"/>
    <x v="0"/>
    <x v="3"/>
    <x v="10"/>
    <x v="3"/>
  </r>
  <r>
    <s v="JOrdinolaZ@agricolachira.com.pe"/>
    <x v="2"/>
    <x v="2"/>
    <x v="4"/>
    <x v="16"/>
    <x v="4"/>
  </r>
  <r>
    <s v="JCobenasS@agricolachira.com.pe"/>
    <x v="2"/>
    <x v="2"/>
    <x v="4"/>
    <x v="16"/>
    <x v="4"/>
  </r>
  <r>
    <s v="AAdanaqueE@agricolachira.com.pe"/>
    <x v="2"/>
    <x v="0"/>
    <x v="0"/>
    <x v="23"/>
    <x v="0"/>
  </r>
  <r>
    <s v="ASernaqueV@agricolachira.com.pe"/>
    <x v="2"/>
    <x v="0"/>
    <x v="0"/>
    <x v="24"/>
    <x v="0"/>
  </r>
  <r>
    <s v="JVillegasP@agricolachira.com.pe"/>
    <x v="2"/>
    <x v="0"/>
    <x v="0"/>
    <x v="23"/>
    <x v="0"/>
  </r>
  <r>
    <s v="JEstelaF@agricolachira.com.pe"/>
    <x v="2"/>
    <x v="2"/>
    <x v="4"/>
    <x v="16"/>
    <x v="4"/>
  </r>
  <r>
    <s v="CManayayB@agricolachira.com.pe"/>
    <x v="2"/>
    <x v="3"/>
    <x v="1"/>
    <x v="9"/>
    <x v="1"/>
  </r>
  <r>
    <s v="HMocarroC@agricolachira.com.pe"/>
    <x v="2"/>
    <x v="0"/>
    <x v="3"/>
    <x v="25"/>
    <x v="3"/>
  </r>
  <r>
    <s v="SNizamaM@agricolachira.com.pe"/>
    <x v="2"/>
    <x v="2"/>
    <x v="4"/>
    <x v="26"/>
    <x v="4"/>
  </r>
  <r>
    <s v="ereyesp@agricolachira.com.pe"/>
    <x v="2"/>
    <x v="2"/>
    <x v="1"/>
    <x v="27"/>
    <x v="1"/>
  </r>
  <r>
    <s v="VCruzC@agricolachira.com.pe"/>
    <x v="2"/>
    <x v="0"/>
    <x v="0"/>
    <x v="24"/>
    <x v="0"/>
  </r>
  <r>
    <s v="PSuncionZ@agricolachira.com.pe"/>
    <x v="2"/>
    <x v="2"/>
    <x v="0"/>
    <x v="23"/>
    <x v="0"/>
  </r>
  <r>
    <s v="JMendozaG@agricolachira.com.pe"/>
    <x v="2"/>
    <x v="0"/>
    <x v="0"/>
    <x v="0"/>
    <x v="0"/>
  </r>
  <r>
    <s v="RGarciaFe@agricolachira.com.pe"/>
    <x v="2"/>
    <x v="2"/>
    <x v="3"/>
    <x v="20"/>
    <x v="3"/>
  </r>
  <r>
    <s v="SSanchezV@agricolachira.com.pe"/>
    <x v="2"/>
    <x v="0"/>
    <x v="3"/>
    <x v="7"/>
    <x v="3"/>
  </r>
  <r>
    <s v="CMendozaM@agricolachira.com.pe"/>
    <x v="2"/>
    <x v="3"/>
    <x v="1"/>
    <x v="1"/>
    <x v="1"/>
  </r>
  <r>
    <s v="ALachiraP@agricolachira.com.pe"/>
    <x v="2"/>
    <x v="0"/>
    <x v="4"/>
    <x v="28"/>
    <x v="4"/>
  </r>
  <r>
    <s v="JNegronC@agricolachira.com.pe"/>
    <x v="2"/>
    <x v="2"/>
    <x v="1"/>
    <x v="14"/>
    <x v="1"/>
  </r>
  <r>
    <s v="JAquijeD@agricolachira.com.pe"/>
    <x v="2"/>
    <x v="2"/>
    <x v="1"/>
    <x v="1"/>
    <x v="1"/>
  </r>
  <r>
    <s v="adelchiradigitadorsv@agricolachira.com.pe"/>
    <x v="2"/>
    <x v="0"/>
    <x v="1"/>
    <x v="6"/>
    <x v="1"/>
  </r>
  <r>
    <s v="EMijahuancaG@agricolachira.com.pe"/>
    <x v="2"/>
    <x v="0"/>
    <x v="4"/>
    <x v="26"/>
    <x v="4"/>
  </r>
  <r>
    <s v="MCulqueC@agricolachira.com.pe"/>
    <x v="2"/>
    <x v="0"/>
    <x v="1"/>
    <x v="6"/>
    <x v="1"/>
  </r>
  <r>
    <s v="WFacundoF@agricolachira.com.pe"/>
    <x v="2"/>
    <x v="2"/>
    <x v="2"/>
    <x v="5"/>
    <x v="2"/>
  </r>
  <r>
    <s v="HCruzA@agricolachira.com.pe"/>
    <x v="2"/>
    <x v="2"/>
    <x v="4"/>
    <x v="28"/>
    <x v="4"/>
  </r>
  <r>
    <s v="DGameroS@agricolachira.com.pe"/>
    <x v="2"/>
    <x v="3"/>
    <x v="2"/>
    <x v="5"/>
    <x v="2"/>
  </r>
  <r>
    <s v="RTorresS@agricolachira.com.pe"/>
    <x v="2"/>
    <x v="2"/>
    <x v="1"/>
    <x v="14"/>
    <x v="1"/>
  </r>
  <r>
    <s v="DFloreanoP@agricolachira.com.pe"/>
    <x v="2"/>
    <x v="3"/>
    <x v="3"/>
    <x v="29"/>
    <x v="3"/>
  </r>
  <r>
    <s v="FValladaresC@agricolachira.com.pe"/>
    <x v="2"/>
    <x v="2"/>
    <x v="1"/>
    <x v="14"/>
    <x v="1"/>
  </r>
  <r>
    <s v="DCheroN@agricolachira.com.pe"/>
    <x v="2"/>
    <x v="2"/>
    <x v="4"/>
    <x v="28"/>
    <x v="4"/>
  </r>
  <r>
    <s v="rmerach@agricolachira.com.pe"/>
    <x v="2"/>
    <x v="2"/>
    <x v="2"/>
    <x v="30"/>
    <x v="2"/>
  </r>
  <r>
    <s v="digitadorlb2@agricolachira.com.pe"/>
    <x v="2"/>
    <x v="3"/>
    <x v="1"/>
    <x v="9"/>
    <x v="1"/>
  </r>
  <r>
    <s v="digitadorlb1@agricolachira.com.pe"/>
    <x v="2"/>
    <x v="3"/>
    <x v="1"/>
    <x v="9"/>
    <x v="1"/>
  </r>
  <r>
    <s v="CSosaL@agricolachira.com.pe"/>
    <x v="2"/>
    <x v="0"/>
    <x v="3"/>
    <x v="7"/>
    <x v="3"/>
  </r>
  <r>
    <s v="IFloresF@bioenergiadelchira.pe"/>
    <x v="2"/>
    <x v="2"/>
    <x v="2"/>
    <x v="31"/>
    <x v="2"/>
  </r>
  <r>
    <s v="ovasquezp@agricolachira.com.pe"/>
    <x v="2"/>
    <x v="2"/>
    <x v="1"/>
    <x v="27"/>
    <x v="1"/>
  </r>
  <r>
    <s v="AChirinosC@agricolachira.com.pe"/>
    <x v="2"/>
    <x v="3"/>
    <x v="0"/>
    <x v="32"/>
    <x v="0"/>
  </r>
  <r>
    <s v="DAlbercaS@agricolachira.com.pe"/>
    <x v="2"/>
    <x v="1"/>
    <x v="4"/>
    <x v="16"/>
    <x v="4"/>
  </r>
  <r>
    <s v="AColomaL@agricolachira.com.pe"/>
    <x v="2"/>
    <x v="2"/>
    <x v="0"/>
    <x v="23"/>
    <x v="0"/>
  </r>
  <r>
    <s v="RInfanteB@agricolachira.com.pe"/>
    <x v="2"/>
    <x v="0"/>
    <x v="1"/>
    <x v="1"/>
    <x v="1"/>
  </r>
  <r>
    <s v="AVasquezM@agricolachira.com.pe"/>
    <x v="2"/>
    <x v="0"/>
    <x v="2"/>
    <x v="12"/>
    <x v="2"/>
  </r>
  <r>
    <s v="CVivancoM@agricolachira.com.pe"/>
    <x v="2"/>
    <x v="2"/>
    <x v="3"/>
    <x v="33"/>
    <x v="3"/>
  </r>
  <r>
    <s v="CLupucheV@agricolachira.com.pe"/>
    <x v="2"/>
    <x v="2"/>
    <x v="1"/>
    <x v="9"/>
    <x v="1"/>
  </r>
  <r>
    <s v="JCalderonChu@agricolachira.com.pe"/>
    <x v="2"/>
    <x v="2"/>
    <x v="2"/>
    <x v="5"/>
    <x v="2"/>
  </r>
  <r>
    <s v="VAbadP@agricolachira.com.pe"/>
    <x v="2"/>
    <x v="2"/>
    <x v="3"/>
    <x v="20"/>
    <x v="3"/>
  </r>
  <r>
    <s v="AGutierrezR@agricolachira.com.pe"/>
    <x v="2"/>
    <x v="0"/>
    <x v="4"/>
    <x v="19"/>
    <x v="4"/>
  </r>
  <r>
    <s v="YMoscolC@agricolachira.com.pe"/>
    <x v="2"/>
    <x v="3"/>
    <x v="4"/>
    <x v="19"/>
    <x v="4"/>
  </r>
  <r>
    <s v="VHilaresZ@agricolachira.com.pe"/>
    <x v="2"/>
    <x v="2"/>
    <x v="1"/>
    <x v="6"/>
    <x v="1"/>
  </r>
  <r>
    <s v="PMarroquinR@agricolachira.com.pe"/>
    <x v="2"/>
    <x v="2"/>
    <x v="1"/>
    <x v="34"/>
    <x v="1"/>
  </r>
  <r>
    <s v="RCrespoV@sucroalcoleradelchira.com.pe"/>
    <x v="2"/>
    <x v="2"/>
    <x v="2"/>
    <x v="12"/>
    <x v="2"/>
  </r>
  <r>
    <s v="YGarridoS@agricolachira.com.pe"/>
    <x v="2"/>
    <x v="2"/>
    <x v="4"/>
    <x v="28"/>
    <x v="4"/>
  </r>
  <r>
    <s v="MDilibertoS@agricolachira.com.pe"/>
    <x v="2"/>
    <x v="0"/>
    <x v="1"/>
    <x v="35"/>
    <x v="1"/>
  </r>
  <r>
    <s v="HMatiasZ@agricolachira.com.pe"/>
    <x v="2"/>
    <x v="0"/>
    <x v="1"/>
    <x v="36"/>
    <x v="1"/>
  </r>
  <r>
    <s v="DigitadorML@agricolachira.com.pe"/>
    <x v="2"/>
    <x v="2"/>
    <x v="1"/>
    <x v="1"/>
    <x v="1"/>
  </r>
  <r>
    <s v="ASeminarioV@agricolachira.com.pe"/>
    <x v="2"/>
    <x v="3"/>
    <x v="1"/>
    <x v="14"/>
    <x v="1"/>
  </r>
  <r>
    <s v="creyesy@agricolachira.com.pe"/>
    <x v="2"/>
    <x v="2"/>
    <x v="2"/>
    <x v="37"/>
    <x v="2"/>
  </r>
  <r>
    <s v="JCheroPa@agricolachira.com.pe"/>
    <x v="2"/>
    <x v="2"/>
    <x v="3"/>
    <x v="29"/>
    <x v="3"/>
  </r>
  <r>
    <s v="jjimenezc@agricolachira.com.pe"/>
    <x v="2"/>
    <x v="2"/>
    <x v="0"/>
    <x v="38"/>
    <x v="0"/>
  </r>
  <r>
    <s v="JArevaloga@agricolachira.com.pe"/>
    <x v="3"/>
    <x v="0"/>
    <x v="0"/>
    <x v="0"/>
    <x v="0"/>
  </r>
  <r>
    <s v="JRojasBarr@agricolachira.com.pe"/>
    <x v="3"/>
    <x v="1"/>
    <x v="1"/>
    <x v="1"/>
    <x v="1"/>
  </r>
  <r>
    <s v="CCarrilloR@agricolachira.com.pe"/>
    <x v="3"/>
    <x v="2"/>
    <x v="2"/>
    <x v="2"/>
    <x v="2"/>
  </r>
  <r>
    <s v="JGomezAp@agricolachira.com.pe"/>
    <x v="3"/>
    <x v="0"/>
    <x v="3"/>
    <x v="3"/>
    <x v="3"/>
  </r>
  <r>
    <s v="JMazaV@agricolachira.com.pe"/>
    <x v="3"/>
    <x v="3"/>
    <x v="2"/>
    <x v="4"/>
    <x v="2"/>
  </r>
  <r>
    <s v="AFloresD@agricolachira.com.pe"/>
    <x v="3"/>
    <x v="0"/>
    <x v="2"/>
    <x v="5"/>
    <x v="2"/>
  </r>
  <r>
    <s v="WChavezS@agricolachira.com.pe"/>
    <x v="3"/>
    <x v="1"/>
    <x v="1"/>
    <x v="6"/>
    <x v="1"/>
  </r>
  <r>
    <s v="ABurneoL@agricolachira.com.pe"/>
    <x v="3"/>
    <x v="0"/>
    <x v="3"/>
    <x v="7"/>
    <x v="3"/>
  </r>
  <r>
    <s v="ABlancoE@agricolachira.com.pe"/>
    <x v="3"/>
    <x v="0"/>
    <x v="4"/>
    <x v="8"/>
    <x v="4"/>
  </r>
  <r>
    <s v="GPenaP@agricolachira.com.pe"/>
    <x v="3"/>
    <x v="0"/>
    <x v="1"/>
    <x v="9"/>
    <x v="1"/>
  </r>
  <r>
    <s v="LOlayaLe@agricolachira.com.pe"/>
    <x v="3"/>
    <x v="4"/>
    <x v="3"/>
    <x v="10"/>
    <x v="3"/>
  </r>
  <r>
    <s v="ptrigoso@agricolachira.com.pe"/>
    <x v="3"/>
    <x v="2"/>
    <x v="4"/>
    <x v="11"/>
    <x v="4"/>
  </r>
  <r>
    <s v="jvasquezc@agricolachira.com.pe"/>
    <x v="3"/>
    <x v="0"/>
    <x v="3"/>
    <x v="3"/>
    <x v="3"/>
  </r>
  <r>
    <s v="LVillarF@agricolachira.com.pe"/>
    <x v="3"/>
    <x v="0"/>
    <x v="2"/>
    <x v="12"/>
    <x v="2"/>
  </r>
  <r>
    <s v="DZuritaF@agricolachira.com.pe"/>
    <x v="3"/>
    <x v="0"/>
    <x v="3"/>
    <x v="13"/>
    <x v="3"/>
  </r>
  <r>
    <s v="KOtinianoP@agricolachira.com.pe"/>
    <x v="3"/>
    <x v="2"/>
    <x v="3"/>
    <x v="13"/>
    <x v="3"/>
  </r>
  <r>
    <s v="JMioA@agricolachira.com.pe"/>
    <x v="3"/>
    <x v="2"/>
    <x v="1"/>
    <x v="14"/>
    <x v="1"/>
  </r>
  <r>
    <s v="CRamosG@agricolachira.com.pe"/>
    <x v="3"/>
    <x v="2"/>
    <x v="0"/>
    <x v="15"/>
    <x v="0"/>
  </r>
  <r>
    <s v="MVegaY@agricolachira.com.pe"/>
    <x v="3"/>
    <x v="0"/>
    <x v="4"/>
    <x v="16"/>
    <x v="4"/>
  </r>
  <r>
    <s v="VLopezS@agricolachira.com.pe"/>
    <x v="3"/>
    <x v="2"/>
    <x v="4"/>
    <x v="17"/>
    <x v="4"/>
  </r>
  <r>
    <s v="LGarciaC@agricolachira.com.pe"/>
    <x v="3"/>
    <x v="0"/>
    <x v="4"/>
    <x v="17"/>
    <x v="4"/>
  </r>
  <r>
    <s v="EArevaloJ@agricolachira.com.pe"/>
    <x v="3"/>
    <x v="0"/>
    <x v="3"/>
    <x v="18"/>
    <x v="3"/>
  </r>
  <r>
    <s v="cfreym@agricolachira.com.pe"/>
    <x v="3"/>
    <x v="1"/>
    <x v="4"/>
    <x v="19"/>
    <x v="4"/>
  </r>
  <r>
    <s v="RMoncadaP@agricolachira.com.pe"/>
    <x v="3"/>
    <x v="0"/>
    <x v="3"/>
    <x v="7"/>
    <x v="3"/>
  </r>
  <r>
    <s v="JPichilinguP@agricolachira.com.pe"/>
    <x v="3"/>
    <x v="2"/>
    <x v="4"/>
    <x v="19"/>
    <x v="4"/>
  </r>
  <r>
    <s v="MMartinezP@agricolachira.com.pe"/>
    <x v="3"/>
    <x v="0"/>
    <x v="3"/>
    <x v="20"/>
    <x v="3"/>
  </r>
  <r>
    <s v="jquevedoa@agricolachira.com.pe"/>
    <x v="3"/>
    <x v="0"/>
    <x v="3"/>
    <x v="21"/>
    <x v="3"/>
  </r>
  <r>
    <s v="jbacilioh@agricolachira.com.pe"/>
    <x v="3"/>
    <x v="2"/>
    <x v="1"/>
    <x v="22"/>
    <x v="1"/>
  </r>
  <r>
    <s v="VTaboadaV@sucroalcoleradelchira.com.pe"/>
    <x v="3"/>
    <x v="0"/>
    <x v="3"/>
    <x v="10"/>
    <x v="3"/>
  </r>
  <r>
    <s v="GCubasA@agricolachira.com.pe"/>
    <x v="3"/>
    <x v="3"/>
    <x v="1"/>
    <x v="14"/>
    <x v="1"/>
  </r>
  <r>
    <s v="MVillegasJ@agricolachira.com.pe"/>
    <x v="3"/>
    <x v="2"/>
    <x v="3"/>
    <x v="21"/>
    <x v="3"/>
  </r>
  <r>
    <s v="USanchezF@agricolachira.com.pe"/>
    <x v="3"/>
    <x v="0"/>
    <x v="3"/>
    <x v="7"/>
    <x v="3"/>
  </r>
  <r>
    <s v="JChumaceroC@sucroalcoleradelchira.com.pe"/>
    <x v="3"/>
    <x v="2"/>
    <x v="2"/>
    <x v="12"/>
    <x v="2"/>
  </r>
  <r>
    <s v="JUrbinaP@agricolachira.com.pe"/>
    <x v="3"/>
    <x v="0"/>
    <x v="1"/>
    <x v="9"/>
    <x v="1"/>
  </r>
  <r>
    <s v="RLupucheQ@agricolachira.com.pe"/>
    <x v="3"/>
    <x v="2"/>
    <x v="1"/>
    <x v="22"/>
    <x v="1"/>
  </r>
  <r>
    <s v="VRequelmeS@agricolachira.com.pe"/>
    <x v="3"/>
    <x v="0"/>
    <x v="3"/>
    <x v="10"/>
    <x v="3"/>
  </r>
  <r>
    <s v="JOrdinolaZ@agricolachira.com.pe"/>
    <x v="3"/>
    <x v="2"/>
    <x v="4"/>
    <x v="16"/>
    <x v="4"/>
  </r>
  <r>
    <s v="JCobenasS@agricolachira.com.pe"/>
    <x v="3"/>
    <x v="0"/>
    <x v="4"/>
    <x v="16"/>
    <x v="4"/>
  </r>
  <r>
    <s v="AAdanaqueE@agricolachira.com.pe"/>
    <x v="3"/>
    <x v="0"/>
    <x v="0"/>
    <x v="23"/>
    <x v="0"/>
  </r>
  <r>
    <s v="ASernaqueV@agricolachira.com.pe"/>
    <x v="3"/>
    <x v="0"/>
    <x v="0"/>
    <x v="24"/>
    <x v="0"/>
  </r>
  <r>
    <s v="JVillegasP@agricolachira.com.pe"/>
    <x v="3"/>
    <x v="0"/>
    <x v="0"/>
    <x v="23"/>
    <x v="0"/>
  </r>
  <r>
    <s v="JEstelaF@agricolachira.com.pe"/>
    <x v="3"/>
    <x v="2"/>
    <x v="4"/>
    <x v="16"/>
    <x v="4"/>
  </r>
  <r>
    <s v="CManayayB@agricolachira.com.pe"/>
    <x v="3"/>
    <x v="2"/>
    <x v="1"/>
    <x v="9"/>
    <x v="1"/>
  </r>
  <r>
    <s v="HMocarroC@agricolachira.com.pe"/>
    <x v="3"/>
    <x v="0"/>
    <x v="3"/>
    <x v="25"/>
    <x v="3"/>
  </r>
  <r>
    <s v="SNizamaM@agricolachira.com.pe"/>
    <x v="3"/>
    <x v="1"/>
    <x v="4"/>
    <x v="26"/>
    <x v="4"/>
  </r>
  <r>
    <s v="ereyesp@agricolachira.com.pe"/>
    <x v="3"/>
    <x v="0"/>
    <x v="1"/>
    <x v="27"/>
    <x v="1"/>
  </r>
  <r>
    <s v="VCruzC@agricolachira.com.pe"/>
    <x v="3"/>
    <x v="0"/>
    <x v="0"/>
    <x v="24"/>
    <x v="0"/>
  </r>
  <r>
    <s v="PSuncionZ@agricolachira.com.pe"/>
    <x v="3"/>
    <x v="0"/>
    <x v="0"/>
    <x v="23"/>
    <x v="0"/>
  </r>
  <r>
    <s v="JMendozaG@agricolachira.com.pe"/>
    <x v="3"/>
    <x v="0"/>
    <x v="0"/>
    <x v="0"/>
    <x v="0"/>
  </r>
  <r>
    <s v="RGarciaFe@agricolachira.com.pe"/>
    <x v="3"/>
    <x v="2"/>
    <x v="3"/>
    <x v="20"/>
    <x v="3"/>
  </r>
  <r>
    <s v="SSanchezV@agricolachira.com.pe"/>
    <x v="3"/>
    <x v="0"/>
    <x v="3"/>
    <x v="7"/>
    <x v="3"/>
  </r>
  <r>
    <s v="CMendozaM@agricolachira.com.pe"/>
    <x v="3"/>
    <x v="2"/>
    <x v="1"/>
    <x v="1"/>
    <x v="1"/>
  </r>
  <r>
    <s v="ALachiraP@agricolachira.com.pe"/>
    <x v="3"/>
    <x v="0"/>
    <x v="4"/>
    <x v="28"/>
    <x v="4"/>
  </r>
  <r>
    <s v="JNegronC@agricolachira.com.pe"/>
    <x v="3"/>
    <x v="2"/>
    <x v="1"/>
    <x v="14"/>
    <x v="1"/>
  </r>
  <r>
    <s v="JAquijeD@agricolachira.com.pe"/>
    <x v="3"/>
    <x v="2"/>
    <x v="1"/>
    <x v="1"/>
    <x v="1"/>
  </r>
  <r>
    <s v="adelchiradigitadorsv@agricolachira.com.pe"/>
    <x v="3"/>
    <x v="0"/>
    <x v="1"/>
    <x v="6"/>
    <x v="1"/>
  </r>
  <r>
    <s v="EMijahuancaG@agricolachira.com.pe"/>
    <x v="3"/>
    <x v="0"/>
    <x v="4"/>
    <x v="26"/>
    <x v="4"/>
  </r>
  <r>
    <s v="MCulqueC@agricolachira.com.pe"/>
    <x v="3"/>
    <x v="0"/>
    <x v="1"/>
    <x v="6"/>
    <x v="1"/>
  </r>
  <r>
    <s v="WFacundoF@agricolachira.com.pe"/>
    <x v="3"/>
    <x v="2"/>
    <x v="2"/>
    <x v="5"/>
    <x v="2"/>
  </r>
  <r>
    <s v="HCruzA@agricolachira.com.pe"/>
    <x v="3"/>
    <x v="2"/>
    <x v="4"/>
    <x v="28"/>
    <x v="4"/>
  </r>
  <r>
    <s v="DGameroS@agricolachira.com.pe"/>
    <x v="3"/>
    <x v="0"/>
    <x v="2"/>
    <x v="5"/>
    <x v="2"/>
  </r>
  <r>
    <s v="RTorresS@agricolachira.com.pe"/>
    <x v="3"/>
    <x v="2"/>
    <x v="1"/>
    <x v="14"/>
    <x v="1"/>
  </r>
  <r>
    <s v="DFloreanoP@agricolachira.com.pe"/>
    <x v="3"/>
    <x v="0"/>
    <x v="3"/>
    <x v="29"/>
    <x v="3"/>
  </r>
  <r>
    <s v="FValladaresC@agricolachira.com.pe"/>
    <x v="3"/>
    <x v="2"/>
    <x v="1"/>
    <x v="14"/>
    <x v="1"/>
  </r>
  <r>
    <s v="DCheroN@agricolachira.com.pe"/>
    <x v="3"/>
    <x v="2"/>
    <x v="4"/>
    <x v="28"/>
    <x v="4"/>
  </r>
  <r>
    <s v="rmerach@agricolachira.com.pe"/>
    <x v="3"/>
    <x v="2"/>
    <x v="2"/>
    <x v="30"/>
    <x v="2"/>
  </r>
  <r>
    <s v="digitadorlb2@agricolachira.com.pe"/>
    <x v="3"/>
    <x v="0"/>
    <x v="1"/>
    <x v="9"/>
    <x v="1"/>
  </r>
  <r>
    <s v="digitadorlb1@agricolachira.com.pe"/>
    <x v="3"/>
    <x v="0"/>
    <x v="1"/>
    <x v="9"/>
    <x v="1"/>
  </r>
  <r>
    <s v="CSosaL@agricolachira.com.pe"/>
    <x v="3"/>
    <x v="0"/>
    <x v="3"/>
    <x v="7"/>
    <x v="3"/>
  </r>
  <r>
    <s v="IFloresF@bioenergiadelchira.pe"/>
    <x v="3"/>
    <x v="0"/>
    <x v="2"/>
    <x v="31"/>
    <x v="2"/>
  </r>
  <r>
    <s v="ovasquezp@agricolachira.com.pe"/>
    <x v="3"/>
    <x v="2"/>
    <x v="1"/>
    <x v="27"/>
    <x v="1"/>
  </r>
  <r>
    <s v="AChirinosC@agricolachira.com.pe"/>
    <x v="3"/>
    <x v="2"/>
    <x v="0"/>
    <x v="32"/>
    <x v="0"/>
  </r>
  <r>
    <s v="DAlbercaS@agricolachira.com.pe"/>
    <x v="3"/>
    <x v="2"/>
    <x v="4"/>
    <x v="16"/>
    <x v="4"/>
  </r>
  <r>
    <s v="AColomaL@agricolachira.com.pe"/>
    <x v="3"/>
    <x v="2"/>
    <x v="0"/>
    <x v="23"/>
    <x v="0"/>
  </r>
  <r>
    <s v="RInfanteB@agricolachira.com.pe"/>
    <x v="3"/>
    <x v="0"/>
    <x v="1"/>
    <x v="1"/>
    <x v="1"/>
  </r>
  <r>
    <s v="AVasquezM@agricolachira.com.pe"/>
    <x v="3"/>
    <x v="0"/>
    <x v="2"/>
    <x v="12"/>
    <x v="2"/>
  </r>
  <r>
    <s v="CVivancoM@agricolachira.com.pe"/>
    <x v="3"/>
    <x v="2"/>
    <x v="3"/>
    <x v="33"/>
    <x v="3"/>
  </r>
  <r>
    <s v="CLupucheV@agricolachira.com.pe"/>
    <x v="3"/>
    <x v="0"/>
    <x v="1"/>
    <x v="9"/>
    <x v="1"/>
  </r>
  <r>
    <s v="JCalderonChu@agricolachira.com.pe"/>
    <x v="3"/>
    <x v="0"/>
    <x v="2"/>
    <x v="5"/>
    <x v="2"/>
  </r>
  <r>
    <s v="VAbadP@agricolachira.com.pe"/>
    <x v="3"/>
    <x v="2"/>
    <x v="3"/>
    <x v="20"/>
    <x v="3"/>
  </r>
  <r>
    <s v="AGutierrezR@agricolachira.com.pe"/>
    <x v="3"/>
    <x v="0"/>
    <x v="4"/>
    <x v="19"/>
    <x v="4"/>
  </r>
  <r>
    <s v="YMoscolC@agricolachira.com.pe"/>
    <x v="3"/>
    <x v="0"/>
    <x v="4"/>
    <x v="19"/>
    <x v="4"/>
  </r>
  <r>
    <s v="VHilaresZ@agricolachira.com.pe"/>
    <x v="3"/>
    <x v="2"/>
    <x v="1"/>
    <x v="6"/>
    <x v="1"/>
  </r>
  <r>
    <s v="PMarroquinR@agricolachira.com.pe"/>
    <x v="3"/>
    <x v="0"/>
    <x v="1"/>
    <x v="34"/>
    <x v="1"/>
  </r>
  <r>
    <s v="RCrespoV@sucroalcoleradelchira.com.pe"/>
    <x v="3"/>
    <x v="0"/>
    <x v="2"/>
    <x v="12"/>
    <x v="2"/>
  </r>
  <r>
    <s v="YGarridoS@agricolachira.com.pe"/>
    <x v="3"/>
    <x v="2"/>
    <x v="4"/>
    <x v="28"/>
    <x v="4"/>
  </r>
  <r>
    <s v="MDilibertoS@agricolachira.com.pe"/>
    <x v="3"/>
    <x v="2"/>
    <x v="1"/>
    <x v="35"/>
    <x v="1"/>
  </r>
  <r>
    <s v="HMatiasZ@agricolachira.com.pe"/>
    <x v="3"/>
    <x v="0"/>
    <x v="1"/>
    <x v="36"/>
    <x v="1"/>
  </r>
  <r>
    <s v="DigitadorML@agricolachira.com.pe"/>
    <x v="3"/>
    <x v="3"/>
    <x v="1"/>
    <x v="1"/>
    <x v="1"/>
  </r>
  <r>
    <s v="ASeminarioV@agricolachira.com.pe"/>
    <x v="3"/>
    <x v="3"/>
    <x v="1"/>
    <x v="14"/>
    <x v="1"/>
  </r>
  <r>
    <s v="creyesy@agricolachira.com.pe"/>
    <x v="3"/>
    <x v="0"/>
    <x v="2"/>
    <x v="37"/>
    <x v="2"/>
  </r>
  <r>
    <s v="JCheroPa@agricolachira.com.pe"/>
    <x v="3"/>
    <x v="2"/>
    <x v="3"/>
    <x v="29"/>
    <x v="3"/>
  </r>
  <r>
    <s v="jjimenezc@agricolachira.com.pe"/>
    <x v="3"/>
    <x v="0"/>
    <x v="0"/>
    <x v="3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s v="JArevaloga@agricolachira.com.pe"/>
    <x v="0"/>
    <n v="5"/>
    <s v="Gestión Humana y Sostenibilidad"/>
    <x v="0"/>
  </r>
  <r>
    <s v="JRojasBarr@agricolachira.com.pe"/>
    <x v="0"/>
    <n v="3"/>
    <s v="Agrícola"/>
    <x v="1"/>
  </r>
  <r>
    <s v="CCarrilloR@agricolachira.com.pe"/>
    <x v="0"/>
    <n v="4"/>
    <s v="Industrial y de Mantenimiento"/>
    <x v="2"/>
  </r>
  <r>
    <s v="JGomezAp@agricolachira.com.pe"/>
    <x v="0"/>
    <n v="5"/>
    <s v="Administración y Finanzas"/>
    <x v="3"/>
  </r>
  <r>
    <s v="JMazaV@agricolachira.com.pe"/>
    <x v="0"/>
    <n v="3"/>
    <s v="Industrial y de Mantenimiento"/>
    <x v="4"/>
  </r>
  <r>
    <s v="AFloresD@agricolachira.com.pe"/>
    <x v="0"/>
    <n v="4"/>
    <s v="Industrial y de Mantenimiento"/>
    <x v="5"/>
  </r>
  <r>
    <s v="WChavezS@agricolachira.com.pe"/>
    <x v="0"/>
    <n v="3"/>
    <s v="Agrícola"/>
    <x v="6"/>
  </r>
  <r>
    <s v="ABurneoL@agricolachira.com.pe"/>
    <x v="0"/>
    <n v="5"/>
    <s v="Administración y Finanzas"/>
    <x v="7"/>
  </r>
  <r>
    <s v="ABlancoE@agricolachira.com.pe"/>
    <x v="0"/>
    <s v="X"/>
    <s v="Operaciones"/>
    <x v="8"/>
  </r>
  <r>
    <s v="GPenaP@agricolachira.com.pe"/>
    <x v="0"/>
    <n v="4"/>
    <s v="Agrícola"/>
    <x v="9"/>
  </r>
  <r>
    <s v="LOlayaLe@agricolachira.com.pe"/>
    <x v="0"/>
    <n v="2"/>
    <s v="Administración y Finanzas"/>
    <x v="10"/>
  </r>
  <r>
    <s v="ptrigoso@agricolachira.com.pe"/>
    <x v="0"/>
    <n v="4"/>
    <s v="Operaciones"/>
    <x v="11"/>
  </r>
  <r>
    <s v="jvasquezc@agricolachira.com.pe"/>
    <x v="0"/>
    <n v="5"/>
    <s v="Administración y Finanzas"/>
    <x v="3"/>
  </r>
  <r>
    <s v="LVillarF@agricolachira.com.pe"/>
    <x v="0"/>
    <n v="5"/>
    <s v="Industrial y de Mantenimiento"/>
    <x v="12"/>
  </r>
  <r>
    <s v="DZuritaF@agricolachira.com.pe"/>
    <x v="0"/>
    <n v="4"/>
    <s v="Administración y Finanzas"/>
    <x v="13"/>
  </r>
  <r>
    <s v="KOtinianoP@agricolachira.com.pe"/>
    <x v="0"/>
    <n v="4"/>
    <s v="Administración y Finanzas"/>
    <x v="13"/>
  </r>
  <r>
    <s v="JMioA@agricolachira.com.pe"/>
    <x v="0"/>
    <n v="4"/>
    <s v="Agrícola"/>
    <x v="14"/>
  </r>
  <r>
    <s v="CRamosG@agricolachira.com.pe"/>
    <x v="0"/>
    <n v="4"/>
    <s v="Gestión Humana y Sostenibilidad"/>
    <x v="15"/>
  </r>
  <r>
    <s v="MVegaY@agricolachira.com.pe"/>
    <x v="0"/>
    <n v="4"/>
    <s v="Operaciones"/>
    <x v="16"/>
  </r>
  <r>
    <s v="VLopezS@agricolachira.com.pe"/>
    <x v="0"/>
    <n v="4"/>
    <s v="Operaciones"/>
    <x v="17"/>
  </r>
  <r>
    <s v="LGarciaC@agricolachira.com.pe"/>
    <x v="0"/>
    <n v="5"/>
    <s v="Operaciones"/>
    <x v="17"/>
  </r>
  <r>
    <s v="EArevaloJ@agricolachira.com.pe"/>
    <x v="0"/>
    <n v="5"/>
    <s v="Administración y Finanzas"/>
    <x v="18"/>
  </r>
  <r>
    <s v="cfreym@agricolachira.com.pe"/>
    <x v="0"/>
    <n v="4"/>
    <s v="Operaciones"/>
    <x v="19"/>
  </r>
  <r>
    <s v="RMoncadaP@agricolachira.com.pe"/>
    <x v="0"/>
    <n v="5"/>
    <s v="Administración y Finanzas"/>
    <x v="7"/>
  </r>
  <r>
    <s v="JPichilinguP@agricolachira.com.pe"/>
    <x v="0"/>
    <n v="3"/>
    <s v="Operaciones"/>
    <x v="19"/>
  </r>
  <r>
    <s v="MMartinezP@agricolachira.com.pe"/>
    <x v="0"/>
    <n v="5"/>
    <s v="Administración y Finanzas"/>
    <x v="20"/>
  </r>
  <r>
    <s v="jquevedoa@agricolachira.com.pe"/>
    <x v="0"/>
    <n v="4"/>
    <s v="Administración y Finanzas"/>
    <x v="21"/>
  </r>
  <r>
    <s v="jbacilioh@agricolachira.com.pe"/>
    <x v="0"/>
    <n v="4"/>
    <s v="Agrícola"/>
    <x v="22"/>
  </r>
  <r>
    <s v="VTaboadaV@sucroalcoleradelchira.com.pe"/>
    <x v="0"/>
    <n v="5"/>
    <s v="Administración y Finanzas"/>
    <x v="10"/>
  </r>
  <r>
    <s v="GCubasA@agricolachira.com.pe"/>
    <x v="0"/>
    <n v="3"/>
    <s v="Agrícola"/>
    <x v="14"/>
  </r>
  <r>
    <s v="MVillegasJ@agricolachira.com.pe"/>
    <x v="0"/>
    <n v="4"/>
    <s v="Administración y Finanzas"/>
    <x v="21"/>
  </r>
  <r>
    <s v="USanchezF@agricolachira.com.pe"/>
    <x v="0"/>
    <n v="5"/>
    <s v="Administración y Finanzas"/>
    <x v="7"/>
  </r>
  <r>
    <s v="JChumaceroC@sucroalcoleradelchira.com.pe"/>
    <x v="0"/>
    <n v="5"/>
    <s v="Industrial y de Mantenimiento"/>
    <x v="12"/>
  </r>
  <r>
    <s v="JUrbinaP@agricolachira.com.pe"/>
    <x v="0"/>
    <n v="5"/>
    <s v="Agrícola"/>
    <x v="9"/>
  </r>
  <r>
    <s v="RLupucheQ@agricolachira.com.pe"/>
    <x v="0"/>
    <n v="4"/>
    <s v="Agrícola"/>
    <x v="22"/>
  </r>
  <r>
    <s v="VRequelmeS@agricolachira.com.pe"/>
    <x v="0"/>
    <n v="5"/>
    <s v="Administración y Finanzas"/>
    <x v="10"/>
  </r>
  <r>
    <s v="JOrdinolaZ@agricolachira.com.pe"/>
    <x v="0"/>
    <n v="4"/>
    <s v="Operaciones"/>
    <x v="16"/>
  </r>
  <r>
    <s v="JCobenasS@agricolachira.com.pe"/>
    <x v="0"/>
    <n v="5"/>
    <s v="Operaciones"/>
    <x v="16"/>
  </r>
  <r>
    <s v="AAdanaqueE@agricolachira.com.pe"/>
    <x v="0"/>
    <n v="5"/>
    <s v="Gestión Humana y Sostenibilidad"/>
    <x v="23"/>
  </r>
  <r>
    <s v="ASernaqueV@agricolachira.com.pe"/>
    <x v="0"/>
    <n v="5"/>
    <s v="Gestión Humana y Sostenibilidad"/>
    <x v="24"/>
  </r>
  <r>
    <s v="JVillegasP@agricolachira.com.pe"/>
    <x v="0"/>
    <n v="5"/>
    <s v="Gestión Humana y Sostenibilidad"/>
    <x v="23"/>
  </r>
  <r>
    <s v="JEstelaF@agricolachira.com.pe"/>
    <x v="0"/>
    <n v="4"/>
    <s v="Operaciones"/>
    <x v="16"/>
  </r>
  <r>
    <s v="CManayayB@agricolachira.com.pe"/>
    <x v="0"/>
    <n v="5"/>
    <s v="Agrícola"/>
    <x v="9"/>
  </r>
  <r>
    <s v="HMocarroC@agricolachira.com.pe"/>
    <x v="0"/>
    <n v="5"/>
    <s v="Administración y Finanzas"/>
    <x v="25"/>
  </r>
  <r>
    <s v="SNizamaM@agricolachira.com.pe"/>
    <x v="0"/>
    <n v="3"/>
    <s v="Operaciones"/>
    <x v="26"/>
  </r>
  <r>
    <s v="ereyesp@agricolachira.com.pe"/>
    <x v="0"/>
    <n v="5"/>
    <s v="Agrícola"/>
    <x v="27"/>
  </r>
  <r>
    <s v="VCruzC@agricolachira.com.pe"/>
    <x v="0"/>
    <n v="5"/>
    <s v="Gestión Humana y Sostenibilidad"/>
    <x v="24"/>
  </r>
  <r>
    <s v="PSuncionZ@agricolachira.com.pe"/>
    <x v="0"/>
    <n v="4"/>
    <s v="Gestión Humana y Sostenibilidad"/>
    <x v="23"/>
  </r>
  <r>
    <s v="JMendozaG@agricolachira.com.pe"/>
    <x v="0"/>
    <n v="5"/>
    <s v="Gestión Humana y Sostenibilidad"/>
    <x v="0"/>
  </r>
  <r>
    <s v="RGarciaFe@agricolachira.com.pe"/>
    <x v="0"/>
    <n v="4"/>
    <s v="Administración y Finanzas"/>
    <x v="20"/>
  </r>
  <r>
    <s v="SSanchezV@agricolachira.com.pe"/>
    <x v="0"/>
    <n v="5"/>
    <s v="Administración y Finanzas"/>
    <x v="7"/>
  </r>
  <r>
    <s v="CMendozaM@agricolachira.com.pe"/>
    <x v="0"/>
    <n v="4"/>
    <s v="Agrícola"/>
    <x v="1"/>
  </r>
  <r>
    <s v="ALachiraP@agricolachira.com.pe"/>
    <x v="0"/>
    <n v="5"/>
    <s v="Operaciones"/>
    <x v="28"/>
  </r>
  <r>
    <s v="JNegronC@agricolachira.com.pe"/>
    <x v="0"/>
    <n v="4"/>
    <s v="Agrícola"/>
    <x v="14"/>
  </r>
  <r>
    <s v="JAquijeD@agricolachira.com.pe"/>
    <x v="0"/>
    <n v="4"/>
    <s v="Agrícola"/>
    <x v="1"/>
  </r>
  <r>
    <s v="adelchiradigitadorsv@agricolachira.com.pe"/>
    <x v="0"/>
    <n v="5"/>
    <s v="Agrícola"/>
    <x v="6"/>
  </r>
  <r>
    <s v="EMijahuancaG@agricolachira.com.pe"/>
    <x v="0"/>
    <n v="5"/>
    <s v="Operaciones"/>
    <x v="26"/>
  </r>
  <r>
    <s v="MCulqueC@agricolachira.com.pe"/>
    <x v="0"/>
    <n v="5"/>
    <s v="Agrícola"/>
    <x v="6"/>
  </r>
  <r>
    <s v="WFacundoF@agricolachira.com.pe"/>
    <x v="0"/>
    <n v="4"/>
    <s v="Industrial y de Mantenimiento"/>
    <x v="5"/>
  </r>
  <r>
    <s v="HCruzA@agricolachira.com.pe"/>
    <x v="0"/>
    <n v="5"/>
    <s v="Operaciones"/>
    <x v="28"/>
  </r>
  <r>
    <s v="DGameroS@agricolachira.com.pe"/>
    <x v="0"/>
    <n v="4"/>
    <s v="Industrial y de Mantenimiento"/>
    <x v="5"/>
  </r>
  <r>
    <s v="RTorresS@agricolachira.com.pe"/>
    <x v="0"/>
    <n v="4"/>
    <s v="Agrícola"/>
    <x v="14"/>
  </r>
  <r>
    <s v="DFloreanoP@agricolachira.com.pe"/>
    <x v="0"/>
    <s v="X"/>
    <s v="Administración y Finanzas"/>
    <x v="29"/>
  </r>
  <r>
    <s v="FValladaresC@agricolachira.com.pe"/>
    <x v="0"/>
    <n v="4"/>
    <s v="Agrícola"/>
    <x v="14"/>
  </r>
  <r>
    <s v="DCheroN@agricolachira.com.pe"/>
    <x v="0"/>
    <n v="4"/>
    <s v="Operaciones"/>
    <x v="28"/>
  </r>
  <r>
    <s v="rmerach@agricolachira.com.pe"/>
    <x v="0"/>
    <n v="4"/>
    <s v="Industrial y de Mantenimiento"/>
    <x v="30"/>
  </r>
  <r>
    <s v="digitadorlb2@agricolachira.com.pe"/>
    <x v="0"/>
    <n v="4"/>
    <s v="Agrícola"/>
    <x v="9"/>
  </r>
  <r>
    <s v="digitadorlb1@agricolachira.com.pe"/>
    <x v="0"/>
    <n v="5"/>
    <s v="Agrícola"/>
    <x v="9"/>
  </r>
  <r>
    <s v="CSosaL@agricolachira.com.pe"/>
    <x v="0"/>
    <n v="5"/>
    <s v="Administración y Finanzas"/>
    <x v="7"/>
  </r>
  <r>
    <s v="IFloresF@bioenergiadelchira.pe"/>
    <x v="0"/>
    <n v="4"/>
    <s v="Industrial y de Mantenimiento"/>
    <x v="31"/>
  </r>
  <r>
    <s v="ovasquezp@agricolachira.com.pe"/>
    <x v="0"/>
    <n v="4"/>
    <s v="Agrícola"/>
    <x v="27"/>
  </r>
  <r>
    <s v="AChirinosC@agricolachira.com.pe"/>
    <x v="0"/>
    <n v="4"/>
    <s v="Gestión Humana y Sostenibilidad"/>
    <x v="32"/>
  </r>
  <r>
    <s v="DAlbercaS@agricolachira.com.pe"/>
    <x v="0"/>
    <n v="4"/>
    <s v="Operaciones"/>
    <x v="16"/>
  </r>
  <r>
    <s v="AColomaL@agricolachira.com.pe"/>
    <x v="0"/>
    <n v="4"/>
    <s v="Gestión Humana y Sostenibilidad"/>
    <x v="23"/>
  </r>
  <r>
    <s v="RInfanteB@agricolachira.com.pe"/>
    <x v="0"/>
    <s v="X"/>
    <s v="Agrícola"/>
    <x v="1"/>
  </r>
  <r>
    <s v="AVasquezM@agricolachira.com.pe"/>
    <x v="0"/>
    <n v="5"/>
    <s v="Industrial y de Mantenimiento"/>
    <x v="12"/>
  </r>
  <r>
    <s v="CVivancoM@agricolachira.com.pe"/>
    <x v="0"/>
    <n v="4"/>
    <s v="Administración y Finanzas"/>
    <x v="33"/>
  </r>
  <r>
    <s v="CLupucheV@agricolachira.com.pe"/>
    <x v="0"/>
    <n v="5"/>
    <s v="Agrícola"/>
    <x v="9"/>
  </r>
  <r>
    <s v="JCalderonChu@agricolachira.com.pe"/>
    <x v="0"/>
    <n v="4"/>
    <s v="Industrial y de Mantenimiento"/>
    <x v="5"/>
  </r>
  <r>
    <s v="VAbadP@agricolachira.com.pe"/>
    <x v="0"/>
    <n v="4"/>
    <s v="Administración y Finanzas"/>
    <x v="20"/>
  </r>
  <r>
    <s v="AGutierrezR@agricolachira.com.pe"/>
    <x v="0"/>
    <n v="5"/>
    <s v="Operaciones"/>
    <x v="19"/>
  </r>
  <r>
    <s v="YMoscolC@agricolachira.com.pe"/>
    <x v="0"/>
    <n v="5"/>
    <s v="Operaciones"/>
    <x v="19"/>
  </r>
  <r>
    <s v="VHilaresZ@agricolachira.com.pe"/>
    <x v="0"/>
    <n v="4"/>
    <s v="Agrícola"/>
    <x v="6"/>
  </r>
  <r>
    <s v="PMarroquinR@agricolachira.com.pe"/>
    <x v="0"/>
    <n v="4"/>
    <s v="Agrícola"/>
    <x v="34"/>
  </r>
  <r>
    <s v="RCrespoV@sucroalcoleradelchira.com.pe"/>
    <x v="0"/>
    <n v="4"/>
    <s v="Industrial y de Mantenimiento"/>
    <x v="12"/>
  </r>
  <r>
    <s v="YGarridoS@agricolachira.com.pe"/>
    <x v="0"/>
    <n v="4"/>
    <s v="Operaciones"/>
    <x v="28"/>
  </r>
  <r>
    <s v="MDilibertoS@agricolachira.com.pe"/>
    <x v="0"/>
    <n v="4"/>
    <s v="Agrícola"/>
    <x v="35"/>
  </r>
  <r>
    <s v="HMatiasZ@agricolachira.com.pe"/>
    <x v="0"/>
    <n v="5"/>
    <s v="Agrícola"/>
    <x v="36"/>
  </r>
  <r>
    <s v="DigitadorML@agricolachira.com.pe"/>
    <x v="0"/>
    <n v="4"/>
    <s v="Agrícola"/>
    <x v="1"/>
  </r>
  <r>
    <s v="ASeminarioV@agricolachira.com.pe"/>
    <x v="0"/>
    <n v="4"/>
    <s v="Agrícola"/>
    <x v="14"/>
  </r>
  <r>
    <s v="creyesy@agricolachira.com.pe"/>
    <x v="0"/>
    <n v="5"/>
    <s v="Industrial y de Mantenimiento"/>
    <x v="37"/>
  </r>
  <r>
    <s v="JCheroPa@agricolachira.com.pe"/>
    <x v="0"/>
    <n v="4"/>
    <s v="Administración y Finanzas"/>
    <x v="29"/>
  </r>
  <r>
    <s v="jjimenezc@agricolachira.com.pe"/>
    <x v="0"/>
    <n v="5"/>
    <s v="Gestión Humana y Sostenibilidad"/>
    <x v="38"/>
  </r>
  <r>
    <s v="JArevaloga@agricolachira.com.pe"/>
    <x v="1"/>
    <n v="5"/>
    <s v="Gestión Humana y Sostenibilidad"/>
    <x v="0"/>
  </r>
  <r>
    <s v="JRojasBarr@agricolachira.com.pe"/>
    <x v="1"/>
    <n v="3"/>
    <s v="Agrícola"/>
    <x v="1"/>
  </r>
  <r>
    <s v="CCarrilloR@agricolachira.com.pe"/>
    <x v="1"/>
    <n v="4"/>
    <s v="Industrial y de Mantenimiento"/>
    <x v="2"/>
  </r>
  <r>
    <s v="JGomezAp@agricolachira.com.pe"/>
    <x v="1"/>
    <n v="4"/>
    <s v="Administración y Finanzas"/>
    <x v="3"/>
  </r>
  <r>
    <s v="JMazaV@agricolachira.com.pe"/>
    <x v="1"/>
    <n v="3"/>
    <s v="Industrial y de Mantenimiento"/>
    <x v="4"/>
  </r>
  <r>
    <s v="AFloresD@agricolachira.com.pe"/>
    <x v="1"/>
    <n v="4"/>
    <s v="Industrial y de Mantenimiento"/>
    <x v="5"/>
  </r>
  <r>
    <s v="WChavezS@agricolachira.com.pe"/>
    <x v="1"/>
    <n v="4"/>
    <s v="Agrícola"/>
    <x v="6"/>
  </r>
  <r>
    <s v="ABurneoL@agricolachira.com.pe"/>
    <x v="1"/>
    <n v="5"/>
    <s v="Administración y Finanzas"/>
    <x v="7"/>
  </r>
  <r>
    <s v="ABlancoE@agricolachira.com.pe"/>
    <x v="1"/>
    <n v="5"/>
    <s v="Operaciones"/>
    <x v="8"/>
  </r>
  <r>
    <s v="GPenaP@agricolachira.com.pe"/>
    <x v="1"/>
    <n v="4"/>
    <s v="Agrícola"/>
    <x v="9"/>
  </r>
  <r>
    <s v="LOlayaLe@agricolachira.com.pe"/>
    <x v="1"/>
    <n v="2"/>
    <s v="Administración y Finanzas"/>
    <x v="10"/>
  </r>
  <r>
    <s v="ptrigoso@agricolachira.com.pe"/>
    <x v="1"/>
    <n v="4"/>
    <s v="Operaciones"/>
    <x v="11"/>
  </r>
  <r>
    <s v="jvasquezc@agricolachira.com.pe"/>
    <x v="1"/>
    <n v="4"/>
    <s v="Administración y Finanzas"/>
    <x v="3"/>
  </r>
  <r>
    <s v="LVillarF@agricolachira.com.pe"/>
    <x v="1"/>
    <n v="5"/>
    <s v="Industrial y de Mantenimiento"/>
    <x v="12"/>
  </r>
  <r>
    <s v="DZuritaF@agricolachira.com.pe"/>
    <x v="1"/>
    <s v="X"/>
    <s v="Administración y Finanzas"/>
    <x v="13"/>
  </r>
  <r>
    <s v="KOtinianoP@agricolachira.com.pe"/>
    <x v="1"/>
    <n v="4"/>
    <s v="Administración y Finanzas"/>
    <x v="13"/>
  </r>
  <r>
    <s v="JMioA@agricolachira.com.pe"/>
    <x v="1"/>
    <n v="4"/>
    <s v="Agrícola"/>
    <x v="14"/>
  </r>
  <r>
    <s v="CRamosG@agricolachira.com.pe"/>
    <x v="1"/>
    <n v="4"/>
    <s v="Gestión Humana y Sostenibilidad"/>
    <x v="15"/>
  </r>
  <r>
    <s v="MVegaY@agricolachira.com.pe"/>
    <x v="1"/>
    <n v="4"/>
    <s v="Operaciones"/>
    <x v="16"/>
  </r>
  <r>
    <s v="VLopezS@agricolachira.com.pe"/>
    <x v="1"/>
    <n v="4"/>
    <s v="Operaciones"/>
    <x v="17"/>
  </r>
  <r>
    <s v="LGarciaC@agricolachira.com.pe"/>
    <x v="1"/>
    <n v="5"/>
    <s v="Operaciones"/>
    <x v="17"/>
  </r>
  <r>
    <s v="EArevaloJ@agricolachira.com.pe"/>
    <x v="1"/>
    <n v="5"/>
    <s v="Administración y Finanzas"/>
    <x v="18"/>
  </r>
  <r>
    <s v="cfreym@agricolachira.com.pe"/>
    <x v="1"/>
    <n v="3"/>
    <s v="Operaciones"/>
    <x v="19"/>
  </r>
  <r>
    <s v="RMoncadaP@agricolachira.com.pe"/>
    <x v="1"/>
    <n v="5"/>
    <s v="Administración y Finanzas"/>
    <x v="7"/>
  </r>
  <r>
    <s v="JPichilinguP@agricolachira.com.pe"/>
    <x v="1"/>
    <n v="3"/>
    <s v="Operaciones"/>
    <x v="19"/>
  </r>
  <r>
    <s v="MMartinezP@agricolachira.com.pe"/>
    <x v="1"/>
    <n v="5"/>
    <s v="Administración y Finanzas"/>
    <x v="20"/>
  </r>
  <r>
    <s v="jquevedoa@agricolachira.com.pe"/>
    <x v="1"/>
    <n v="4"/>
    <s v="Administración y Finanzas"/>
    <x v="21"/>
  </r>
  <r>
    <s v="jbacilioh@agricolachira.com.pe"/>
    <x v="1"/>
    <n v="4"/>
    <s v="Agrícola"/>
    <x v="22"/>
  </r>
  <r>
    <s v="VTaboadaV@sucroalcoleradelchira.com.pe"/>
    <x v="1"/>
    <n v="5"/>
    <s v="Administración y Finanzas"/>
    <x v="10"/>
  </r>
  <r>
    <s v="GCubasA@agricolachira.com.pe"/>
    <x v="1"/>
    <n v="3"/>
    <s v="Agrícola"/>
    <x v="14"/>
  </r>
  <r>
    <s v="MVillegasJ@agricolachira.com.pe"/>
    <x v="1"/>
    <n v="4"/>
    <s v="Administración y Finanzas"/>
    <x v="21"/>
  </r>
  <r>
    <s v="USanchezF@agricolachira.com.pe"/>
    <x v="1"/>
    <n v="4"/>
    <s v="Administración y Finanzas"/>
    <x v="7"/>
  </r>
  <r>
    <s v="JChumaceroC@sucroalcoleradelchira.com.pe"/>
    <x v="1"/>
    <n v="4"/>
    <s v="Industrial y de Mantenimiento"/>
    <x v="12"/>
  </r>
  <r>
    <s v="JUrbinaP@agricolachira.com.pe"/>
    <x v="1"/>
    <n v="5"/>
    <s v="Agrícola"/>
    <x v="9"/>
  </r>
  <r>
    <s v="RLupucheQ@agricolachira.com.pe"/>
    <x v="1"/>
    <n v="4"/>
    <s v="Agrícola"/>
    <x v="22"/>
  </r>
  <r>
    <s v="VRequelmeS@agricolachira.com.pe"/>
    <x v="1"/>
    <n v="5"/>
    <s v="Administración y Finanzas"/>
    <x v="10"/>
  </r>
  <r>
    <s v="JOrdinolaZ@agricolachira.com.pe"/>
    <x v="1"/>
    <n v="4"/>
    <s v="Operaciones"/>
    <x v="16"/>
  </r>
  <r>
    <s v="JCobenasS@agricolachira.com.pe"/>
    <x v="1"/>
    <n v="4"/>
    <s v="Operaciones"/>
    <x v="16"/>
  </r>
  <r>
    <s v="AAdanaqueE@agricolachira.com.pe"/>
    <x v="1"/>
    <n v="5"/>
    <s v="Gestión Humana y Sostenibilidad"/>
    <x v="23"/>
  </r>
  <r>
    <s v="ASernaqueV@agricolachira.com.pe"/>
    <x v="1"/>
    <n v="5"/>
    <s v="Gestión Humana y Sostenibilidad"/>
    <x v="24"/>
  </r>
  <r>
    <s v="JVillegasP@agricolachira.com.pe"/>
    <x v="1"/>
    <n v="5"/>
    <s v="Gestión Humana y Sostenibilidad"/>
    <x v="23"/>
  </r>
  <r>
    <s v="JEstelaF@agricolachira.com.pe"/>
    <x v="1"/>
    <n v="4"/>
    <s v="Operaciones"/>
    <x v="16"/>
  </r>
  <r>
    <s v="CManayayB@agricolachira.com.pe"/>
    <x v="1"/>
    <n v="5"/>
    <s v="Agrícola"/>
    <x v="9"/>
  </r>
  <r>
    <s v="HMocarroC@agricolachira.com.pe"/>
    <x v="1"/>
    <n v="5"/>
    <s v="Administración y Finanzas"/>
    <x v="25"/>
  </r>
  <r>
    <s v="SNizamaM@agricolachira.com.pe"/>
    <x v="1"/>
    <n v="4"/>
    <s v="Operaciones"/>
    <x v="26"/>
  </r>
  <r>
    <s v="ereyesp@agricolachira.com.pe"/>
    <x v="1"/>
    <n v="5"/>
    <s v="Agrícola"/>
    <x v="27"/>
  </r>
  <r>
    <s v="VCruzC@agricolachira.com.pe"/>
    <x v="1"/>
    <n v="5"/>
    <s v="Gestión Humana y Sostenibilidad"/>
    <x v="24"/>
  </r>
  <r>
    <s v="PSuncionZ@agricolachira.com.pe"/>
    <x v="1"/>
    <n v="4"/>
    <s v="Gestión Humana y Sostenibilidad"/>
    <x v="23"/>
  </r>
  <r>
    <s v="JMendozaG@agricolachira.com.pe"/>
    <x v="1"/>
    <n v="5"/>
    <s v="Gestión Humana y Sostenibilidad"/>
    <x v="0"/>
  </r>
  <r>
    <s v="RGarciaFe@agricolachira.com.pe"/>
    <x v="1"/>
    <n v="5"/>
    <s v="Administración y Finanzas"/>
    <x v="20"/>
  </r>
  <r>
    <s v="SSanchezV@agricolachira.com.pe"/>
    <x v="1"/>
    <n v="5"/>
    <s v="Administración y Finanzas"/>
    <x v="7"/>
  </r>
  <r>
    <s v="CMendozaM@agricolachira.com.pe"/>
    <x v="1"/>
    <n v="4"/>
    <s v="Agrícola"/>
    <x v="1"/>
  </r>
  <r>
    <s v="ALachiraP@agricolachira.com.pe"/>
    <x v="1"/>
    <n v="5"/>
    <s v="Operaciones"/>
    <x v="28"/>
  </r>
  <r>
    <s v="JNegronC@agricolachira.com.pe"/>
    <x v="1"/>
    <n v="4"/>
    <s v="Agrícola"/>
    <x v="14"/>
  </r>
  <r>
    <s v="JAquijeD@agricolachira.com.pe"/>
    <x v="1"/>
    <n v="4"/>
    <s v="Agrícola"/>
    <x v="1"/>
  </r>
  <r>
    <s v="adelchiradigitadorsv@agricolachira.com.pe"/>
    <x v="1"/>
    <s v="X"/>
    <s v="Agrícola"/>
    <x v="6"/>
  </r>
  <r>
    <s v="EMijahuancaG@agricolachira.com.pe"/>
    <x v="1"/>
    <n v="5"/>
    <s v="Operaciones"/>
    <x v="26"/>
  </r>
  <r>
    <s v="MCulqueC@agricolachira.com.pe"/>
    <x v="1"/>
    <n v="5"/>
    <s v="Agrícola"/>
    <x v="6"/>
  </r>
  <r>
    <s v="WFacundoF@agricolachira.com.pe"/>
    <x v="1"/>
    <n v="4"/>
    <s v="Industrial y de Mantenimiento"/>
    <x v="5"/>
  </r>
  <r>
    <s v="HCruzA@agricolachira.com.pe"/>
    <x v="1"/>
    <n v="5"/>
    <s v="Operaciones"/>
    <x v="28"/>
  </r>
  <r>
    <s v="DGameroS@agricolachira.com.pe"/>
    <x v="1"/>
    <n v="4"/>
    <s v="Industrial y de Mantenimiento"/>
    <x v="5"/>
  </r>
  <r>
    <s v="RTorresS@agricolachira.com.pe"/>
    <x v="1"/>
    <n v="4"/>
    <s v="Agrícola"/>
    <x v="14"/>
  </r>
  <r>
    <s v="DFloreanoP@agricolachira.com.pe"/>
    <x v="1"/>
    <s v="X"/>
    <s v="Administración y Finanzas"/>
    <x v="29"/>
  </r>
  <r>
    <s v="FValladaresC@agricolachira.com.pe"/>
    <x v="1"/>
    <n v="4"/>
    <s v="Agrícola"/>
    <x v="14"/>
  </r>
  <r>
    <s v="DCheroN@agricolachira.com.pe"/>
    <x v="1"/>
    <n v="4"/>
    <s v="Operaciones"/>
    <x v="28"/>
  </r>
  <r>
    <s v="rmerach@agricolachira.com.pe"/>
    <x v="1"/>
    <n v="4"/>
    <s v="Industrial y de Mantenimiento"/>
    <x v="30"/>
  </r>
  <r>
    <s v="digitadorlb2@agricolachira.com.pe"/>
    <x v="1"/>
    <s v="X"/>
    <s v="Agrícola"/>
    <x v="9"/>
  </r>
  <r>
    <s v="digitadorlb1@agricolachira.com.pe"/>
    <x v="1"/>
    <s v="X"/>
    <s v="Agrícola"/>
    <x v="9"/>
  </r>
  <r>
    <s v="CSosaL@agricolachira.com.pe"/>
    <x v="1"/>
    <n v="5"/>
    <s v="Administración y Finanzas"/>
    <x v="7"/>
  </r>
  <r>
    <s v="IFloresF@bioenergiadelchira.pe"/>
    <x v="1"/>
    <n v="4"/>
    <s v="Industrial y de Mantenimiento"/>
    <x v="31"/>
  </r>
  <r>
    <s v="ovasquezp@agricolachira.com.pe"/>
    <x v="1"/>
    <n v="5"/>
    <s v="Agrícola"/>
    <x v="27"/>
  </r>
  <r>
    <s v="AChirinosC@agricolachira.com.pe"/>
    <x v="1"/>
    <n v="4"/>
    <s v="Gestión Humana y Sostenibilidad"/>
    <x v="32"/>
  </r>
  <r>
    <s v="DAlbercaS@agricolachira.com.pe"/>
    <x v="1"/>
    <n v="4"/>
    <s v="Operaciones"/>
    <x v="16"/>
  </r>
  <r>
    <s v="AColomaL@agricolachira.com.pe"/>
    <x v="1"/>
    <n v="4"/>
    <s v="Gestión Humana y Sostenibilidad"/>
    <x v="23"/>
  </r>
  <r>
    <s v="RInfanteB@agricolachira.com.pe"/>
    <x v="1"/>
    <s v="X"/>
    <s v="Agrícola"/>
    <x v="1"/>
  </r>
  <r>
    <s v="AVasquezM@agricolachira.com.pe"/>
    <x v="1"/>
    <n v="5"/>
    <s v="Industrial y de Mantenimiento"/>
    <x v="12"/>
  </r>
  <r>
    <s v="CVivancoM@agricolachira.com.pe"/>
    <x v="1"/>
    <n v="4"/>
    <s v="Administración y Finanzas"/>
    <x v="33"/>
  </r>
  <r>
    <s v="CLupucheV@agricolachira.com.pe"/>
    <x v="1"/>
    <n v="5"/>
    <s v="Agrícola"/>
    <x v="9"/>
  </r>
  <r>
    <s v="JCalderonChu@agricolachira.com.pe"/>
    <x v="1"/>
    <n v="4"/>
    <s v="Industrial y de Mantenimiento"/>
    <x v="5"/>
  </r>
  <r>
    <s v="VAbadP@agricolachira.com.pe"/>
    <x v="1"/>
    <n v="4"/>
    <s v="Administración y Finanzas"/>
    <x v="20"/>
  </r>
  <r>
    <s v="AGutierrezR@agricolachira.com.pe"/>
    <x v="1"/>
    <n v="5"/>
    <s v="Operaciones"/>
    <x v="19"/>
  </r>
  <r>
    <s v="YMoscolC@agricolachira.com.pe"/>
    <x v="1"/>
    <n v="5"/>
    <s v="Operaciones"/>
    <x v="19"/>
  </r>
  <r>
    <s v="VHilaresZ@agricolachira.com.pe"/>
    <x v="1"/>
    <n v="4"/>
    <s v="Agrícola"/>
    <x v="6"/>
  </r>
  <r>
    <s v="PMarroquinR@agricolachira.com.pe"/>
    <x v="1"/>
    <n v="5"/>
    <s v="Agrícola"/>
    <x v="34"/>
  </r>
  <r>
    <s v="RCrespoV@sucroalcoleradelchira.com.pe"/>
    <x v="1"/>
    <s v="X"/>
    <s v="Industrial y de Mantenimiento"/>
    <x v="12"/>
  </r>
  <r>
    <s v="YGarridoS@agricolachira.com.pe"/>
    <x v="1"/>
    <n v="4"/>
    <s v="Operaciones"/>
    <x v="28"/>
  </r>
  <r>
    <s v="MDilibertoS@agricolachira.com.pe"/>
    <x v="1"/>
    <n v="4"/>
    <s v="Agrícola"/>
    <x v="35"/>
  </r>
  <r>
    <s v="HMatiasZ@agricolachira.com.pe"/>
    <x v="1"/>
    <n v="5"/>
    <s v="Agrícola"/>
    <x v="36"/>
  </r>
  <r>
    <s v="DigitadorML@agricolachira.com.pe"/>
    <x v="1"/>
    <n v="4"/>
    <s v="Agrícola"/>
    <x v="1"/>
  </r>
  <r>
    <s v="ASeminarioV@agricolachira.com.pe"/>
    <x v="1"/>
    <s v="X"/>
    <s v="Agrícola"/>
    <x v="14"/>
  </r>
  <r>
    <s v="creyesy@agricolachira.com.pe"/>
    <x v="1"/>
    <n v="5"/>
    <s v="Industrial y de Mantenimiento"/>
    <x v="37"/>
  </r>
  <r>
    <s v="JCheroPa@agricolachira.com.pe"/>
    <x v="1"/>
    <n v="4"/>
    <s v="Administración y Finanzas"/>
    <x v="29"/>
  </r>
  <r>
    <s v="jjimenezc@agricolachira.com.pe"/>
    <x v="1"/>
    <n v="5"/>
    <s v="Gestión Humana y Sostenibilidad"/>
    <x v="38"/>
  </r>
  <r>
    <s v="JArevaloga@agricolachira.com.pe"/>
    <x v="2"/>
    <n v="5"/>
    <s v="Gestión Humana y Sostenibilidad"/>
    <x v="0"/>
  </r>
  <r>
    <s v="JRojasBarr@agricolachira.com.pe"/>
    <x v="2"/>
    <n v="3"/>
    <s v="Agrícola"/>
    <x v="1"/>
  </r>
  <r>
    <s v="CCarrilloR@agricolachira.com.pe"/>
    <x v="2"/>
    <n v="5"/>
    <s v="Industrial y de Mantenimiento"/>
    <x v="2"/>
  </r>
  <r>
    <s v="JGomezAp@agricolachira.com.pe"/>
    <x v="2"/>
    <n v="4"/>
    <s v="Administración y Finanzas"/>
    <x v="3"/>
  </r>
  <r>
    <s v="JMazaV@agricolachira.com.pe"/>
    <x v="2"/>
    <n v="3"/>
    <s v="Industrial y de Mantenimiento"/>
    <x v="4"/>
  </r>
  <r>
    <s v="AFloresD@agricolachira.com.pe"/>
    <x v="2"/>
    <n v="4"/>
    <s v="Industrial y de Mantenimiento"/>
    <x v="5"/>
  </r>
  <r>
    <s v="WChavezS@agricolachira.com.pe"/>
    <x v="2"/>
    <n v="3"/>
    <s v="Agrícola"/>
    <x v="6"/>
  </r>
  <r>
    <s v="ABurneoL@agricolachira.com.pe"/>
    <x v="2"/>
    <n v="5"/>
    <s v="Administración y Finanzas"/>
    <x v="7"/>
  </r>
  <r>
    <s v="ABlancoE@agricolachira.com.pe"/>
    <x v="2"/>
    <n v="5"/>
    <s v="Operaciones"/>
    <x v="8"/>
  </r>
  <r>
    <s v="GPenaP@agricolachira.com.pe"/>
    <x v="2"/>
    <n v="5"/>
    <s v="Agrícola"/>
    <x v="9"/>
  </r>
  <r>
    <s v="LOlayaLe@agricolachira.com.pe"/>
    <x v="2"/>
    <n v="2"/>
    <s v="Administración y Finanzas"/>
    <x v="10"/>
  </r>
  <r>
    <s v="ptrigoso@agricolachira.com.pe"/>
    <x v="2"/>
    <n v="4"/>
    <s v="Operaciones"/>
    <x v="11"/>
  </r>
  <r>
    <s v="jvasquezc@agricolachira.com.pe"/>
    <x v="2"/>
    <n v="4"/>
    <s v="Administración y Finanzas"/>
    <x v="3"/>
  </r>
  <r>
    <s v="LVillarF@agricolachira.com.pe"/>
    <x v="2"/>
    <n v="5"/>
    <s v="Industrial y de Mantenimiento"/>
    <x v="12"/>
  </r>
  <r>
    <s v="DZuritaF@agricolachira.com.pe"/>
    <x v="2"/>
    <s v="X"/>
    <s v="Administración y Finanzas"/>
    <x v="13"/>
  </r>
  <r>
    <s v="KOtinianoP@agricolachira.com.pe"/>
    <x v="2"/>
    <n v="4"/>
    <s v="Administración y Finanzas"/>
    <x v="13"/>
  </r>
  <r>
    <s v="JMioA@agricolachira.com.pe"/>
    <x v="2"/>
    <n v="4"/>
    <s v="Agrícola"/>
    <x v="14"/>
  </r>
  <r>
    <s v="CRamosG@agricolachira.com.pe"/>
    <x v="2"/>
    <n v="4"/>
    <s v="Gestión Humana y Sostenibilidad"/>
    <x v="15"/>
  </r>
  <r>
    <s v="MVegaY@agricolachira.com.pe"/>
    <x v="2"/>
    <n v="5"/>
    <s v="Operaciones"/>
    <x v="16"/>
  </r>
  <r>
    <s v="VLopezS@agricolachira.com.pe"/>
    <x v="2"/>
    <n v="4"/>
    <s v="Operaciones"/>
    <x v="17"/>
  </r>
  <r>
    <s v="LGarciaC@agricolachira.com.pe"/>
    <x v="2"/>
    <n v="5"/>
    <s v="Operaciones"/>
    <x v="17"/>
  </r>
  <r>
    <s v="EArevaloJ@agricolachira.com.pe"/>
    <x v="2"/>
    <s v="X"/>
    <s v="Administración y Finanzas"/>
    <x v="18"/>
  </r>
  <r>
    <s v="cfreym@agricolachira.com.pe"/>
    <x v="2"/>
    <s v="X"/>
    <s v="Operaciones"/>
    <x v="19"/>
  </r>
  <r>
    <s v="RMoncadaP@agricolachira.com.pe"/>
    <x v="2"/>
    <n v="5"/>
    <s v="Administración y Finanzas"/>
    <x v="7"/>
  </r>
  <r>
    <s v="JPichilinguP@agricolachira.com.pe"/>
    <x v="2"/>
    <s v="X"/>
    <s v="Operaciones"/>
    <x v="19"/>
  </r>
  <r>
    <s v="MMartinezP@agricolachira.com.pe"/>
    <x v="2"/>
    <s v="X"/>
    <s v="Administración y Finanzas"/>
    <x v="20"/>
  </r>
  <r>
    <s v="jquevedoa@agricolachira.com.pe"/>
    <x v="2"/>
    <n v="4"/>
    <s v="Administración y Finanzas"/>
    <x v="21"/>
  </r>
  <r>
    <s v="jbacilioh@agricolachira.com.pe"/>
    <x v="2"/>
    <n v="4"/>
    <s v="Agrícola"/>
    <x v="22"/>
  </r>
  <r>
    <s v="VTaboadaV@sucroalcoleradelchira.com.pe"/>
    <x v="2"/>
    <n v="5"/>
    <s v="Administración y Finanzas"/>
    <x v="10"/>
  </r>
  <r>
    <s v="GCubasA@agricolachira.com.pe"/>
    <x v="2"/>
    <s v="X"/>
    <s v="Agrícola"/>
    <x v="14"/>
  </r>
  <r>
    <s v="MVillegasJ@agricolachira.com.pe"/>
    <x v="2"/>
    <n v="5"/>
    <s v="Administración y Finanzas"/>
    <x v="21"/>
  </r>
  <r>
    <s v="USanchezF@agricolachira.com.pe"/>
    <x v="2"/>
    <n v="4"/>
    <s v="Administración y Finanzas"/>
    <x v="7"/>
  </r>
  <r>
    <s v="JChumaceroC@sucroalcoleradelchira.com.pe"/>
    <x v="2"/>
    <n v="5"/>
    <s v="Industrial y de Mantenimiento"/>
    <x v="12"/>
  </r>
  <r>
    <s v="JUrbinaP@agricolachira.com.pe"/>
    <x v="2"/>
    <n v="5"/>
    <s v="Agrícola"/>
    <x v="9"/>
  </r>
  <r>
    <s v="RLupucheQ@agricolachira.com.pe"/>
    <x v="2"/>
    <n v="4"/>
    <s v="Agrícola"/>
    <x v="22"/>
  </r>
  <r>
    <s v="VRequelmeS@agricolachira.com.pe"/>
    <x v="2"/>
    <n v="5"/>
    <s v="Administración y Finanzas"/>
    <x v="10"/>
  </r>
  <r>
    <s v="JOrdinolaZ@agricolachira.com.pe"/>
    <x v="2"/>
    <n v="4"/>
    <s v="Operaciones"/>
    <x v="16"/>
  </r>
  <r>
    <s v="JCobenasS@agricolachira.com.pe"/>
    <x v="2"/>
    <n v="4"/>
    <s v="Operaciones"/>
    <x v="16"/>
  </r>
  <r>
    <s v="AAdanaqueE@agricolachira.com.pe"/>
    <x v="2"/>
    <n v="5"/>
    <s v="Gestión Humana y Sostenibilidad"/>
    <x v="23"/>
  </r>
  <r>
    <s v="ASernaqueV@agricolachira.com.pe"/>
    <x v="2"/>
    <n v="5"/>
    <s v="Gestión Humana y Sostenibilidad"/>
    <x v="24"/>
  </r>
  <r>
    <s v="JVillegasP@agricolachira.com.pe"/>
    <x v="2"/>
    <n v="5"/>
    <s v="Gestión Humana y Sostenibilidad"/>
    <x v="23"/>
  </r>
  <r>
    <s v="JEstelaF@agricolachira.com.pe"/>
    <x v="2"/>
    <n v="4"/>
    <s v="Operaciones"/>
    <x v="16"/>
  </r>
  <r>
    <s v="CManayayB@agricolachira.com.pe"/>
    <x v="2"/>
    <s v="X"/>
    <s v="Agrícola"/>
    <x v="9"/>
  </r>
  <r>
    <s v="HMocarroC@agricolachira.com.pe"/>
    <x v="2"/>
    <n v="5"/>
    <s v="Administración y Finanzas"/>
    <x v="25"/>
  </r>
  <r>
    <s v="SNizamaM@agricolachira.com.pe"/>
    <x v="2"/>
    <n v="4"/>
    <s v="Operaciones"/>
    <x v="26"/>
  </r>
  <r>
    <s v="ereyesp@agricolachira.com.pe"/>
    <x v="2"/>
    <n v="4"/>
    <s v="Agrícola"/>
    <x v="27"/>
  </r>
  <r>
    <s v="VCruzC@agricolachira.com.pe"/>
    <x v="2"/>
    <n v="5"/>
    <s v="Gestión Humana y Sostenibilidad"/>
    <x v="24"/>
  </r>
  <r>
    <s v="PSuncionZ@agricolachira.com.pe"/>
    <x v="2"/>
    <n v="4"/>
    <s v="Gestión Humana y Sostenibilidad"/>
    <x v="23"/>
  </r>
  <r>
    <s v="JMendozaG@agricolachira.com.pe"/>
    <x v="2"/>
    <n v="5"/>
    <s v="Gestión Humana y Sostenibilidad"/>
    <x v="0"/>
  </r>
  <r>
    <s v="RGarciaFe@agricolachira.com.pe"/>
    <x v="2"/>
    <n v="4"/>
    <s v="Administración y Finanzas"/>
    <x v="20"/>
  </r>
  <r>
    <s v="SSanchezV@agricolachira.com.pe"/>
    <x v="2"/>
    <n v="5"/>
    <s v="Administración y Finanzas"/>
    <x v="7"/>
  </r>
  <r>
    <s v="CMendozaM@agricolachira.com.pe"/>
    <x v="2"/>
    <s v="X"/>
    <s v="Agrícola"/>
    <x v="1"/>
  </r>
  <r>
    <s v="ALachiraP@agricolachira.com.pe"/>
    <x v="2"/>
    <n v="5"/>
    <s v="Operaciones"/>
    <x v="28"/>
  </r>
  <r>
    <s v="JNegronC@agricolachira.com.pe"/>
    <x v="2"/>
    <n v="4"/>
    <s v="Agrícola"/>
    <x v="14"/>
  </r>
  <r>
    <s v="JAquijeD@agricolachira.com.pe"/>
    <x v="2"/>
    <n v="4"/>
    <s v="Agrícola"/>
    <x v="1"/>
  </r>
  <r>
    <s v="adelchiradigitadorsv@agricolachira.com.pe"/>
    <x v="2"/>
    <n v="5"/>
    <s v="Agrícola"/>
    <x v="6"/>
  </r>
  <r>
    <s v="EMijahuancaG@agricolachira.com.pe"/>
    <x v="2"/>
    <n v="5"/>
    <s v="Operaciones"/>
    <x v="26"/>
  </r>
  <r>
    <s v="MCulqueC@agricolachira.com.pe"/>
    <x v="2"/>
    <n v="5"/>
    <s v="Agrícola"/>
    <x v="6"/>
  </r>
  <r>
    <s v="WFacundoF@agricolachira.com.pe"/>
    <x v="2"/>
    <n v="4"/>
    <s v="Industrial y de Mantenimiento"/>
    <x v="5"/>
  </r>
  <r>
    <s v="HCruzA@agricolachira.com.pe"/>
    <x v="2"/>
    <n v="4"/>
    <s v="Operaciones"/>
    <x v="28"/>
  </r>
  <r>
    <s v="DGameroS@agricolachira.com.pe"/>
    <x v="2"/>
    <s v="X"/>
    <s v="Industrial y de Mantenimiento"/>
    <x v="5"/>
  </r>
  <r>
    <s v="RTorresS@agricolachira.com.pe"/>
    <x v="2"/>
    <n v="4"/>
    <s v="Agrícola"/>
    <x v="14"/>
  </r>
  <r>
    <s v="DFloreanoP@agricolachira.com.pe"/>
    <x v="2"/>
    <s v="X"/>
    <s v="Administración y Finanzas"/>
    <x v="29"/>
  </r>
  <r>
    <s v="FValladaresC@agricolachira.com.pe"/>
    <x v="2"/>
    <n v="4"/>
    <s v="Agrícola"/>
    <x v="14"/>
  </r>
  <r>
    <s v="DCheroN@agricolachira.com.pe"/>
    <x v="2"/>
    <n v="4"/>
    <s v="Operaciones"/>
    <x v="28"/>
  </r>
  <r>
    <s v="rmerach@agricolachira.com.pe"/>
    <x v="2"/>
    <n v="4"/>
    <s v="Industrial y de Mantenimiento"/>
    <x v="30"/>
  </r>
  <r>
    <s v="digitadorlb2@agricolachira.com.pe"/>
    <x v="2"/>
    <s v="X"/>
    <s v="Agrícola"/>
    <x v="9"/>
  </r>
  <r>
    <s v="digitadorlb1@agricolachira.com.pe"/>
    <x v="2"/>
    <s v="X"/>
    <s v="Agrícola"/>
    <x v="9"/>
  </r>
  <r>
    <s v="CSosaL@agricolachira.com.pe"/>
    <x v="2"/>
    <n v="5"/>
    <s v="Administración y Finanzas"/>
    <x v="7"/>
  </r>
  <r>
    <s v="IFloresF@bioenergiadelchira.pe"/>
    <x v="2"/>
    <n v="4"/>
    <s v="Industrial y de Mantenimiento"/>
    <x v="31"/>
  </r>
  <r>
    <s v="ovasquezp@agricolachira.com.pe"/>
    <x v="2"/>
    <n v="4"/>
    <s v="Agrícola"/>
    <x v="27"/>
  </r>
  <r>
    <s v="AChirinosC@agricolachira.com.pe"/>
    <x v="2"/>
    <s v="X"/>
    <s v="Gestión Humana y Sostenibilidad"/>
    <x v="32"/>
  </r>
  <r>
    <s v="DAlbercaS@agricolachira.com.pe"/>
    <x v="2"/>
    <n v="3"/>
    <s v="Operaciones"/>
    <x v="16"/>
  </r>
  <r>
    <s v="AColomaL@agricolachira.com.pe"/>
    <x v="2"/>
    <n v="4"/>
    <s v="Gestión Humana y Sostenibilidad"/>
    <x v="23"/>
  </r>
  <r>
    <s v="RInfanteB@agricolachira.com.pe"/>
    <x v="2"/>
    <n v="5"/>
    <s v="Agrícola"/>
    <x v="1"/>
  </r>
  <r>
    <s v="AVasquezM@agricolachira.com.pe"/>
    <x v="2"/>
    <n v="5"/>
    <s v="Industrial y de Mantenimiento"/>
    <x v="12"/>
  </r>
  <r>
    <s v="CVivancoM@agricolachira.com.pe"/>
    <x v="2"/>
    <n v="4"/>
    <s v="Administración y Finanzas"/>
    <x v="33"/>
  </r>
  <r>
    <s v="CLupucheV@agricolachira.com.pe"/>
    <x v="2"/>
    <n v="4"/>
    <s v="Agrícola"/>
    <x v="9"/>
  </r>
  <r>
    <s v="JCalderonChu@agricolachira.com.pe"/>
    <x v="2"/>
    <n v="4"/>
    <s v="Industrial y de Mantenimiento"/>
    <x v="5"/>
  </r>
  <r>
    <s v="VAbadP@agricolachira.com.pe"/>
    <x v="2"/>
    <n v="4"/>
    <s v="Administración y Finanzas"/>
    <x v="20"/>
  </r>
  <r>
    <s v="AGutierrezR@agricolachira.com.pe"/>
    <x v="2"/>
    <n v="5"/>
    <s v="Operaciones"/>
    <x v="19"/>
  </r>
  <r>
    <s v="YMoscolC@agricolachira.com.pe"/>
    <x v="2"/>
    <s v="X"/>
    <s v="Operaciones"/>
    <x v="19"/>
  </r>
  <r>
    <s v="VHilaresZ@agricolachira.com.pe"/>
    <x v="2"/>
    <n v="4"/>
    <s v="Agrícola"/>
    <x v="6"/>
  </r>
  <r>
    <s v="PMarroquinR@agricolachira.com.pe"/>
    <x v="2"/>
    <n v="4"/>
    <s v="Agrícola"/>
    <x v="34"/>
  </r>
  <r>
    <s v="RCrespoV@sucroalcoleradelchira.com.pe"/>
    <x v="2"/>
    <n v="4"/>
    <s v="Industrial y de Mantenimiento"/>
    <x v="12"/>
  </r>
  <r>
    <s v="YGarridoS@agricolachira.com.pe"/>
    <x v="2"/>
    <n v="4"/>
    <s v="Operaciones"/>
    <x v="28"/>
  </r>
  <r>
    <s v="MDilibertoS@agricolachira.com.pe"/>
    <x v="2"/>
    <n v="5"/>
    <s v="Agrícola"/>
    <x v="35"/>
  </r>
  <r>
    <s v="HMatiasZ@agricolachira.com.pe"/>
    <x v="2"/>
    <n v="5"/>
    <s v="Agrícola"/>
    <x v="36"/>
  </r>
  <r>
    <s v="DigitadorML@agricolachira.com.pe"/>
    <x v="2"/>
    <n v="4"/>
    <s v="Agrícola"/>
    <x v="1"/>
  </r>
  <r>
    <s v="ASeminarioV@agricolachira.com.pe"/>
    <x v="2"/>
    <s v="X"/>
    <s v="Agrícola"/>
    <x v="14"/>
  </r>
  <r>
    <s v="creyesy@agricolachira.com.pe"/>
    <x v="2"/>
    <n v="4"/>
    <s v="Industrial y de Mantenimiento"/>
    <x v="37"/>
  </r>
  <r>
    <s v="JCheroPa@agricolachira.com.pe"/>
    <x v="2"/>
    <n v="4"/>
    <s v="Administración y Finanzas"/>
    <x v="29"/>
  </r>
  <r>
    <s v="jjimenezc@agricolachira.com.pe"/>
    <x v="2"/>
    <n v="4"/>
    <s v="Gestión Humana y Sostenibilidad"/>
    <x v="38"/>
  </r>
  <r>
    <s v="JArevaloga@agricolachira.com.pe"/>
    <x v="3"/>
    <n v="5"/>
    <s v="Gestión Humana y Sostenibilidad"/>
    <x v="0"/>
  </r>
  <r>
    <s v="JRojasBarr@agricolachira.com.pe"/>
    <x v="3"/>
    <n v="3"/>
    <s v="Agrícola"/>
    <x v="1"/>
  </r>
  <r>
    <s v="CCarrilloR@agricolachira.com.pe"/>
    <x v="3"/>
    <n v="4"/>
    <s v="Industrial y de Mantenimiento"/>
    <x v="2"/>
  </r>
  <r>
    <s v="JGomezAp@agricolachira.com.pe"/>
    <x v="3"/>
    <n v="5"/>
    <s v="Administración y Finanzas"/>
    <x v="3"/>
  </r>
  <r>
    <s v="JMazaV@agricolachira.com.pe"/>
    <x v="3"/>
    <s v="X"/>
    <s v="Industrial y de Mantenimiento"/>
    <x v="4"/>
  </r>
  <r>
    <s v="AFloresD@agricolachira.com.pe"/>
    <x v="3"/>
    <n v="5"/>
    <s v="Industrial y de Mantenimiento"/>
    <x v="5"/>
  </r>
  <r>
    <s v="WChavezS@agricolachira.com.pe"/>
    <x v="3"/>
    <n v="3"/>
    <s v="Agrícola"/>
    <x v="6"/>
  </r>
  <r>
    <s v="ABurneoL@agricolachira.com.pe"/>
    <x v="3"/>
    <n v="5"/>
    <s v="Administración y Finanzas"/>
    <x v="7"/>
  </r>
  <r>
    <s v="ABlancoE@agricolachira.com.pe"/>
    <x v="3"/>
    <n v="5"/>
    <s v="Operaciones"/>
    <x v="8"/>
  </r>
  <r>
    <s v="GPenaP@agricolachira.com.pe"/>
    <x v="3"/>
    <n v="5"/>
    <s v="Agrícola"/>
    <x v="9"/>
  </r>
  <r>
    <s v="LOlayaLe@agricolachira.com.pe"/>
    <x v="3"/>
    <n v="2"/>
    <s v="Administración y Finanzas"/>
    <x v="10"/>
  </r>
  <r>
    <s v="ptrigoso@agricolachira.com.pe"/>
    <x v="3"/>
    <n v="4"/>
    <s v="Operaciones"/>
    <x v="11"/>
  </r>
  <r>
    <s v="jvasquezc@agricolachira.com.pe"/>
    <x v="3"/>
    <n v="5"/>
    <s v="Administración y Finanzas"/>
    <x v="3"/>
  </r>
  <r>
    <s v="LVillarF@agricolachira.com.pe"/>
    <x v="3"/>
    <n v="5"/>
    <s v="Industrial y de Mantenimiento"/>
    <x v="12"/>
  </r>
  <r>
    <s v="DZuritaF@agricolachira.com.pe"/>
    <x v="3"/>
    <n v="5"/>
    <s v="Administración y Finanzas"/>
    <x v="13"/>
  </r>
  <r>
    <s v="KOtinianoP@agricolachira.com.pe"/>
    <x v="3"/>
    <n v="4"/>
    <s v="Administración y Finanzas"/>
    <x v="13"/>
  </r>
  <r>
    <s v="JMioA@agricolachira.com.pe"/>
    <x v="3"/>
    <n v="4"/>
    <s v="Agrícola"/>
    <x v="14"/>
  </r>
  <r>
    <s v="CRamosG@agricolachira.com.pe"/>
    <x v="3"/>
    <n v="4"/>
    <s v="Gestión Humana y Sostenibilidad"/>
    <x v="15"/>
  </r>
  <r>
    <s v="MVegaY@agricolachira.com.pe"/>
    <x v="3"/>
    <n v="5"/>
    <s v="Operaciones"/>
    <x v="16"/>
  </r>
  <r>
    <s v="VLopezS@agricolachira.com.pe"/>
    <x v="3"/>
    <n v="4"/>
    <s v="Operaciones"/>
    <x v="17"/>
  </r>
  <r>
    <s v="LGarciaC@agricolachira.com.pe"/>
    <x v="3"/>
    <n v="5"/>
    <s v="Operaciones"/>
    <x v="17"/>
  </r>
  <r>
    <s v="EArevaloJ@agricolachira.com.pe"/>
    <x v="3"/>
    <n v="5"/>
    <s v="Administración y Finanzas"/>
    <x v="18"/>
  </r>
  <r>
    <s v="cfreym@agricolachira.com.pe"/>
    <x v="3"/>
    <n v="3"/>
    <s v="Operaciones"/>
    <x v="19"/>
  </r>
  <r>
    <s v="RMoncadaP@agricolachira.com.pe"/>
    <x v="3"/>
    <n v="5"/>
    <s v="Administración y Finanzas"/>
    <x v="7"/>
  </r>
  <r>
    <s v="JPichilinguP@agricolachira.com.pe"/>
    <x v="3"/>
    <n v="4"/>
    <s v="Operaciones"/>
    <x v="19"/>
  </r>
  <r>
    <s v="MMartinezP@agricolachira.com.pe"/>
    <x v="3"/>
    <n v="5"/>
    <s v="Administración y Finanzas"/>
    <x v="20"/>
  </r>
  <r>
    <s v="jquevedoa@agricolachira.com.pe"/>
    <x v="3"/>
    <n v="5"/>
    <s v="Administración y Finanzas"/>
    <x v="21"/>
  </r>
  <r>
    <s v="jbacilioh@agricolachira.com.pe"/>
    <x v="3"/>
    <n v="4"/>
    <s v="Agrícola"/>
    <x v="22"/>
  </r>
  <r>
    <s v="VTaboadaV@sucroalcoleradelchira.com.pe"/>
    <x v="3"/>
    <n v="5"/>
    <s v="Administración y Finanzas"/>
    <x v="10"/>
  </r>
  <r>
    <s v="GCubasA@agricolachira.com.pe"/>
    <x v="3"/>
    <s v="X"/>
    <s v="Agrícola"/>
    <x v="14"/>
  </r>
  <r>
    <s v="MVillegasJ@agricolachira.com.pe"/>
    <x v="3"/>
    <n v="4"/>
    <s v="Administración y Finanzas"/>
    <x v="21"/>
  </r>
  <r>
    <s v="USanchezF@agricolachira.com.pe"/>
    <x v="3"/>
    <n v="5"/>
    <s v="Administración y Finanzas"/>
    <x v="7"/>
  </r>
  <r>
    <s v="JChumaceroC@sucroalcoleradelchira.com.pe"/>
    <x v="3"/>
    <n v="4"/>
    <s v="Industrial y de Mantenimiento"/>
    <x v="12"/>
  </r>
  <r>
    <s v="JUrbinaP@agricolachira.com.pe"/>
    <x v="3"/>
    <n v="5"/>
    <s v="Agrícola"/>
    <x v="9"/>
  </r>
  <r>
    <s v="RLupucheQ@agricolachira.com.pe"/>
    <x v="3"/>
    <n v="4"/>
    <s v="Agrícola"/>
    <x v="22"/>
  </r>
  <r>
    <s v="VRequelmeS@agricolachira.com.pe"/>
    <x v="3"/>
    <n v="5"/>
    <s v="Administración y Finanzas"/>
    <x v="10"/>
  </r>
  <r>
    <s v="JOrdinolaZ@agricolachira.com.pe"/>
    <x v="3"/>
    <n v="4"/>
    <s v="Operaciones"/>
    <x v="16"/>
  </r>
  <r>
    <s v="JCobenasS@agricolachira.com.pe"/>
    <x v="3"/>
    <n v="5"/>
    <s v="Operaciones"/>
    <x v="16"/>
  </r>
  <r>
    <s v="AAdanaqueE@agricolachira.com.pe"/>
    <x v="3"/>
    <n v="5"/>
    <s v="Gestión Humana y Sostenibilidad"/>
    <x v="23"/>
  </r>
  <r>
    <s v="ASernaqueV@agricolachira.com.pe"/>
    <x v="3"/>
    <n v="5"/>
    <s v="Gestión Humana y Sostenibilidad"/>
    <x v="24"/>
  </r>
  <r>
    <s v="JVillegasP@agricolachira.com.pe"/>
    <x v="3"/>
    <n v="5"/>
    <s v="Gestión Humana y Sostenibilidad"/>
    <x v="23"/>
  </r>
  <r>
    <s v="JEstelaF@agricolachira.com.pe"/>
    <x v="3"/>
    <n v="4"/>
    <s v="Operaciones"/>
    <x v="16"/>
  </r>
  <r>
    <s v="CManayayB@agricolachira.com.pe"/>
    <x v="3"/>
    <n v="4"/>
    <s v="Agrícola"/>
    <x v="9"/>
  </r>
  <r>
    <s v="HMocarroC@agricolachira.com.pe"/>
    <x v="3"/>
    <n v="5"/>
    <s v="Administración y Finanzas"/>
    <x v="25"/>
  </r>
  <r>
    <s v="SNizamaM@agricolachira.com.pe"/>
    <x v="3"/>
    <n v="3"/>
    <s v="Operaciones"/>
    <x v="26"/>
  </r>
  <r>
    <s v="ereyesp@agricolachira.com.pe"/>
    <x v="3"/>
    <n v="5"/>
    <s v="Agrícola"/>
    <x v="27"/>
  </r>
  <r>
    <s v="VCruzC@agricolachira.com.pe"/>
    <x v="3"/>
    <n v="5"/>
    <s v="Gestión Humana y Sostenibilidad"/>
    <x v="24"/>
  </r>
  <r>
    <s v="PSuncionZ@agricolachira.com.pe"/>
    <x v="3"/>
    <n v="5"/>
    <s v="Gestión Humana y Sostenibilidad"/>
    <x v="23"/>
  </r>
  <r>
    <s v="JMendozaG@agricolachira.com.pe"/>
    <x v="3"/>
    <n v="5"/>
    <s v="Gestión Humana y Sostenibilidad"/>
    <x v="0"/>
  </r>
  <r>
    <s v="RGarciaFe@agricolachira.com.pe"/>
    <x v="3"/>
    <n v="4"/>
    <s v="Administración y Finanzas"/>
    <x v="20"/>
  </r>
  <r>
    <s v="SSanchezV@agricolachira.com.pe"/>
    <x v="3"/>
    <n v="5"/>
    <s v="Administración y Finanzas"/>
    <x v="7"/>
  </r>
  <r>
    <s v="CMendozaM@agricolachira.com.pe"/>
    <x v="3"/>
    <n v="4"/>
    <s v="Agrícola"/>
    <x v="1"/>
  </r>
  <r>
    <s v="ALachiraP@agricolachira.com.pe"/>
    <x v="3"/>
    <n v="5"/>
    <s v="Operaciones"/>
    <x v="28"/>
  </r>
  <r>
    <s v="JNegronC@agricolachira.com.pe"/>
    <x v="3"/>
    <n v="4"/>
    <s v="Agrícola"/>
    <x v="14"/>
  </r>
  <r>
    <s v="JAquijeD@agricolachira.com.pe"/>
    <x v="3"/>
    <n v="4"/>
    <s v="Agrícola"/>
    <x v="1"/>
  </r>
  <r>
    <s v="adelchiradigitadorsv@agricolachira.com.pe"/>
    <x v="3"/>
    <n v="5"/>
    <s v="Agrícola"/>
    <x v="6"/>
  </r>
  <r>
    <s v="EMijahuancaG@agricolachira.com.pe"/>
    <x v="3"/>
    <n v="5"/>
    <s v="Operaciones"/>
    <x v="26"/>
  </r>
  <r>
    <s v="MCulqueC@agricolachira.com.pe"/>
    <x v="3"/>
    <n v="5"/>
    <s v="Agrícola"/>
    <x v="6"/>
  </r>
  <r>
    <s v="WFacundoF@agricolachira.com.pe"/>
    <x v="3"/>
    <n v="4"/>
    <s v="Industrial y de Mantenimiento"/>
    <x v="5"/>
  </r>
  <r>
    <s v="HCruzA@agricolachira.com.pe"/>
    <x v="3"/>
    <n v="4"/>
    <s v="Operaciones"/>
    <x v="28"/>
  </r>
  <r>
    <s v="DGameroS@agricolachira.com.pe"/>
    <x v="3"/>
    <n v="5"/>
    <s v="Industrial y de Mantenimiento"/>
    <x v="5"/>
  </r>
  <r>
    <s v="RTorresS@agricolachira.com.pe"/>
    <x v="3"/>
    <n v="4"/>
    <s v="Agrícola"/>
    <x v="14"/>
  </r>
  <r>
    <s v="DFloreanoP@agricolachira.com.pe"/>
    <x v="3"/>
    <n v="5"/>
    <s v="Administración y Finanzas"/>
    <x v="29"/>
  </r>
  <r>
    <s v="FValladaresC@agricolachira.com.pe"/>
    <x v="3"/>
    <n v="4"/>
    <s v="Agrícola"/>
    <x v="14"/>
  </r>
  <r>
    <s v="DCheroN@agricolachira.com.pe"/>
    <x v="3"/>
    <n v="4"/>
    <s v="Operaciones"/>
    <x v="28"/>
  </r>
  <r>
    <s v="rmerach@agricolachira.com.pe"/>
    <x v="3"/>
    <n v="4"/>
    <s v="Industrial y de Mantenimiento"/>
    <x v="30"/>
  </r>
  <r>
    <s v="digitadorlb2@agricolachira.com.pe"/>
    <x v="3"/>
    <n v="5"/>
    <s v="Agrícola"/>
    <x v="9"/>
  </r>
  <r>
    <s v="digitadorlb1@agricolachira.com.pe"/>
    <x v="3"/>
    <n v="5"/>
    <s v="Agrícola"/>
    <x v="9"/>
  </r>
  <r>
    <s v="CSosaL@agricolachira.com.pe"/>
    <x v="3"/>
    <n v="5"/>
    <s v="Administración y Finanzas"/>
    <x v="7"/>
  </r>
  <r>
    <s v="IFloresF@bioenergiadelchira.pe"/>
    <x v="3"/>
    <n v="5"/>
    <s v="Industrial y de Mantenimiento"/>
    <x v="31"/>
  </r>
  <r>
    <s v="ovasquezp@agricolachira.com.pe"/>
    <x v="3"/>
    <n v="4"/>
    <s v="Agrícola"/>
    <x v="27"/>
  </r>
  <r>
    <s v="AChirinosC@agricolachira.com.pe"/>
    <x v="3"/>
    <n v="4"/>
    <s v="Gestión Humana y Sostenibilidad"/>
    <x v="32"/>
  </r>
  <r>
    <s v="DAlbercaS@agricolachira.com.pe"/>
    <x v="3"/>
    <n v="4"/>
    <s v="Operaciones"/>
    <x v="16"/>
  </r>
  <r>
    <s v="AColomaL@agricolachira.com.pe"/>
    <x v="3"/>
    <n v="4"/>
    <s v="Gestión Humana y Sostenibilidad"/>
    <x v="23"/>
  </r>
  <r>
    <s v="RInfanteB@agricolachira.com.pe"/>
    <x v="3"/>
    <n v="5"/>
    <s v="Agrícola"/>
    <x v="1"/>
  </r>
  <r>
    <s v="AVasquezM@agricolachira.com.pe"/>
    <x v="3"/>
    <n v="5"/>
    <s v="Industrial y de Mantenimiento"/>
    <x v="12"/>
  </r>
  <r>
    <s v="CVivancoM@agricolachira.com.pe"/>
    <x v="3"/>
    <n v="4"/>
    <s v="Administración y Finanzas"/>
    <x v="33"/>
  </r>
  <r>
    <s v="CLupucheV@agricolachira.com.pe"/>
    <x v="3"/>
    <n v="5"/>
    <s v="Agrícola"/>
    <x v="9"/>
  </r>
  <r>
    <s v="JCalderonChu@agricolachira.com.pe"/>
    <x v="3"/>
    <n v="5"/>
    <s v="Industrial y de Mantenimiento"/>
    <x v="5"/>
  </r>
  <r>
    <s v="VAbadP@agricolachira.com.pe"/>
    <x v="3"/>
    <n v="4"/>
    <s v="Administración y Finanzas"/>
    <x v="20"/>
  </r>
  <r>
    <s v="AGutierrezR@agricolachira.com.pe"/>
    <x v="3"/>
    <n v="5"/>
    <s v="Operaciones"/>
    <x v="19"/>
  </r>
  <r>
    <s v="YMoscolC@agricolachira.com.pe"/>
    <x v="3"/>
    <n v="5"/>
    <s v="Operaciones"/>
    <x v="19"/>
  </r>
  <r>
    <s v="VHilaresZ@agricolachira.com.pe"/>
    <x v="3"/>
    <n v="4"/>
    <s v="Agrícola"/>
    <x v="6"/>
  </r>
  <r>
    <s v="PMarroquinR@agricolachira.com.pe"/>
    <x v="3"/>
    <n v="5"/>
    <s v="Agrícola"/>
    <x v="34"/>
  </r>
  <r>
    <s v="RCrespoV@sucroalcoleradelchira.com.pe"/>
    <x v="3"/>
    <n v="5"/>
    <s v="Industrial y de Mantenimiento"/>
    <x v="12"/>
  </r>
  <r>
    <s v="YGarridoS@agricolachira.com.pe"/>
    <x v="3"/>
    <n v="4"/>
    <s v="Operaciones"/>
    <x v="28"/>
  </r>
  <r>
    <s v="MDilibertoS@agricolachira.com.pe"/>
    <x v="3"/>
    <n v="4"/>
    <s v="Agrícola"/>
    <x v="35"/>
  </r>
  <r>
    <s v="HMatiasZ@agricolachira.com.pe"/>
    <x v="3"/>
    <n v="5"/>
    <s v="Agrícola"/>
    <x v="36"/>
  </r>
  <r>
    <s v="DigitadorML@agricolachira.com.pe"/>
    <x v="3"/>
    <s v="X"/>
    <s v="Agrícola"/>
    <x v="1"/>
  </r>
  <r>
    <s v="ASeminarioV@agricolachira.com.pe"/>
    <x v="3"/>
    <s v="X"/>
    <s v="Agrícola"/>
    <x v="14"/>
  </r>
  <r>
    <s v="creyesy@agricolachira.com.pe"/>
    <x v="3"/>
    <n v="5"/>
    <s v="Industrial y de Mantenimiento"/>
    <x v="37"/>
  </r>
  <r>
    <s v="JCheroPa@agricolachira.com.pe"/>
    <x v="3"/>
    <n v="4"/>
    <s v="Administración y Finanzas"/>
    <x v="29"/>
  </r>
  <r>
    <s v="jjimenezc@agricolachira.com.pe"/>
    <x v="3"/>
    <n v="5"/>
    <s v="Gestión Humana y Sostenibilidad"/>
    <x v="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23F982-4908-49DC-B5E8-93D2E562C21F}" name="TablaDinámica9" cacheId="3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3:I38" firstHeaderRow="1" firstDataRow="1" firstDataCol="1" rowPageCount="1" colPageCount="1"/>
  <pivotFields count="6">
    <pivotField showAll="0"/>
    <pivotField axis="axisRow" showAll="0">
      <items count="5">
        <item x="3"/>
        <item x="0"/>
        <item x="2"/>
        <item x="1"/>
        <item t="default"/>
      </items>
    </pivotField>
    <pivotField axis="axisRow" dataField="1" showAll="0">
      <items count="6">
        <item x="4"/>
        <item x="1"/>
        <item x="2"/>
        <item x="0"/>
        <item x="3"/>
        <item t="default"/>
      </items>
    </pivotField>
    <pivotField showAll="0">
      <items count="6">
        <item x="3"/>
        <item x="1"/>
        <item x="0"/>
        <item x="2"/>
        <item x="4"/>
        <item t="default"/>
      </items>
    </pivotField>
    <pivotField axis="axisPage" multipleItemSelectionAllowed="1" showAll="0">
      <items count="40">
        <item x="21"/>
        <item x="28"/>
        <item x="4"/>
        <item x="18"/>
        <item x="16"/>
        <item x="19"/>
        <item x="8"/>
        <item x="23"/>
        <item x="29"/>
        <item x="20"/>
        <item h="1" x="7"/>
        <item x="32"/>
        <item x="17"/>
        <item x="2"/>
        <item x="10"/>
        <item x="36"/>
        <item x="9"/>
        <item x="1"/>
        <item x="6"/>
        <item x="33"/>
        <item x="35"/>
        <item x="11"/>
        <item x="30"/>
        <item x="15"/>
        <item x="24"/>
        <item x="22"/>
        <item x="13"/>
        <item x="26"/>
        <item x="14"/>
        <item x="37"/>
        <item x="12"/>
        <item x="27"/>
        <item x="31"/>
        <item x="5"/>
        <item x="25"/>
        <item x="0"/>
        <item x="34"/>
        <item x="3"/>
        <item x="38"/>
        <item t="default"/>
      </items>
    </pivotField>
    <pivotField showAll="0">
      <items count="6">
        <item x="3"/>
        <item x="1"/>
        <item x="0"/>
        <item x="2"/>
        <item x="4"/>
        <item t="default"/>
      </items>
    </pivotField>
  </pivotFields>
  <rowFields count="2">
    <field x="1"/>
    <field x="2"/>
  </rowFields>
  <rowItems count="25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4" hier="-1"/>
  </pageField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D8294-FD4C-4A53-AE54-6F24922ED281}" name="PivotTablaAutoevaluacion" cacheId="35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0">
  <location ref="L36:M41" firstHeaderRow="1" firstDataRow="1" firstDataCol="1" rowPageCount="1" colPageCount="1"/>
  <pivotFields count="5">
    <pivotField showAll="0"/>
    <pivotField axis="axisRow" showAll="0">
      <items count="5">
        <item x="3"/>
        <item x="0"/>
        <item x="2"/>
        <item x="1"/>
        <item t="default"/>
      </items>
    </pivotField>
    <pivotField dataField="1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40">
        <item x="21"/>
        <item x="28"/>
        <item x="4"/>
        <item x="18"/>
        <item x="16"/>
        <item x="19"/>
        <item x="8"/>
        <item x="23"/>
        <item x="29"/>
        <item x="20"/>
        <item x="7"/>
        <item x="32"/>
        <item x="17"/>
        <item x="2"/>
        <item x="10"/>
        <item x="36"/>
        <item x="9"/>
        <item x="1"/>
        <item x="6"/>
        <item x="33"/>
        <item x="35"/>
        <item x="11"/>
        <item x="30"/>
        <item x="15"/>
        <item x="24"/>
        <item x="22"/>
        <item x="13"/>
        <item x="26"/>
        <item x="14"/>
        <item x="37"/>
        <item x="12"/>
        <item x="27"/>
        <item x="31"/>
        <item x="5"/>
        <item x="25"/>
        <item x="0"/>
        <item x="34"/>
        <item x="3"/>
        <item x="38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item="10" hier="-1"/>
  </pageFields>
  <dataFields count="1">
    <dataField name="Promedio de Nro" fld="2" subtotal="average" baseField="0" baseItem="0" numFmtId="165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70A4D1-DE8D-4B10-B687-83416535A6E8}" name="TBL_ResulEncuestas" displayName="TBL_ResulEncuestas" ref="A3:J96" totalsRowShown="0">
  <autoFilter ref="A3:J96" xr:uid="{D470A4D1-DE8D-4B10-B687-83416535A6E8}"/>
  <tableColumns count="10">
    <tableColumn id="1" xr3:uid="{0EC68995-FD18-43F9-9719-8EBD653AD891}" name="ID"/>
    <tableColumn id="2" xr3:uid="{3C7B916E-040A-4F6A-A054-FC0886435DE8}" name="Hora de inicio" dataDxfId="20"/>
    <tableColumn id="3" xr3:uid="{4300326A-5927-448A-ACA5-A60B210C78DD}" name="Hora de finalización" dataDxfId="19"/>
    <tableColumn id="4" xr3:uid="{38B2F90C-CBE0-497E-B787-3E4F5F542C87}" name="Correo electrónico"/>
    <tableColumn id="5" xr3:uid="{85EAF366-CCFA-4A94-A492-5A6E70F416CC}" name="Nombre"/>
    <tableColumn id="6" xr3:uid="{A9642663-281E-407D-9C21-F163796D1C06}" name="1"/>
    <tableColumn id="7" xr3:uid="{EC537584-1719-48A3-8630-C88ECCB02DED}" name="2"/>
    <tableColumn id="8" xr3:uid="{83480D41-9A08-4640-8A2A-55DDB999EB0B}" name="3"/>
    <tableColumn id="9" xr3:uid="{93E1BAFD-C874-49D4-8117-1CAD3E3B0975}" name="4"/>
    <tableColumn id="10" xr3:uid="{8E000EEA-1C21-4BCB-B3E1-D655EFAA7F9F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182C02-97EB-4DDD-BFA6-01206E394374}" name="Resumen2" displayName="Resumen2" ref="A1:F373" totalsRowShown="0">
  <autoFilter ref="A1:F373" xr:uid="{9D182C02-97EB-4DDD-BFA6-01206E394374}"/>
  <tableColumns count="6">
    <tableColumn id="1" xr3:uid="{8E308854-D39B-4DD8-8845-32DF7ADB2CB0}" name="Correo electrónico" dataDxfId="1"/>
    <tableColumn id="2" xr3:uid="{708E2F85-A92E-401F-A070-FE88547A2E23}" name="Servicios"/>
    <tableColumn id="3" xr3:uid="{4DCD0E74-1722-4A8E-A4BD-3F364CC42A79}" name="Nro" dataDxfId="0"/>
    <tableColumn id="4" xr3:uid="{797222A6-7414-4907-A6C1-1C3376DC3FC5}" name="Gerencia">
      <calculatedColumnFormula>VLOOKUP(A2,DataUsuario!B:D,2,FALSE)</calculatedColumnFormula>
    </tableColumn>
    <tableColumn id="5" xr3:uid="{83A975DE-6E8F-4238-9258-F22DBFF59CBA}" name="Area">
      <calculatedColumnFormula>VLOOKUP(A2,DataUsuario!B:D,3,FALSE)</calculatedColumnFormula>
    </tableColumn>
    <tableColumn id="6" xr3:uid="{8520B416-C367-4BA0-9085-1AA5D7F9CB3D}" name="Columna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A20D25-5EA8-408C-965C-B3FD2FC7C390}" name="PivoteServicios" displayName="PivoteServicios" ref="A15:B19" totalsRowShown="0">
  <autoFilter ref="A15:B19" xr:uid="{F5A20D25-5EA8-408C-965C-B3FD2FC7C390}"/>
  <sortState xmlns:xlrd2="http://schemas.microsoft.com/office/spreadsheetml/2017/richdata2" ref="A16:B19">
    <sortCondition descending="1" ref="B15:B19"/>
  </sortState>
  <tableColumns count="2">
    <tableColumn id="1" xr3:uid="{771F300D-BE66-4340-8BFE-8296277078C4}" name="Servicios"/>
    <tableColumn id="2" xr3:uid="{CE26F83F-250C-4D28-83F4-047B0212C37A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D8B060-644A-4AB1-A2A4-8D4B21030BCB}" name="PivoteGerencias" displayName="PivoteGerencias" ref="L15:M20" totalsRowShown="0">
  <autoFilter ref="L15:M20" xr:uid="{8ED8B060-644A-4AB1-A2A4-8D4B21030BCB}"/>
  <sortState xmlns:xlrd2="http://schemas.microsoft.com/office/spreadsheetml/2017/richdata2" ref="L16:M20">
    <sortCondition descending="1" ref="M15:M20"/>
  </sortState>
  <tableColumns count="2">
    <tableColumn id="1" xr3:uid="{38403353-D182-4743-9B67-04A166E826B1}" name="Gerencias"/>
    <tableColumn id="2" xr3:uid="{0DB56348-4A20-41F1-96AF-FC8114F4640B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571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572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x14ac:dyDescent="0.3">
      <c r="A190" s="2" t="s">
        <v>520</v>
      </c>
      <c r="B190" s="4" t="s">
        <v>573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x14ac:dyDescent="0.3">
      <c r="A196" s="4" t="s">
        <v>527</v>
      </c>
      <c r="B196" s="3" t="s">
        <v>543</v>
      </c>
      <c r="C196" s="3" t="s">
        <v>62</v>
      </c>
      <c r="D196" s="3" t="s">
        <v>574</v>
      </c>
    </row>
    <row r="197" spans="1:4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x14ac:dyDescent="0.3">
      <c r="A198" t="s">
        <v>575</v>
      </c>
      <c r="B198" t="s">
        <v>576</v>
      </c>
      <c r="C198" t="s">
        <v>74</v>
      </c>
      <c r="D198" t="s">
        <v>75</v>
      </c>
    </row>
    <row r="199" spans="1:4" x14ac:dyDescent="0.3">
      <c r="A199" t="s">
        <v>577</v>
      </c>
      <c r="B199" t="s">
        <v>578</v>
      </c>
      <c r="C199" t="s">
        <v>66</v>
      </c>
      <c r="D199" t="s">
        <v>67</v>
      </c>
    </row>
    <row r="200" spans="1:4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x14ac:dyDescent="0.3">
      <c r="A201" t="s">
        <v>579</v>
      </c>
      <c r="B201" s="145" t="s">
        <v>580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25" sqref="B25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532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8" sqref="D8:F8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9"/>
      <c r="L1" s="179"/>
      <c r="M1" s="179"/>
      <c r="N1" s="179"/>
      <c r="O1" s="179"/>
      <c r="P1" s="179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505</v>
      </c>
      <c r="K2" s="179"/>
      <c r="L2" s="179"/>
      <c r="M2" s="179"/>
      <c r="N2" s="179"/>
      <c r="O2" s="179"/>
      <c r="P2" s="179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505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78" t="s">
        <v>509</v>
      </c>
      <c r="N6" s="178"/>
      <c r="O6" s="178"/>
      <c r="P6" s="178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10">
        <f>COUNT(B2:J2)+2</f>
        <v>6</v>
      </c>
      <c r="L7" s="108" t="s">
        <v>507</v>
      </c>
      <c r="M7" t="s">
        <v>508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>
        <v>4.3369999999999997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505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505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505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43" t="s">
        <v>510</v>
      </c>
    </row>
    <row r="13" spans="1:17" x14ac:dyDescent="0.3">
      <c r="M13" s="43" t="s">
        <v>511</v>
      </c>
    </row>
    <row r="14" spans="1:17" x14ac:dyDescent="0.3">
      <c r="M14" s="43" t="s">
        <v>512</v>
      </c>
    </row>
    <row r="16" spans="1:17" x14ac:dyDescent="0.3">
      <c r="K16" s="109" t="s">
        <v>505</v>
      </c>
      <c r="L16" s="108" t="s">
        <v>514</v>
      </c>
      <c r="M16" t="s">
        <v>513</v>
      </c>
    </row>
    <row r="18" spans="1:16" x14ac:dyDescent="0.3">
      <c r="B18" s="177" t="s">
        <v>456</v>
      </c>
    </row>
    <row r="19" spans="1:16" x14ac:dyDescent="0.3">
      <c r="B19" s="177"/>
    </row>
    <row r="26" spans="1:16" x14ac:dyDescent="0.3">
      <c r="K26" t="s">
        <v>506</v>
      </c>
      <c r="M26" s="178" t="s">
        <v>509</v>
      </c>
      <c r="N26" s="178"/>
      <c r="O26" s="178"/>
      <c r="P26" s="178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505</v>
      </c>
      <c r="M28" t="s">
        <v>515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505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505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505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505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505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505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505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505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505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505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505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505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505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505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505</v>
      </c>
    </row>
    <row r="54" spans="1:6" ht="15" thickBot="1" x14ac:dyDescent="0.35">
      <c r="A54" s="125" t="s">
        <v>29</v>
      </c>
      <c r="B54" s="32" t="s">
        <v>532</v>
      </c>
      <c r="C54" s="32"/>
      <c r="D54" s="29"/>
      <c r="E54" s="32"/>
      <c r="F54" s="18" t="s">
        <v>505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>
        <v>4.2939999999999996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>
        <v>4.3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>
        <v>4.2880000000000003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>
        <v>4.4640000000000004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505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505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505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505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505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505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505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505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505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505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505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505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505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505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505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505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505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505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505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505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505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505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505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505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505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505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505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505</v>
      </c>
    </row>
    <row r="89" spans="1:6" x14ac:dyDescent="0.3">
      <c r="A89" s="124" t="s">
        <v>45</v>
      </c>
      <c r="B89" s="124" t="s">
        <v>55</v>
      </c>
      <c r="F89" t="s">
        <v>505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A8" sqref="A8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96"/>
  <sheetViews>
    <sheetView workbookViewId="0">
      <pane ySplit="1" topLeftCell="A2" activePane="bottomLeft" state="frozenSplit"/>
      <selection pane="bottomLeft" activeCell="N19" sqref="N19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0" width="9.21875" customWidth="1"/>
  </cols>
  <sheetData>
    <row r="1" spans="1:12" ht="15.6" x14ac:dyDescent="0.3">
      <c r="A1" s="180" t="s">
        <v>633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</row>
    <row r="3" spans="1:12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08" t="s">
        <v>587</v>
      </c>
      <c r="G3" s="108" t="s">
        <v>588</v>
      </c>
      <c r="H3" s="108" t="s">
        <v>589</v>
      </c>
      <c r="I3" s="108" t="s">
        <v>590</v>
      </c>
      <c r="J3" t="s">
        <v>591</v>
      </c>
    </row>
    <row r="4" spans="1:12" x14ac:dyDescent="0.3">
      <c r="A4">
        <v>255</v>
      </c>
      <c r="B4" s="155">
        <v>45628.555833333303</v>
      </c>
      <c r="C4" s="155">
        <v>45628.556134259299</v>
      </c>
      <c r="D4" t="s">
        <v>592</v>
      </c>
      <c r="E4" t="s">
        <v>239</v>
      </c>
      <c r="F4" t="s">
        <v>468</v>
      </c>
      <c r="G4" t="s">
        <v>468</v>
      </c>
      <c r="H4" t="s">
        <v>468</v>
      </c>
      <c r="I4" t="s">
        <v>468</v>
      </c>
    </row>
    <row r="5" spans="1:12" x14ac:dyDescent="0.3">
      <c r="A5">
        <v>256</v>
      </c>
      <c r="B5" s="155">
        <v>45628.558206018497</v>
      </c>
      <c r="C5" s="155">
        <v>45628.558576388903</v>
      </c>
      <c r="D5" t="s">
        <v>242</v>
      </c>
      <c r="E5" t="s">
        <v>241</v>
      </c>
      <c r="F5" t="s">
        <v>469</v>
      </c>
      <c r="G5" t="s">
        <v>469</v>
      </c>
      <c r="H5" t="s">
        <v>469</v>
      </c>
      <c r="I5" t="s">
        <v>469</v>
      </c>
    </row>
    <row r="6" spans="1:12" x14ac:dyDescent="0.3">
      <c r="A6">
        <v>257</v>
      </c>
      <c r="B6" s="155">
        <v>45628.560659722199</v>
      </c>
      <c r="C6" s="155">
        <v>45628.5612847222</v>
      </c>
      <c r="D6" t="s">
        <v>133</v>
      </c>
      <c r="E6" t="s">
        <v>132</v>
      </c>
      <c r="F6" t="s">
        <v>467</v>
      </c>
      <c r="G6" t="s">
        <v>467</v>
      </c>
      <c r="H6" t="s">
        <v>468</v>
      </c>
      <c r="I6" t="s">
        <v>467</v>
      </c>
    </row>
    <row r="7" spans="1:12" x14ac:dyDescent="0.3">
      <c r="A7">
        <v>258</v>
      </c>
      <c r="B7" s="155">
        <v>45628.558819444399</v>
      </c>
      <c r="C7" s="155">
        <v>45628.561666666697</v>
      </c>
      <c r="D7" t="s">
        <v>221</v>
      </c>
      <c r="E7" t="s">
        <v>593</v>
      </c>
      <c r="F7" t="s">
        <v>468</v>
      </c>
      <c r="G7" t="s">
        <v>467</v>
      </c>
      <c r="H7" t="s">
        <v>467</v>
      </c>
      <c r="I7" t="s">
        <v>468</v>
      </c>
      <c r="J7" t="s">
        <v>594</v>
      </c>
    </row>
    <row r="8" spans="1:12" x14ac:dyDescent="0.3">
      <c r="A8">
        <v>259</v>
      </c>
      <c r="B8" s="155">
        <v>45628.563819444404</v>
      </c>
      <c r="C8" s="155">
        <v>45628.567303240699</v>
      </c>
      <c r="D8" t="s">
        <v>251</v>
      </c>
      <c r="E8" t="s">
        <v>250</v>
      </c>
      <c r="F8" t="s">
        <v>469</v>
      </c>
      <c r="G8" t="s">
        <v>469</v>
      </c>
      <c r="H8" t="s">
        <v>469</v>
      </c>
      <c r="I8" t="s">
        <v>595</v>
      </c>
    </row>
    <row r="9" spans="1:12" x14ac:dyDescent="0.3">
      <c r="A9">
        <v>260</v>
      </c>
      <c r="B9" s="155">
        <v>45628.570787037002</v>
      </c>
      <c r="C9" s="155">
        <v>45628.572164351797</v>
      </c>
      <c r="D9" t="s">
        <v>82</v>
      </c>
      <c r="E9" t="s">
        <v>81</v>
      </c>
      <c r="F9" t="s">
        <v>467</v>
      </c>
      <c r="G9" t="s">
        <v>467</v>
      </c>
      <c r="H9" t="s">
        <v>467</v>
      </c>
      <c r="I9" t="s">
        <v>468</v>
      </c>
    </row>
    <row r="10" spans="1:12" x14ac:dyDescent="0.3">
      <c r="A10">
        <v>261</v>
      </c>
      <c r="B10" s="155">
        <v>45628.575300925899</v>
      </c>
      <c r="C10" s="155">
        <v>45628.577210648102</v>
      </c>
      <c r="D10" t="s">
        <v>431</v>
      </c>
      <c r="E10" t="s">
        <v>430</v>
      </c>
      <c r="F10" t="s">
        <v>469</v>
      </c>
      <c r="G10" t="s">
        <v>467</v>
      </c>
      <c r="H10" t="s">
        <v>469</v>
      </c>
      <c r="I10" t="s">
        <v>469</v>
      </c>
      <c r="J10" t="s">
        <v>596</v>
      </c>
    </row>
    <row r="11" spans="1:12" x14ac:dyDescent="0.3">
      <c r="A11">
        <v>262</v>
      </c>
      <c r="B11" s="155">
        <v>45628.577280092599</v>
      </c>
      <c r="C11" s="155">
        <v>45628.5781712963</v>
      </c>
      <c r="D11" t="s">
        <v>92</v>
      </c>
      <c r="E11" t="s">
        <v>91</v>
      </c>
      <c r="F11" t="s">
        <v>468</v>
      </c>
      <c r="G11" t="s">
        <v>468</v>
      </c>
      <c r="H11" t="s">
        <v>468</v>
      </c>
      <c r="I11" t="s">
        <v>468</v>
      </c>
    </row>
    <row r="12" spans="1:12" x14ac:dyDescent="0.3">
      <c r="A12">
        <v>263</v>
      </c>
      <c r="B12" s="155">
        <v>45628.563460648104</v>
      </c>
      <c r="C12" s="155">
        <v>45628.579953703702</v>
      </c>
      <c r="D12" t="s">
        <v>77</v>
      </c>
      <c r="E12" t="s">
        <v>76</v>
      </c>
      <c r="F12" t="s">
        <v>595</v>
      </c>
      <c r="G12" t="s">
        <v>468</v>
      </c>
      <c r="H12" t="s">
        <v>468</v>
      </c>
      <c r="I12" t="s">
        <v>468</v>
      </c>
    </row>
    <row r="13" spans="1:12" x14ac:dyDescent="0.3">
      <c r="A13">
        <v>264</v>
      </c>
      <c r="B13" s="155">
        <v>45628.584884259297</v>
      </c>
      <c r="C13" s="155">
        <v>45628.5863888889</v>
      </c>
      <c r="D13" t="s">
        <v>198</v>
      </c>
      <c r="E13" t="s">
        <v>197</v>
      </c>
      <c r="F13" t="s">
        <v>467</v>
      </c>
      <c r="G13" t="s">
        <v>467</v>
      </c>
      <c r="H13" t="s">
        <v>468</v>
      </c>
      <c r="I13" t="s">
        <v>468</v>
      </c>
      <c r="J13" t="s">
        <v>597</v>
      </c>
    </row>
    <row r="14" spans="1:12" x14ac:dyDescent="0.3">
      <c r="A14">
        <v>265</v>
      </c>
      <c r="B14" s="155">
        <v>45628.588252314803</v>
      </c>
      <c r="C14" s="155">
        <v>45628.588356481501</v>
      </c>
      <c r="D14" t="s">
        <v>322</v>
      </c>
      <c r="E14" t="s">
        <v>321</v>
      </c>
      <c r="F14" t="s">
        <v>470</v>
      </c>
      <c r="G14" t="s">
        <v>470</v>
      </c>
      <c r="H14" t="s">
        <v>470</v>
      </c>
      <c r="I14" t="s">
        <v>470</v>
      </c>
    </row>
    <row r="15" spans="1:12" x14ac:dyDescent="0.3">
      <c r="A15">
        <v>266</v>
      </c>
      <c r="B15" s="155">
        <v>45628.587349537003</v>
      </c>
      <c r="C15" s="155">
        <v>45628.589722222197</v>
      </c>
      <c r="D15" t="s">
        <v>359</v>
      </c>
      <c r="E15" t="s">
        <v>598</v>
      </c>
      <c r="F15" t="s">
        <v>467</v>
      </c>
      <c r="G15" t="s">
        <v>467</v>
      </c>
      <c r="H15" t="s">
        <v>467</v>
      </c>
      <c r="I15" t="s">
        <v>467</v>
      </c>
      <c r="J15" t="s">
        <v>599</v>
      </c>
    </row>
    <row r="16" spans="1:12" x14ac:dyDescent="0.3">
      <c r="A16">
        <v>267</v>
      </c>
      <c r="B16" s="155">
        <v>45628.590266203697</v>
      </c>
      <c r="C16" s="155">
        <v>45628.590833333299</v>
      </c>
      <c r="D16" t="s">
        <v>236</v>
      </c>
      <c r="E16" t="s">
        <v>235</v>
      </c>
      <c r="F16" t="s">
        <v>468</v>
      </c>
      <c r="G16" t="s">
        <v>467</v>
      </c>
      <c r="H16" t="s">
        <v>467</v>
      </c>
      <c r="I16" t="s">
        <v>468</v>
      </c>
    </row>
    <row r="17" spans="1:10" x14ac:dyDescent="0.3">
      <c r="A17">
        <v>268</v>
      </c>
      <c r="B17" s="155">
        <v>45628.597002314797</v>
      </c>
      <c r="C17" s="155">
        <v>45628.597187500003</v>
      </c>
      <c r="D17" t="s">
        <v>314</v>
      </c>
      <c r="E17" t="s">
        <v>313</v>
      </c>
      <c r="F17" t="s">
        <v>468</v>
      </c>
      <c r="G17" t="s">
        <v>468</v>
      </c>
      <c r="H17" t="s">
        <v>468</v>
      </c>
      <c r="I17" t="s">
        <v>468</v>
      </c>
    </row>
    <row r="18" spans="1:10" x14ac:dyDescent="0.3">
      <c r="A18">
        <v>269</v>
      </c>
      <c r="B18" s="155">
        <v>45628.600763888899</v>
      </c>
      <c r="C18" s="155">
        <v>45628.602835648097</v>
      </c>
      <c r="D18" t="s">
        <v>145</v>
      </c>
      <c r="E18" t="s">
        <v>144</v>
      </c>
      <c r="F18" t="s">
        <v>467</v>
      </c>
      <c r="G18" t="s">
        <v>595</v>
      </c>
      <c r="H18" t="s">
        <v>595</v>
      </c>
      <c r="I18" t="s">
        <v>468</v>
      </c>
    </row>
    <row r="19" spans="1:10" x14ac:dyDescent="0.3">
      <c r="A19">
        <v>270</v>
      </c>
      <c r="B19" s="155">
        <v>45628.605902777803</v>
      </c>
      <c r="C19" s="155">
        <v>45628.606516203698</v>
      </c>
      <c r="D19" t="s">
        <v>299</v>
      </c>
      <c r="E19" t="s">
        <v>298</v>
      </c>
      <c r="F19" t="s">
        <v>467</v>
      </c>
      <c r="G19" t="s">
        <v>467</v>
      </c>
      <c r="H19" t="s">
        <v>467</v>
      </c>
      <c r="I19" t="s">
        <v>467</v>
      </c>
    </row>
    <row r="20" spans="1:10" x14ac:dyDescent="0.3">
      <c r="A20">
        <v>271</v>
      </c>
      <c r="B20" s="155">
        <v>45628.606539351902</v>
      </c>
      <c r="C20" s="155">
        <v>45628.607326388897</v>
      </c>
      <c r="D20" t="s">
        <v>289</v>
      </c>
      <c r="E20" t="s">
        <v>288</v>
      </c>
      <c r="F20" t="s">
        <v>467</v>
      </c>
      <c r="G20" t="s">
        <v>467</v>
      </c>
      <c r="H20" t="s">
        <v>467</v>
      </c>
      <c r="I20" t="s">
        <v>467</v>
      </c>
    </row>
    <row r="21" spans="1:10" x14ac:dyDescent="0.3">
      <c r="A21">
        <v>272</v>
      </c>
      <c r="B21" s="155">
        <v>45628.616249999999</v>
      </c>
      <c r="C21" s="155">
        <v>45628.616365740701</v>
      </c>
      <c r="D21" t="s">
        <v>138</v>
      </c>
      <c r="E21" t="s">
        <v>137</v>
      </c>
      <c r="F21" t="s">
        <v>467</v>
      </c>
      <c r="G21" t="s">
        <v>467</v>
      </c>
      <c r="H21" t="s">
        <v>467</v>
      </c>
      <c r="I21" t="s">
        <v>467</v>
      </c>
    </row>
    <row r="22" spans="1:10" x14ac:dyDescent="0.3">
      <c r="A22">
        <v>273</v>
      </c>
      <c r="B22" s="155">
        <v>45628.619907407403</v>
      </c>
      <c r="C22" s="155">
        <v>45628.620902777802</v>
      </c>
      <c r="D22" t="s">
        <v>326</v>
      </c>
      <c r="E22" t="s">
        <v>325</v>
      </c>
      <c r="F22" t="s">
        <v>467</v>
      </c>
      <c r="G22" t="s">
        <v>467</v>
      </c>
      <c r="H22" t="s">
        <v>468</v>
      </c>
      <c r="I22" t="s">
        <v>468</v>
      </c>
    </row>
    <row r="23" spans="1:10" x14ac:dyDescent="0.3">
      <c r="A23">
        <v>274</v>
      </c>
      <c r="B23" s="155">
        <v>45628.629201388903</v>
      </c>
      <c r="C23" s="155">
        <v>45628.629722222198</v>
      </c>
      <c r="D23" t="s">
        <v>421</v>
      </c>
      <c r="E23" t="s">
        <v>420</v>
      </c>
      <c r="F23" t="s">
        <v>467</v>
      </c>
      <c r="G23" t="s">
        <v>467</v>
      </c>
      <c r="H23" t="s">
        <v>467</v>
      </c>
      <c r="I23" t="s">
        <v>467</v>
      </c>
    </row>
    <row r="24" spans="1:10" x14ac:dyDescent="0.3">
      <c r="A24">
        <v>275</v>
      </c>
      <c r="B24" s="155">
        <v>45628.645833333299</v>
      </c>
      <c r="C24" s="155">
        <v>45628.646284722199</v>
      </c>
      <c r="D24" t="s">
        <v>318</v>
      </c>
      <c r="E24" t="s">
        <v>317</v>
      </c>
      <c r="F24" t="s">
        <v>468</v>
      </c>
      <c r="G24" t="s">
        <v>468</v>
      </c>
      <c r="H24" t="s">
        <v>468</v>
      </c>
      <c r="I24" t="s">
        <v>468</v>
      </c>
    </row>
    <row r="25" spans="1:10" x14ac:dyDescent="0.3">
      <c r="A25">
        <v>276</v>
      </c>
      <c r="B25" s="155">
        <v>45628.739409722199</v>
      </c>
      <c r="C25" s="155">
        <v>45628.739768518499</v>
      </c>
      <c r="D25" t="s">
        <v>176</v>
      </c>
      <c r="E25" t="s">
        <v>175</v>
      </c>
      <c r="F25" t="s">
        <v>468</v>
      </c>
      <c r="G25" t="s">
        <v>468</v>
      </c>
      <c r="H25" t="s">
        <v>595</v>
      </c>
      <c r="I25" t="s">
        <v>468</v>
      </c>
    </row>
    <row r="26" spans="1:10" x14ac:dyDescent="0.3">
      <c r="A26">
        <v>277</v>
      </c>
      <c r="B26" s="155">
        <v>45628.636990740699</v>
      </c>
      <c r="C26" s="155">
        <v>45628.765416666698</v>
      </c>
      <c r="D26" t="s">
        <v>136</v>
      </c>
      <c r="E26" t="s">
        <v>135</v>
      </c>
      <c r="F26" t="s">
        <v>467</v>
      </c>
      <c r="G26" t="s">
        <v>469</v>
      </c>
      <c r="H26" t="s">
        <v>595</v>
      </c>
      <c r="I26" t="s">
        <v>469</v>
      </c>
      <c r="J26" t="s">
        <v>600</v>
      </c>
    </row>
    <row r="27" spans="1:10" x14ac:dyDescent="0.3">
      <c r="A27">
        <v>278</v>
      </c>
      <c r="B27" s="155">
        <v>45629.334351851903</v>
      </c>
      <c r="C27" s="155">
        <v>45629.334594907399</v>
      </c>
      <c r="D27" t="s">
        <v>376</v>
      </c>
      <c r="E27" t="s">
        <v>375</v>
      </c>
      <c r="F27" t="s">
        <v>468</v>
      </c>
      <c r="G27" t="s">
        <v>468</v>
      </c>
      <c r="H27" t="s">
        <v>468</v>
      </c>
      <c r="I27" t="s">
        <v>468</v>
      </c>
    </row>
    <row r="28" spans="1:10" x14ac:dyDescent="0.3">
      <c r="A28">
        <v>279</v>
      </c>
      <c r="B28" s="155">
        <v>45629.349421296298</v>
      </c>
      <c r="C28" s="155">
        <v>45629.352719907401</v>
      </c>
      <c r="D28" t="s">
        <v>285</v>
      </c>
      <c r="E28" t="s">
        <v>284</v>
      </c>
      <c r="F28" t="s">
        <v>469</v>
      </c>
      <c r="G28" t="s">
        <v>469</v>
      </c>
      <c r="H28" t="s">
        <v>595</v>
      </c>
      <c r="I28" t="s">
        <v>467</v>
      </c>
    </row>
    <row r="29" spans="1:10" x14ac:dyDescent="0.3">
      <c r="A29">
        <v>280</v>
      </c>
      <c r="B29" s="155">
        <v>45629.3536805556</v>
      </c>
      <c r="C29" s="155">
        <v>45629.354120370401</v>
      </c>
      <c r="D29" t="s">
        <v>341</v>
      </c>
      <c r="E29" t="s">
        <v>340</v>
      </c>
      <c r="F29" t="s">
        <v>468</v>
      </c>
      <c r="G29" t="s">
        <v>468</v>
      </c>
      <c r="H29" t="s">
        <v>595</v>
      </c>
      <c r="I29" t="s">
        <v>468</v>
      </c>
    </row>
    <row r="30" spans="1:10" x14ac:dyDescent="0.3">
      <c r="A30">
        <v>281</v>
      </c>
      <c r="B30" s="155">
        <v>45629.374432870398</v>
      </c>
      <c r="C30" s="155">
        <v>45629.375937500001</v>
      </c>
      <c r="D30" t="s">
        <v>254</v>
      </c>
      <c r="E30" t="s">
        <v>253</v>
      </c>
      <c r="F30" t="s">
        <v>467</v>
      </c>
      <c r="G30" t="s">
        <v>467</v>
      </c>
      <c r="H30" t="s">
        <v>467</v>
      </c>
      <c r="I30" t="s">
        <v>468</v>
      </c>
      <c r="J30" t="s">
        <v>467</v>
      </c>
    </row>
    <row r="31" spans="1:10" x14ac:dyDescent="0.3">
      <c r="A31">
        <v>282</v>
      </c>
      <c r="B31" s="155">
        <v>45629.390370370398</v>
      </c>
      <c r="C31" s="155">
        <v>45629.391469907401</v>
      </c>
      <c r="D31" t="s">
        <v>224</v>
      </c>
      <c r="E31" t="s">
        <v>223</v>
      </c>
      <c r="F31" t="s">
        <v>467</v>
      </c>
      <c r="G31" t="s">
        <v>467</v>
      </c>
      <c r="H31" t="s">
        <v>467</v>
      </c>
      <c r="I31" t="s">
        <v>467</v>
      </c>
    </row>
    <row r="32" spans="1:10" x14ac:dyDescent="0.3">
      <c r="A32">
        <v>283</v>
      </c>
      <c r="B32" s="155">
        <v>45629.420266203699</v>
      </c>
      <c r="C32" s="155">
        <v>45629.4206597222</v>
      </c>
      <c r="D32" t="s">
        <v>578</v>
      </c>
      <c r="E32" t="s">
        <v>577</v>
      </c>
      <c r="F32" t="s">
        <v>468</v>
      </c>
      <c r="G32" t="s">
        <v>468</v>
      </c>
      <c r="H32" t="s">
        <v>468</v>
      </c>
      <c r="I32" t="s">
        <v>468</v>
      </c>
    </row>
    <row r="33" spans="1:10" x14ac:dyDescent="0.3">
      <c r="A33">
        <v>284</v>
      </c>
      <c r="B33" s="155">
        <v>45629.419548611098</v>
      </c>
      <c r="C33" s="155">
        <v>45629.420682870397</v>
      </c>
      <c r="D33" t="s">
        <v>196</v>
      </c>
      <c r="E33" t="s">
        <v>601</v>
      </c>
      <c r="F33" t="s">
        <v>469</v>
      </c>
      <c r="G33" t="s">
        <v>469</v>
      </c>
      <c r="H33" t="s">
        <v>595</v>
      </c>
      <c r="I33" t="s">
        <v>595</v>
      </c>
    </row>
    <row r="34" spans="1:10" x14ac:dyDescent="0.3">
      <c r="A34">
        <v>285</v>
      </c>
      <c r="B34" s="155">
        <v>45629.418055555601</v>
      </c>
      <c r="C34" s="155">
        <v>45629.422199074099</v>
      </c>
      <c r="D34" t="s">
        <v>328</v>
      </c>
      <c r="E34" t="s">
        <v>327</v>
      </c>
      <c r="F34" t="s">
        <v>467</v>
      </c>
      <c r="G34" t="s">
        <v>467</v>
      </c>
      <c r="H34" t="s">
        <v>468</v>
      </c>
      <c r="I34" t="s">
        <v>467</v>
      </c>
    </row>
    <row r="35" spans="1:10" x14ac:dyDescent="0.3">
      <c r="A35">
        <v>286</v>
      </c>
      <c r="B35" s="155">
        <v>45629.431076388901</v>
      </c>
      <c r="C35" s="155">
        <v>45629.431504629603</v>
      </c>
      <c r="D35" t="s">
        <v>403</v>
      </c>
      <c r="E35" t="s">
        <v>402</v>
      </c>
      <c r="F35" t="s">
        <v>468</v>
      </c>
      <c r="G35" t="s">
        <v>467</v>
      </c>
      <c r="H35" t="s">
        <v>467</v>
      </c>
      <c r="I35" t="s">
        <v>468</v>
      </c>
    </row>
    <row r="36" spans="1:10" x14ac:dyDescent="0.3">
      <c r="A36">
        <v>287</v>
      </c>
      <c r="B36" s="155">
        <v>45629.5006712963</v>
      </c>
      <c r="C36" s="155">
        <v>45629.501006944403</v>
      </c>
      <c r="D36" t="s">
        <v>602</v>
      </c>
      <c r="E36" t="s">
        <v>548</v>
      </c>
      <c r="F36" t="s">
        <v>468</v>
      </c>
      <c r="G36" t="s">
        <v>467</v>
      </c>
      <c r="H36" t="s">
        <v>468</v>
      </c>
      <c r="I36" t="s">
        <v>467</v>
      </c>
    </row>
    <row r="37" spans="1:10" x14ac:dyDescent="0.3">
      <c r="A37">
        <v>288</v>
      </c>
      <c r="B37" s="155">
        <v>45629.566921296297</v>
      </c>
      <c r="C37" s="155">
        <v>45629.567037036999</v>
      </c>
      <c r="D37" t="s">
        <v>230</v>
      </c>
      <c r="E37" t="s">
        <v>229</v>
      </c>
      <c r="F37" t="s">
        <v>468</v>
      </c>
      <c r="G37" t="s">
        <v>468</v>
      </c>
      <c r="H37" t="s">
        <v>468</v>
      </c>
      <c r="I37" t="s">
        <v>468</v>
      </c>
    </row>
    <row r="38" spans="1:10" x14ac:dyDescent="0.3">
      <c r="A38">
        <v>289</v>
      </c>
      <c r="B38" s="155">
        <v>45628.655497685198</v>
      </c>
      <c r="C38" s="155">
        <v>45629.579687500001</v>
      </c>
      <c r="D38" t="s">
        <v>372</v>
      </c>
      <c r="E38" t="s">
        <v>371</v>
      </c>
      <c r="F38" t="s">
        <v>467</v>
      </c>
      <c r="G38" t="s">
        <v>467</v>
      </c>
      <c r="H38" t="s">
        <v>467</v>
      </c>
      <c r="I38" t="s">
        <v>467</v>
      </c>
    </row>
    <row r="39" spans="1:10" x14ac:dyDescent="0.3">
      <c r="A39">
        <v>290</v>
      </c>
      <c r="B39" s="155">
        <v>45629.588425925896</v>
      </c>
      <c r="C39" s="155">
        <v>45629.588900463001</v>
      </c>
      <c r="D39" t="s">
        <v>405</v>
      </c>
      <c r="E39" t="s">
        <v>404</v>
      </c>
      <c r="F39" t="s">
        <v>468</v>
      </c>
      <c r="G39" t="s">
        <v>468</v>
      </c>
      <c r="H39" t="s">
        <v>468</v>
      </c>
      <c r="I39" t="s">
        <v>468</v>
      </c>
    </row>
    <row r="40" spans="1:10" x14ac:dyDescent="0.3">
      <c r="A40">
        <v>291</v>
      </c>
      <c r="B40" s="155">
        <v>45629.729548611103</v>
      </c>
      <c r="C40" s="155">
        <v>45629.729641203703</v>
      </c>
      <c r="D40" t="s">
        <v>287</v>
      </c>
      <c r="E40" t="s">
        <v>286</v>
      </c>
      <c r="F40" t="s">
        <v>467</v>
      </c>
      <c r="G40" t="s">
        <v>467</v>
      </c>
      <c r="H40" t="s">
        <v>467</v>
      </c>
      <c r="I40" t="s">
        <v>467</v>
      </c>
    </row>
    <row r="41" spans="1:10" x14ac:dyDescent="0.3">
      <c r="A41">
        <v>292</v>
      </c>
      <c r="B41" s="155">
        <v>45630.276562500003</v>
      </c>
      <c r="C41" s="155">
        <v>45630.276979166701</v>
      </c>
      <c r="D41" t="s">
        <v>258</v>
      </c>
      <c r="E41" t="s">
        <v>257</v>
      </c>
      <c r="F41" t="s">
        <v>468</v>
      </c>
      <c r="G41" t="s">
        <v>467</v>
      </c>
      <c r="H41" t="s">
        <v>467</v>
      </c>
      <c r="I41" t="s">
        <v>468</v>
      </c>
    </row>
    <row r="42" spans="1:10" x14ac:dyDescent="0.3">
      <c r="A42">
        <v>293</v>
      </c>
      <c r="B42" s="155">
        <v>45630.293460648099</v>
      </c>
      <c r="C42" s="155">
        <v>45630.294664351903</v>
      </c>
      <c r="D42" t="s">
        <v>97</v>
      </c>
      <c r="E42" t="s">
        <v>96</v>
      </c>
      <c r="F42" t="s">
        <v>468</v>
      </c>
      <c r="G42" t="s">
        <v>468</v>
      </c>
      <c r="H42" t="s">
        <v>468</v>
      </c>
      <c r="I42" t="s">
        <v>468</v>
      </c>
      <c r="J42" t="s">
        <v>603</v>
      </c>
    </row>
    <row r="43" spans="1:10" x14ac:dyDescent="0.3">
      <c r="A43">
        <v>294</v>
      </c>
      <c r="B43" s="155">
        <v>45630.298680555599</v>
      </c>
      <c r="C43" s="155">
        <v>45630.298784722203</v>
      </c>
      <c r="D43" t="s">
        <v>99</v>
      </c>
      <c r="E43" t="s">
        <v>98</v>
      </c>
      <c r="F43" t="s">
        <v>468</v>
      </c>
      <c r="G43" t="s">
        <v>468</v>
      </c>
      <c r="H43" t="s">
        <v>468</v>
      </c>
      <c r="I43" t="s">
        <v>468</v>
      </c>
    </row>
    <row r="44" spans="1:10" x14ac:dyDescent="0.3">
      <c r="A44">
        <v>295</v>
      </c>
      <c r="B44" s="155">
        <v>45630.320902777799</v>
      </c>
      <c r="C44" s="155">
        <v>45630.322187500002</v>
      </c>
      <c r="D44" t="s">
        <v>245</v>
      </c>
      <c r="E44" t="s">
        <v>244</v>
      </c>
      <c r="F44" t="s">
        <v>468</v>
      </c>
      <c r="G44" t="s">
        <v>468</v>
      </c>
      <c r="H44" t="s">
        <v>468</v>
      </c>
      <c r="I44" t="s">
        <v>468</v>
      </c>
      <c r="J44" t="s">
        <v>604</v>
      </c>
    </row>
    <row r="45" spans="1:10" x14ac:dyDescent="0.3">
      <c r="A45">
        <v>296</v>
      </c>
      <c r="B45" s="155">
        <v>45630.325613425899</v>
      </c>
      <c r="C45" s="155">
        <v>45630.328460648103</v>
      </c>
      <c r="D45" t="s">
        <v>271</v>
      </c>
      <c r="E45" t="s">
        <v>270</v>
      </c>
      <c r="F45" t="s">
        <v>467</v>
      </c>
      <c r="G45" t="s">
        <v>467</v>
      </c>
      <c r="H45" t="s">
        <v>467</v>
      </c>
      <c r="I45" t="s">
        <v>467</v>
      </c>
      <c r="J45" t="s">
        <v>605</v>
      </c>
    </row>
    <row r="46" spans="1:10" x14ac:dyDescent="0.3">
      <c r="A46">
        <v>297</v>
      </c>
      <c r="B46" s="155">
        <v>45630.370254629597</v>
      </c>
      <c r="C46" s="155">
        <v>45630.370567129597</v>
      </c>
      <c r="D46" t="s">
        <v>118</v>
      </c>
      <c r="E46" t="s">
        <v>606</v>
      </c>
      <c r="F46" t="s">
        <v>468</v>
      </c>
      <c r="G46" t="s">
        <v>468</v>
      </c>
      <c r="H46" t="s">
        <v>595</v>
      </c>
      <c r="I46" t="s">
        <v>467</v>
      </c>
    </row>
    <row r="47" spans="1:10" x14ac:dyDescent="0.3">
      <c r="A47">
        <v>298</v>
      </c>
      <c r="B47" s="155">
        <v>45630.385567129597</v>
      </c>
      <c r="C47" s="155">
        <v>45630.385682870401</v>
      </c>
      <c r="D47" t="s">
        <v>207</v>
      </c>
      <c r="E47" t="s">
        <v>206</v>
      </c>
      <c r="F47" t="s">
        <v>468</v>
      </c>
      <c r="G47" t="s">
        <v>468</v>
      </c>
      <c r="H47" t="s">
        <v>468</v>
      </c>
      <c r="I47" t="s">
        <v>468</v>
      </c>
    </row>
    <row r="48" spans="1:10" x14ac:dyDescent="0.3">
      <c r="A48">
        <v>299</v>
      </c>
      <c r="B48" s="155">
        <v>45630.420995370398</v>
      </c>
      <c r="C48" s="155">
        <v>45630.4217824074</v>
      </c>
      <c r="D48" t="s">
        <v>395</v>
      </c>
      <c r="E48" t="s">
        <v>394</v>
      </c>
      <c r="F48" t="s">
        <v>469</v>
      </c>
      <c r="G48" t="s">
        <v>467</v>
      </c>
      <c r="H48" t="s">
        <v>467</v>
      </c>
      <c r="I48" t="s">
        <v>469</v>
      </c>
    </row>
    <row r="49" spans="1:10" x14ac:dyDescent="0.3">
      <c r="A49">
        <v>300</v>
      </c>
      <c r="B49" s="155">
        <v>45630.4762037037</v>
      </c>
      <c r="C49" s="155">
        <v>45630.4771064815</v>
      </c>
      <c r="D49" t="s">
        <v>183</v>
      </c>
      <c r="E49" t="s">
        <v>182</v>
      </c>
      <c r="F49" t="s">
        <v>468</v>
      </c>
      <c r="G49" t="s">
        <v>468</v>
      </c>
      <c r="H49" t="s">
        <v>467</v>
      </c>
      <c r="I49" t="s">
        <v>468</v>
      </c>
    </row>
    <row r="50" spans="1:10" x14ac:dyDescent="0.3">
      <c r="A50">
        <v>301</v>
      </c>
      <c r="B50" s="155">
        <v>45630.486342592601</v>
      </c>
      <c r="C50" s="155">
        <v>45630.487395833297</v>
      </c>
      <c r="D50" t="s">
        <v>607</v>
      </c>
      <c r="E50" t="s">
        <v>418</v>
      </c>
      <c r="F50" t="s">
        <v>468</v>
      </c>
      <c r="G50" t="s">
        <v>468</v>
      </c>
      <c r="H50" t="s">
        <v>468</v>
      </c>
      <c r="I50" t="s">
        <v>468</v>
      </c>
      <c r="J50" t="s">
        <v>608</v>
      </c>
    </row>
    <row r="51" spans="1:10" x14ac:dyDescent="0.3">
      <c r="A51">
        <v>302</v>
      </c>
      <c r="B51" s="155">
        <v>45630.505046296297</v>
      </c>
      <c r="C51" s="155">
        <v>45630.505358796298</v>
      </c>
      <c r="D51" t="s">
        <v>352</v>
      </c>
      <c r="E51" t="s">
        <v>351</v>
      </c>
      <c r="F51" t="s">
        <v>467</v>
      </c>
      <c r="G51" t="s">
        <v>467</v>
      </c>
      <c r="H51" t="s">
        <v>467</v>
      </c>
      <c r="I51" t="s">
        <v>468</v>
      </c>
    </row>
    <row r="52" spans="1:10" x14ac:dyDescent="0.3">
      <c r="A52">
        <v>303</v>
      </c>
      <c r="B52" s="155">
        <v>45630.560243055603</v>
      </c>
      <c r="C52" s="155">
        <v>45630.560787037</v>
      </c>
      <c r="D52" t="s">
        <v>215</v>
      </c>
      <c r="E52" t="s">
        <v>214</v>
      </c>
      <c r="F52" t="s">
        <v>468</v>
      </c>
      <c r="G52" t="s">
        <v>468</v>
      </c>
      <c r="H52" t="s">
        <v>468</v>
      </c>
      <c r="I52" t="s">
        <v>468</v>
      </c>
      <c r="J52" t="s">
        <v>609</v>
      </c>
    </row>
    <row r="53" spans="1:10" x14ac:dyDescent="0.3">
      <c r="A53">
        <v>304</v>
      </c>
      <c r="B53" s="155">
        <v>45631.360381944403</v>
      </c>
      <c r="C53" s="155">
        <v>45631.360983796301</v>
      </c>
      <c r="D53" t="s">
        <v>387</v>
      </c>
      <c r="E53" t="s">
        <v>386</v>
      </c>
      <c r="F53" t="s">
        <v>467</v>
      </c>
      <c r="G53" t="s">
        <v>468</v>
      </c>
      <c r="H53" t="s">
        <v>467</v>
      </c>
      <c r="I53" t="s">
        <v>467</v>
      </c>
    </row>
    <row r="54" spans="1:10" x14ac:dyDescent="0.3">
      <c r="A54">
        <v>305</v>
      </c>
      <c r="B54" s="155">
        <v>45631.528969907398</v>
      </c>
      <c r="C54" s="155">
        <v>45631.5291782407</v>
      </c>
      <c r="D54" t="s">
        <v>397</v>
      </c>
      <c r="E54" t="s">
        <v>396</v>
      </c>
      <c r="F54" t="s">
        <v>468</v>
      </c>
      <c r="G54" t="s">
        <v>468</v>
      </c>
      <c r="H54" t="s">
        <v>468</v>
      </c>
      <c r="I54" t="s">
        <v>468</v>
      </c>
      <c r="J54" t="s">
        <v>610</v>
      </c>
    </row>
    <row r="55" spans="1:10" x14ac:dyDescent="0.3">
      <c r="A55">
        <v>306</v>
      </c>
      <c r="B55" s="155">
        <v>45631.538553240702</v>
      </c>
      <c r="C55" s="155">
        <v>45631.539375</v>
      </c>
      <c r="D55" t="s">
        <v>120</v>
      </c>
      <c r="E55" t="s">
        <v>119</v>
      </c>
      <c r="F55" t="s">
        <v>467</v>
      </c>
      <c r="G55" t="s">
        <v>467</v>
      </c>
      <c r="H55" t="s">
        <v>595</v>
      </c>
      <c r="I55" t="s">
        <v>467</v>
      </c>
    </row>
    <row r="56" spans="1:10" x14ac:dyDescent="0.3">
      <c r="A56">
        <v>307</v>
      </c>
      <c r="B56" s="155">
        <v>45631.537418981497</v>
      </c>
      <c r="C56" s="155">
        <v>45631.543472222198</v>
      </c>
      <c r="D56" t="s">
        <v>611</v>
      </c>
      <c r="E56" t="s">
        <v>68</v>
      </c>
      <c r="F56" t="s">
        <v>468</v>
      </c>
      <c r="G56" t="s">
        <v>468</v>
      </c>
      <c r="H56" t="s">
        <v>468</v>
      </c>
      <c r="I56" t="s">
        <v>468</v>
      </c>
    </row>
    <row r="57" spans="1:10" x14ac:dyDescent="0.3">
      <c r="A57">
        <v>308</v>
      </c>
      <c r="B57" s="155">
        <v>45631.540081018502</v>
      </c>
      <c r="C57" s="155">
        <v>45631.544814814799</v>
      </c>
      <c r="D57" t="s">
        <v>217</v>
      </c>
      <c r="E57" t="s">
        <v>216</v>
      </c>
      <c r="F57" t="s">
        <v>467</v>
      </c>
      <c r="G57" t="s">
        <v>467</v>
      </c>
      <c r="H57" t="s">
        <v>467</v>
      </c>
      <c r="I57" t="s">
        <v>467</v>
      </c>
    </row>
    <row r="58" spans="1:10" x14ac:dyDescent="0.3">
      <c r="A58">
        <v>309</v>
      </c>
      <c r="B58" s="155">
        <v>45631.548750000002</v>
      </c>
      <c r="C58" s="155">
        <v>45631.549270833297</v>
      </c>
      <c r="D58" t="s">
        <v>256</v>
      </c>
      <c r="E58" t="s">
        <v>255</v>
      </c>
      <c r="F58" t="s">
        <v>467</v>
      </c>
      <c r="G58" t="s">
        <v>467</v>
      </c>
      <c r="H58" t="s">
        <v>467</v>
      </c>
      <c r="I58" t="s">
        <v>467</v>
      </c>
    </row>
    <row r="59" spans="1:10" x14ac:dyDescent="0.3">
      <c r="A59">
        <v>310</v>
      </c>
      <c r="B59" s="155">
        <v>45631.554085648102</v>
      </c>
      <c r="C59" s="155">
        <v>45631.556990740697</v>
      </c>
      <c r="D59" t="s">
        <v>164</v>
      </c>
      <c r="E59" t="s">
        <v>163</v>
      </c>
      <c r="F59" t="s">
        <v>468</v>
      </c>
      <c r="G59" t="s">
        <v>595</v>
      </c>
      <c r="H59" t="s">
        <v>468</v>
      </c>
      <c r="I59" t="s">
        <v>468</v>
      </c>
      <c r="J59" t="s">
        <v>612</v>
      </c>
    </row>
    <row r="60" spans="1:10" x14ac:dyDescent="0.3">
      <c r="A60">
        <v>311</v>
      </c>
      <c r="B60" s="155">
        <v>45631.558194444398</v>
      </c>
      <c r="C60" s="155">
        <v>45631.558993055602</v>
      </c>
      <c r="D60" t="s">
        <v>170</v>
      </c>
      <c r="E60" t="s">
        <v>169</v>
      </c>
      <c r="F60" t="s">
        <v>468</v>
      </c>
      <c r="G60" t="s">
        <v>468</v>
      </c>
      <c r="H60" t="s">
        <v>468</v>
      </c>
      <c r="I60" t="s">
        <v>468</v>
      </c>
    </row>
    <row r="61" spans="1:10" x14ac:dyDescent="0.3">
      <c r="A61">
        <v>312</v>
      </c>
      <c r="B61" s="155">
        <v>45631.580127314803</v>
      </c>
      <c r="C61" s="155">
        <v>45631.580474536997</v>
      </c>
      <c r="D61" t="s">
        <v>337</v>
      </c>
      <c r="E61" t="s">
        <v>336</v>
      </c>
      <c r="F61" t="s">
        <v>468</v>
      </c>
      <c r="G61" t="s">
        <v>468</v>
      </c>
      <c r="H61" t="s">
        <v>468</v>
      </c>
      <c r="I61" t="s">
        <v>468</v>
      </c>
      <c r="J61" t="s">
        <v>613</v>
      </c>
    </row>
    <row r="62" spans="1:10" x14ac:dyDescent="0.3">
      <c r="A62">
        <v>313</v>
      </c>
      <c r="B62" s="155">
        <v>45631.582407407397</v>
      </c>
      <c r="C62" s="155">
        <v>45631.583356481497</v>
      </c>
      <c r="D62" t="s">
        <v>423</v>
      </c>
      <c r="E62" t="s">
        <v>422</v>
      </c>
      <c r="F62" t="s">
        <v>467</v>
      </c>
      <c r="G62" t="s">
        <v>467</v>
      </c>
      <c r="H62" t="s">
        <v>467</v>
      </c>
      <c r="I62" t="s">
        <v>467</v>
      </c>
    </row>
    <row r="63" spans="1:10" x14ac:dyDescent="0.3">
      <c r="A63">
        <v>314</v>
      </c>
      <c r="B63" s="155">
        <v>45631.601284722201</v>
      </c>
      <c r="C63" s="155">
        <v>45631.603414351797</v>
      </c>
      <c r="D63" t="s">
        <v>205</v>
      </c>
      <c r="E63" t="s">
        <v>204</v>
      </c>
      <c r="F63" t="s">
        <v>468</v>
      </c>
      <c r="G63" t="s">
        <v>468</v>
      </c>
      <c r="H63" t="s">
        <v>467</v>
      </c>
      <c r="I63" t="s">
        <v>467</v>
      </c>
    </row>
    <row r="64" spans="1:10" x14ac:dyDescent="0.3">
      <c r="A64">
        <v>315</v>
      </c>
      <c r="B64" s="155">
        <v>45631.615243055603</v>
      </c>
      <c r="C64" s="155">
        <v>45631.615486111099</v>
      </c>
      <c r="D64" t="s">
        <v>150</v>
      </c>
      <c r="E64" t="s">
        <v>149</v>
      </c>
      <c r="F64" t="s">
        <v>467</v>
      </c>
      <c r="G64" t="s">
        <v>467</v>
      </c>
      <c r="H64" t="s">
        <v>595</v>
      </c>
      <c r="I64" t="s">
        <v>468</v>
      </c>
    </row>
    <row r="65" spans="1:10" x14ac:dyDescent="0.3">
      <c r="A65">
        <v>316</v>
      </c>
      <c r="B65" s="155">
        <v>45631.618842592601</v>
      </c>
      <c r="C65" s="155">
        <v>45631.619236111103</v>
      </c>
      <c r="D65" t="s">
        <v>374</v>
      </c>
      <c r="E65" t="s">
        <v>614</v>
      </c>
      <c r="F65" t="s">
        <v>467</v>
      </c>
      <c r="G65" t="s">
        <v>467</v>
      </c>
      <c r="H65" t="s">
        <v>467</v>
      </c>
      <c r="I65" t="s">
        <v>467</v>
      </c>
    </row>
    <row r="66" spans="1:10" x14ac:dyDescent="0.3">
      <c r="A66">
        <v>317</v>
      </c>
      <c r="B66" s="155">
        <v>45631.637210648099</v>
      </c>
      <c r="C66" s="155">
        <v>45631.637627314798</v>
      </c>
      <c r="D66" t="s">
        <v>156</v>
      </c>
      <c r="E66" t="s">
        <v>155</v>
      </c>
      <c r="F66" t="s">
        <v>595</v>
      </c>
      <c r="G66" t="s">
        <v>595</v>
      </c>
      <c r="H66" t="s">
        <v>595</v>
      </c>
      <c r="I66" t="s">
        <v>468</v>
      </c>
    </row>
    <row r="67" spans="1:10" x14ac:dyDescent="0.3">
      <c r="A67">
        <v>318</v>
      </c>
      <c r="B67" s="155">
        <v>45631.659340277802</v>
      </c>
      <c r="C67" s="155">
        <v>45631.659675925897</v>
      </c>
      <c r="D67" t="s">
        <v>192</v>
      </c>
      <c r="E67" t="s">
        <v>191</v>
      </c>
      <c r="F67" t="s">
        <v>467</v>
      </c>
      <c r="G67" t="s">
        <v>467</v>
      </c>
      <c r="H67" t="s">
        <v>467</v>
      </c>
      <c r="I67" t="s">
        <v>467</v>
      </c>
      <c r="J67" t="s">
        <v>615</v>
      </c>
    </row>
    <row r="68" spans="1:10" x14ac:dyDescent="0.3">
      <c r="A68">
        <v>319</v>
      </c>
      <c r="B68" s="155">
        <v>45631.663275462997</v>
      </c>
      <c r="C68" s="155">
        <v>45631.6635648148</v>
      </c>
      <c r="D68" t="s">
        <v>152</v>
      </c>
      <c r="E68" t="s">
        <v>151</v>
      </c>
      <c r="F68" t="s">
        <v>467</v>
      </c>
      <c r="G68" t="s">
        <v>467</v>
      </c>
      <c r="H68" t="s">
        <v>467</v>
      </c>
      <c r="I68" t="s">
        <v>467</v>
      </c>
    </row>
    <row r="69" spans="1:10" x14ac:dyDescent="0.3">
      <c r="A69">
        <v>320</v>
      </c>
      <c r="B69" s="155">
        <v>45631.664247685199</v>
      </c>
      <c r="C69" s="155">
        <v>45631.664456018501</v>
      </c>
      <c r="D69" t="s">
        <v>378</v>
      </c>
      <c r="E69" t="s">
        <v>616</v>
      </c>
      <c r="F69" t="s">
        <v>467</v>
      </c>
      <c r="G69" t="s">
        <v>467</v>
      </c>
      <c r="H69" t="s">
        <v>467</v>
      </c>
      <c r="I69" t="s">
        <v>467</v>
      </c>
    </row>
    <row r="70" spans="1:10" x14ac:dyDescent="0.3">
      <c r="A70">
        <v>321</v>
      </c>
      <c r="B70" s="155">
        <v>45631.664548611101</v>
      </c>
      <c r="C70" s="155">
        <v>45631.665532407402</v>
      </c>
      <c r="D70" t="s">
        <v>162</v>
      </c>
      <c r="E70" t="s">
        <v>161</v>
      </c>
      <c r="F70" t="s">
        <v>467</v>
      </c>
      <c r="G70" t="s">
        <v>595</v>
      </c>
      <c r="H70" t="s">
        <v>595</v>
      </c>
      <c r="I70" t="s">
        <v>468</v>
      </c>
    </row>
    <row r="71" spans="1:10" x14ac:dyDescent="0.3">
      <c r="A71">
        <v>322</v>
      </c>
      <c r="B71" s="155">
        <v>45631.664861111101</v>
      </c>
      <c r="C71" s="155">
        <v>45631.665578703702</v>
      </c>
      <c r="D71" t="s">
        <v>160</v>
      </c>
      <c r="E71" t="s">
        <v>159</v>
      </c>
      <c r="F71" t="s">
        <v>468</v>
      </c>
      <c r="G71" t="s">
        <v>595</v>
      </c>
      <c r="H71" t="s">
        <v>595</v>
      </c>
      <c r="I71" t="s">
        <v>468</v>
      </c>
    </row>
    <row r="72" spans="1:10" x14ac:dyDescent="0.3">
      <c r="A72">
        <v>323</v>
      </c>
      <c r="B72" s="155">
        <v>45631.668171296304</v>
      </c>
      <c r="C72" s="155">
        <v>45631.668796296297</v>
      </c>
      <c r="D72" t="s">
        <v>617</v>
      </c>
      <c r="E72" t="s">
        <v>140</v>
      </c>
      <c r="F72" t="s">
        <v>468</v>
      </c>
      <c r="G72" t="s">
        <v>468</v>
      </c>
      <c r="H72" t="s">
        <v>468</v>
      </c>
      <c r="I72" t="s">
        <v>468</v>
      </c>
    </row>
    <row r="73" spans="1:10" x14ac:dyDescent="0.3">
      <c r="A73">
        <v>324</v>
      </c>
      <c r="B73" s="155">
        <v>45631.858287037001</v>
      </c>
      <c r="C73" s="155">
        <v>45631.859479166698</v>
      </c>
      <c r="D73" t="s">
        <v>210</v>
      </c>
      <c r="E73" t="s">
        <v>561</v>
      </c>
      <c r="F73" t="s">
        <v>467</v>
      </c>
      <c r="G73" t="s">
        <v>467</v>
      </c>
      <c r="H73" t="s">
        <v>467</v>
      </c>
      <c r="I73" t="s">
        <v>468</v>
      </c>
    </row>
    <row r="74" spans="1:10" x14ac:dyDescent="0.3">
      <c r="A74">
        <v>325</v>
      </c>
      <c r="B74" s="155">
        <v>45631.925312500003</v>
      </c>
      <c r="C74" s="155">
        <v>45631.925949074102</v>
      </c>
      <c r="D74" t="s">
        <v>350</v>
      </c>
      <c r="E74" t="s">
        <v>618</v>
      </c>
      <c r="F74" t="s">
        <v>467</v>
      </c>
      <c r="G74" t="s">
        <v>468</v>
      </c>
      <c r="H74" t="s">
        <v>467</v>
      </c>
      <c r="I74" t="s">
        <v>467</v>
      </c>
    </row>
    <row r="75" spans="1:10" x14ac:dyDescent="0.3">
      <c r="A75">
        <v>326</v>
      </c>
      <c r="B75" s="155">
        <v>45632.354398148098</v>
      </c>
      <c r="C75" s="155">
        <v>45632.357604166697</v>
      </c>
      <c r="D75" t="s">
        <v>619</v>
      </c>
      <c r="E75" t="s">
        <v>527</v>
      </c>
      <c r="F75" t="s">
        <v>467</v>
      </c>
      <c r="G75" t="s">
        <v>467</v>
      </c>
      <c r="H75" t="s">
        <v>595</v>
      </c>
      <c r="I75" t="s">
        <v>467</v>
      </c>
      <c r="J75" t="s">
        <v>620</v>
      </c>
    </row>
    <row r="76" spans="1:10" x14ac:dyDescent="0.3">
      <c r="A76">
        <v>327</v>
      </c>
      <c r="B76" s="155">
        <v>45632.363599536999</v>
      </c>
      <c r="C76" s="155">
        <v>45632.363807870403</v>
      </c>
      <c r="D76" t="s">
        <v>158</v>
      </c>
      <c r="E76" t="s">
        <v>157</v>
      </c>
      <c r="F76" t="s">
        <v>467</v>
      </c>
      <c r="G76" t="s">
        <v>467</v>
      </c>
      <c r="H76" t="s">
        <v>469</v>
      </c>
      <c r="I76" t="s">
        <v>467</v>
      </c>
    </row>
    <row r="77" spans="1:10" x14ac:dyDescent="0.3">
      <c r="A77">
        <v>328</v>
      </c>
      <c r="B77" s="155">
        <v>45632.364155092597</v>
      </c>
      <c r="C77" s="155">
        <v>45632.364988425899</v>
      </c>
      <c r="D77" t="s">
        <v>61</v>
      </c>
      <c r="E77" t="s">
        <v>60</v>
      </c>
      <c r="F77" t="s">
        <v>467</v>
      </c>
      <c r="G77" t="s">
        <v>467</v>
      </c>
      <c r="H77" t="s">
        <v>467</v>
      </c>
      <c r="I77" t="s">
        <v>467</v>
      </c>
    </row>
    <row r="78" spans="1:10" x14ac:dyDescent="0.3">
      <c r="A78">
        <v>329</v>
      </c>
      <c r="B78" s="155">
        <v>45632.363958333299</v>
      </c>
      <c r="C78" s="155">
        <v>45632.365370370397</v>
      </c>
      <c r="D78" t="s">
        <v>385</v>
      </c>
      <c r="E78" t="s">
        <v>384</v>
      </c>
      <c r="F78" t="s">
        <v>595</v>
      </c>
      <c r="G78" t="s">
        <v>595</v>
      </c>
      <c r="H78" t="s">
        <v>468</v>
      </c>
      <c r="I78" t="s">
        <v>468</v>
      </c>
    </row>
    <row r="79" spans="1:10" x14ac:dyDescent="0.3">
      <c r="A79">
        <v>330</v>
      </c>
      <c r="B79" s="155">
        <v>45632.369490740697</v>
      </c>
      <c r="C79" s="155">
        <v>45632.370844907397</v>
      </c>
      <c r="D79" t="s">
        <v>621</v>
      </c>
      <c r="E79" t="s">
        <v>72</v>
      </c>
      <c r="F79" t="s">
        <v>468</v>
      </c>
      <c r="G79" t="s">
        <v>468</v>
      </c>
      <c r="H79" t="s">
        <v>468</v>
      </c>
      <c r="I79" t="s">
        <v>468</v>
      </c>
    </row>
    <row r="80" spans="1:10" x14ac:dyDescent="0.3">
      <c r="A80">
        <v>331</v>
      </c>
      <c r="B80" s="155">
        <v>45632.374421296299</v>
      </c>
      <c r="C80" s="155">
        <v>45632.374606481499</v>
      </c>
      <c r="D80" t="s">
        <v>123</v>
      </c>
      <c r="E80" t="s">
        <v>122</v>
      </c>
      <c r="F80" t="s">
        <v>467</v>
      </c>
      <c r="G80" t="s">
        <v>467</v>
      </c>
      <c r="H80" t="s">
        <v>467</v>
      </c>
      <c r="I80" t="s">
        <v>467</v>
      </c>
    </row>
    <row r="81" spans="1:10" x14ac:dyDescent="0.3">
      <c r="A81">
        <v>332</v>
      </c>
      <c r="B81" s="155">
        <v>45632.3988888889</v>
      </c>
      <c r="C81" s="155">
        <v>45632.3996990741</v>
      </c>
      <c r="D81" t="s">
        <v>128</v>
      </c>
      <c r="E81" t="s">
        <v>127</v>
      </c>
      <c r="F81" t="s">
        <v>468</v>
      </c>
      <c r="G81" t="s">
        <v>468</v>
      </c>
      <c r="H81" t="s">
        <v>467</v>
      </c>
      <c r="I81" t="s">
        <v>468</v>
      </c>
      <c r="J81" t="s">
        <v>622</v>
      </c>
    </row>
    <row r="82" spans="1:10" x14ac:dyDescent="0.3">
      <c r="A82">
        <v>333</v>
      </c>
      <c r="B82" s="155">
        <v>45632.3666435185</v>
      </c>
      <c r="C82" s="155">
        <v>45632.403622685197</v>
      </c>
      <c r="D82" t="s">
        <v>238</v>
      </c>
      <c r="E82" t="s">
        <v>237</v>
      </c>
      <c r="F82" t="s">
        <v>467</v>
      </c>
      <c r="G82" t="s">
        <v>467</v>
      </c>
      <c r="H82" t="s">
        <v>467</v>
      </c>
      <c r="I82" t="s">
        <v>468</v>
      </c>
      <c r="J82" t="s">
        <v>623</v>
      </c>
    </row>
    <row r="83" spans="1:10" x14ac:dyDescent="0.3">
      <c r="A83">
        <v>334</v>
      </c>
      <c r="B83" s="155">
        <v>45632.429618055598</v>
      </c>
      <c r="C83" s="155">
        <v>45632.429976851803</v>
      </c>
      <c r="D83" t="s">
        <v>413</v>
      </c>
      <c r="E83" t="s">
        <v>412</v>
      </c>
      <c r="F83" t="s">
        <v>467</v>
      </c>
      <c r="G83" t="s">
        <v>467</v>
      </c>
      <c r="H83" t="s">
        <v>467</v>
      </c>
      <c r="I83" t="s">
        <v>467</v>
      </c>
    </row>
    <row r="84" spans="1:10" x14ac:dyDescent="0.3">
      <c r="A84">
        <v>335</v>
      </c>
      <c r="B84" s="155">
        <v>45632.436215277798</v>
      </c>
      <c r="C84" s="155">
        <v>45632.436805555597</v>
      </c>
      <c r="D84" t="s">
        <v>85</v>
      </c>
      <c r="E84" t="s">
        <v>84</v>
      </c>
      <c r="F84" t="s">
        <v>468</v>
      </c>
      <c r="G84" t="s">
        <v>468</v>
      </c>
      <c r="H84" t="s">
        <v>468</v>
      </c>
      <c r="I84" t="s">
        <v>468</v>
      </c>
    </row>
    <row r="85" spans="1:10" x14ac:dyDescent="0.3">
      <c r="A85">
        <v>336</v>
      </c>
      <c r="B85" s="155">
        <v>45632.444108796299</v>
      </c>
      <c r="C85" s="155">
        <v>45632.445972222202</v>
      </c>
      <c r="D85" t="s">
        <v>439</v>
      </c>
      <c r="E85" t="s">
        <v>438</v>
      </c>
      <c r="F85" t="s">
        <v>468</v>
      </c>
      <c r="G85" t="s">
        <v>468</v>
      </c>
      <c r="H85" t="s">
        <v>595</v>
      </c>
      <c r="I85" t="s">
        <v>468</v>
      </c>
    </row>
    <row r="86" spans="1:10" x14ac:dyDescent="0.3">
      <c r="A86">
        <v>337</v>
      </c>
      <c r="B86" s="155">
        <v>45632.448877314797</v>
      </c>
      <c r="C86" s="155">
        <v>45632.449293981503</v>
      </c>
      <c r="D86" t="s">
        <v>624</v>
      </c>
      <c r="E86" t="s">
        <v>625</v>
      </c>
      <c r="F86" t="s">
        <v>467</v>
      </c>
      <c r="G86" t="s">
        <v>467</v>
      </c>
      <c r="H86" t="s">
        <v>467</v>
      </c>
      <c r="I86" t="s">
        <v>467</v>
      </c>
    </row>
    <row r="87" spans="1:10" x14ac:dyDescent="0.3">
      <c r="A87">
        <v>338</v>
      </c>
      <c r="B87" s="155">
        <v>45632.464548611097</v>
      </c>
      <c r="C87" s="155">
        <v>45632.465428240699</v>
      </c>
      <c r="D87" t="s">
        <v>369</v>
      </c>
      <c r="E87" t="s">
        <v>368</v>
      </c>
      <c r="F87" t="s">
        <v>467</v>
      </c>
      <c r="G87" t="s">
        <v>468</v>
      </c>
      <c r="H87" t="s">
        <v>467</v>
      </c>
      <c r="I87" t="s">
        <v>468</v>
      </c>
    </row>
    <row r="88" spans="1:10" x14ac:dyDescent="0.3">
      <c r="A88">
        <v>339</v>
      </c>
      <c r="B88" s="155">
        <v>45632.443564814799</v>
      </c>
      <c r="C88" s="155">
        <v>45632.488726851901</v>
      </c>
      <c r="D88" t="s">
        <v>576</v>
      </c>
      <c r="E88" t="s">
        <v>575</v>
      </c>
      <c r="F88" t="s">
        <v>467</v>
      </c>
      <c r="G88" t="s">
        <v>595</v>
      </c>
      <c r="H88" t="s">
        <v>467</v>
      </c>
      <c r="I88" t="s">
        <v>468</v>
      </c>
    </row>
    <row r="89" spans="1:10" x14ac:dyDescent="0.3">
      <c r="A89">
        <v>340</v>
      </c>
      <c r="B89" s="155">
        <v>45632.498553240701</v>
      </c>
      <c r="C89" s="155">
        <v>45632.513622685197</v>
      </c>
      <c r="D89" t="s">
        <v>435</v>
      </c>
      <c r="E89" t="s">
        <v>434</v>
      </c>
      <c r="F89" t="s">
        <v>467</v>
      </c>
      <c r="G89" t="s">
        <v>467</v>
      </c>
      <c r="H89" t="s">
        <v>467</v>
      </c>
      <c r="I89" t="s">
        <v>467</v>
      </c>
    </row>
    <row r="90" spans="1:10" x14ac:dyDescent="0.3">
      <c r="A90">
        <v>341</v>
      </c>
      <c r="B90" s="155">
        <v>45632.523715277799</v>
      </c>
      <c r="C90" s="155">
        <v>45632.524097222202</v>
      </c>
      <c r="D90" t="s">
        <v>332</v>
      </c>
      <c r="E90" t="s">
        <v>626</v>
      </c>
      <c r="F90" t="s">
        <v>467</v>
      </c>
      <c r="G90" t="s">
        <v>467</v>
      </c>
      <c r="H90" t="s">
        <v>468</v>
      </c>
      <c r="I90" t="s">
        <v>467</v>
      </c>
    </row>
    <row r="91" spans="1:10" x14ac:dyDescent="0.3">
      <c r="A91">
        <v>342</v>
      </c>
      <c r="B91" s="155">
        <v>45632.539340277799</v>
      </c>
      <c r="C91" s="155">
        <v>45632.539861111101</v>
      </c>
      <c r="D91" t="s">
        <v>202</v>
      </c>
      <c r="E91" t="s">
        <v>201</v>
      </c>
      <c r="F91" t="s">
        <v>468</v>
      </c>
      <c r="G91" t="s">
        <v>468</v>
      </c>
      <c r="H91" t="s">
        <v>468</v>
      </c>
      <c r="I91" t="s">
        <v>468</v>
      </c>
    </row>
    <row r="92" spans="1:10" x14ac:dyDescent="0.3">
      <c r="A92">
        <v>343</v>
      </c>
      <c r="B92" s="155">
        <v>45632.640682870398</v>
      </c>
      <c r="C92" s="155">
        <v>45632.6417476852</v>
      </c>
      <c r="D92" t="s">
        <v>167</v>
      </c>
      <c r="E92" t="s">
        <v>166</v>
      </c>
      <c r="F92" t="s">
        <v>467</v>
      </c>
      <c r="G92" t="s">
        <v>467</v>
      </c>
      <c r="H92" t="s">
        <v>467</v>
      </c>
      <c r="I92" t="s">
        <v>595</v>
      </c>
      <c r="J92" s="108" t="s">
        <v>627</v>
      </c>
    </row>
    <row r="93" spans="1:10" x14ac:dyDescent="0.3">
      <c r="A93">
        <v>344</v>
      </c>
      <c r="B93" s="155">
        <v>45633.3445138889</v>
      </c>
      <c r="C93" s="155">
        <v>45633.345543981501</v>
      </c>
      <c r="D93" t="s">
        <v>628</v>
      </c>
      <c r="E93" t="s">
        <v>523</v>
      </c>
      <c r="F93" t="s">
        <v>467</v>
      </c>
      <c r="G93" t="s">
        <v>595</v>
      </c>
      <c r="H93" t="s">
        <v>595</v>
      </c>
      <c r="I93" t="s">
        <v>595</v>
      </c>
    </row>
    <row r="94" spans="1:10" x14ac:dyDescent="0.3">
      <c r="A94">
        <v>345</v>
      </c>
      <c r="B94" s="155">
        <v>45633.510046296302</v>
      </c>
      <c r="C94" s="155">
        <v>45633.510636574101</v>
      </c>
      <c r="D94" t="s">
        <v>115</v>
      </c>
      <c r="E94" t="s">
        <v>114</v>
      </c>
      <c r="F94" t="s">
        <v>468</v>
      </c>
      <c r="G94" t="s">
        <v>468</v>
      </c>
      <c r="H94" t="s">
        <v>467</v>
      </c>
      <c r="I94" t="s">
        <v>468</v>
      </c>
    </row>
    <row r="95" spans="1:10" x14ac:dyDescent="0.3">
      <c r="A95">
        <v>346</v>
      </c>
      <c r="B95" s="155">
        <v>45633.702743055597</v>
      </c>
      <c r="C95" s="155">
        <v>45633.703356481499</v>
      </c>
      <c r="D95" t="s">
        <v>629</v>
      </c>
      <c r="E95" t="s">
        <v>295</v>
      </c>
      <c r="F95" t="s">
        <v>467</v>
      </c>
      <c r="G95" t="s">
        <v>467</v>
      </c>
      <c r="H95" t="s">
        <v>467</v>
      </c>
      <c r="I95" t="s">
        <v>467</v>
      </c>
    </row>
    <row r="96" spans="1:10" x14ac:dyDescent="0.3">
      <c r="A96">
        <v>347</v>
      </c>
      <c r="B96" s="155">
        <v>45634.725914351897</v>
      </c>
      <c r="C96" s="155">
        <v>45634.726331018501</v>
      </c>
      <c r="D96" t="s">
        <v>267</v>
      </c>
      <c r="E96" t="s">
        <v>630</v>
      </c>
      <c r="F96" t="s">
        <v>468</v>
      </c>
      <c r="G96" t="s">
        <v>468</v>
      </c>
      <c r="H96" t="s">
        <v>467</v>
      </c>
      <c r="I96" t="s">
        <v>468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16</xdr:col>
                    <xdr:colOff>190500</xdr:colOff>
                    <xdr:row>9</xdr:row>
                    <xdr:rowOff>83820</xdr:rowOff>
                  </from>
                  <to>
                    <xdr:col>17</xdr:col>
                    <xdr:colOff>327660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38" zoomScale="86" workbookViewId="0">
      <selection activeCell="H14" sqref="H14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45" t="s">
        <v>479</v>
      </c>
      <c r="H5" s="45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516</v>
      </c>
      <c r="BG5" s="186"/>
      <c r="BH5" s="186"/>
      <c r="BI5" s="186"/>
      <c r="BJ5" s="186"/>
      <c r="BK5" s="187"/>
      <c r="BL5" s="186" t="s">
        <v>517</v>
      </c>
      <c r="BM5" s="186"/>
      <c r="BN5" s="186"/>
      <c r="BO5" s="186"/>
      <c r="BP5" s="186"/>
      <c r="BQ5" s="187"/>
      <c r="BR5" s="186" t="s">
        <v>518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46" t="s">
        <v>480</v>
      </c>
      <c r="F6" s="46" t="s">
        <v>490</v>
      </c>
      <c r="G6" s="46" t="s">
        <v>480</v>
      </c>
      <c r="H6" s="46" t="s">
        <v>490</v>
      </c>
      <c r="I6" s="18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K15">
        <v>1</v>
      </c>
      <c r="L15">
        <v>6</v>
      </c>
      <c r="M15">
        <v>45</v>
      </c>
      <c r="N15">
        <v>33</v>
      </c>
      <c r="O15">
        <v>3</v>
      </c>
      <c r="P15" s="56"/>
      <c r="Q15">
        <v>1</v>
      </c>
      <c r="R15">
        <v>5</v>
      </c>
      <c r="S15">
        <v>43</v>
      </c>
      <c r="T15">
        <v>31</v>
      </c>
      <c r="U15" s="57">
        <v>8</v>
      </c>
      <c r="V15" s="56"/>
      <c r="W15">
        <v>1</v>
      </c>
      <c r="X15">
        <v>4</v>
      </c>
      <c r="Y15">
        <v>41</v>
      </c>
      <c r="Z15">
        <v>27</v>
      </c>
      <c r="AA15" s="57">
        <v>15</v>
      </c>
      <c r="AB15" s="56"/>
      <c r="AC15">
        <v>1</v>
      </c>
      <c r="AD15">
        <v>4</v>
      </c>
      <c r="AE15">
        <v>34</v>
      </c>
      <c r="AF15">
        <v>45</v>
      </c>
      <c r="AG15" s="57">
        <v>4</v>
      </c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500</v>
      </c>
      <c r="C20" s="74"/>
      <c r="E20" s="72"/>
      <c r="F20" s="72"/>
      <c r="G20" s="72"/>
      <c r="H20" s="72"/>
    </row>
    <row r="22" spans="2:75" x14ac:dyDescent="0.3">
      <c r="B22" s="182" t="s">
        <v>474</v>
      </c>
      <c r="C22" s="182" t="s">
        <v>5</v>
      </c>
      <c r="D22" s="182" t="s">
        <v>475</v>
      </c>
      <c r="E22" s="181" t="s">
        <v>476</v>
      </c>
      <c r="F22" s="181"/>
      <c r="G22" s="181"/>
      <c r="H22" s="181"/>
      <c r="I22" s="198" t="s">
        <v>477</v>
      </c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</row>
    <row r="23" spans="2:75" x14ac:dyDescent="0.3">
      <c r="B23" s="182"/>
      <c r="C23" s="182"/>
      <c r="D23" s="182"/>
      <c r="E23" s="181" t="s">
        <v>478</v>
      </c>
      <c r="F23" s="181"/>
      <c r="G23" s="45" t="s">
        <v>479</v>
      </c>
      <c r="H23" s="45"/>
      <c r="I23" s="184" t="s">
        <v>480</v>
      </c>
      <c r="J23" s="185" t="s">
        <v>481</v>
      </c>
      <c r="K23" s="186"/>
      <c r="L23" s="186"/>
      <c r="M23" s="186"/>
      <c r="N23" s="186"/>
      <c r="O23" s="186"/>
      <c r="P23" s="186" t="s">
        <v>482</v>
      </c>
      <c r="Q23" s="186"/>
      <c r="R23" s="186"/>
      <c r="S23" s="186"/>
      <c r="T23" s="186"/>
      <c r="U23" s="186"/>
      <c r="V23" s="186" t="s">
        <v>483</v>
      </c>
      <c r="W23" s="186"/>
      <c r="X23" s="186"/>
      <c r="Y23" s="186"/>
      <c r="Z23" s="186"/>
      <c r="AA23" s="186"/>
      <c r="AB23" s="186" t="s">
        <v>484</v>
      </c>
      <c r="AC23" s="186"/>
      <c r="AD23" s="186"/>
      <c r="AE23" s="186"/>
      <c r="AF23" s="186"/>
      <c r="AG23" s="186"/>
      <c r="AH23" s="186" t="s">
        <v>485</v>
      </c>
      <c r="AI23" s="186"/>
      <c r="AJ23" s="186"/>
      <c r="AK23" s="186"/>
      <c r="AL23" s="186"/>
      <c r="AM23" s="186"/>
      <c r="AN23" s="186" t="s">
        <v>486</v>
      </c>
      <c r="AO23" s="186"/>
      <c r="AP23" s="186"/>
      <c r="AQ23" s="186"/>
      <c r="AR23" s="186"/>
      <c r="AS23" s="186"/>
      <c r="AT23" s="186" t="s">
        <v>487</v>
      </c>
      <c r="AU23" s="186"/>
      <c r="AV23" s="186"/>
      <c r="AW23" s="186"/>
      <c r="AX23" s="186"/>
      <c r="AY23" s="186"/>
      <c r="AZ23" s="186" t="s">
        <v>488</v>
      </c>
      <c r="BA23" s="186"/>
      <c r="BB23" s="186"/>
      <c r="BC23" s="186"/>
      <c r="BD23" s="186"/>
      <c r="BE23" s="187"/>
      <c r="BF23" s="186" t="s">
        <v>516</v>
      </c>
      <c r="BG23" s="186"/>
      <c r="BH23" s="186"/>
      <c r="BI23" s="186"/>
      <c r="BJ23" s="186"/>
      <c r="BK23" s="187"/>
      <c r="BL23" s="186" t="s">
        <v>517</v>
      </c>
      <c r="BM23" s="186"/>
      <c r="BN23" s="186"/>
      <c r="BO23" s="186"/>
      <c r="BP23" s="186"/>
      <c r="BQ23" s="187"/>
      <c r="BR23" s="186" t="s">
        <v>518</v>
      </c>
      <c r="BS23" s="186"/>
      <c r="BT23" s="186"/>
      <c r="BU23" s="186"/>
      <c r="BV23" s="186"/>
      <c r="BW23" s="187"/>
    </row>
    <row r="24" spans="2:75" x14ac:dyDescent="0.3">
      <c r="B24" s="183"/>
      <c r="C24" s="183"/>
      <c r="D24" s="183"/>
      <c r="E24" s="46" t="s">
        <v>480</v>
      </c>
      <c r="F24" s="46" t="s">
        <v>490</v>
      </c>
      <c r="G24" s="46" t="s">
        <v>480</v>
      </c>
      <c r="H24" s="46" t="s">
        <v>490</v>
      </c>
      <c r="I24" s="184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2.3529411764705882E-2</v>
      </c>
      <c r="L33" s="78">
        <f t="shared" si="3"/>
        <v>0.21176470588235294</v>
      </c>
      <c r="M33" s="78">
        <f t="shared" si="3"/>
        <v>2.1176470588235294</v>
      </c>
      <c r="N33" s="78">
        <f t="shared" si="3"/>
        <v>1.9411764705882353</v>
      </c>
      <c r="O33" s="78">
        <f t="shared" si="3"/>
        <v>0</v>
      </c>
      <c r="P33" s="77">
        <f t="shared" si="4"/>
        <v>0</v>
      </c>
      <c r="Q33" s="78">
        <f t="shared" si="4"/>
        <v>2.5000000000000001E-2</v>
      </c>
      <c r="R33" s="78">
        <f t="shared" si="4"/>
        <v>0.1875</v>
      </c>
      <c r="S33" s="78">
        <f t="shared" si="4"/>
        <v>2.15</v>
      </c>
      <c r="T33" s="78">
        <f t="shared" si="4"/>
        <v>1.9375</v>
      </c>
      <c r="U33" s="78">
        <f t="shared" si="4"/>
        <v>0</v>
      </c>
      <c r="V33" s="77">
        <f t="shared" si="5"/>
        <v>0</v>
      </c>
      <c r="W33" s="78">
        <f t="shared" si="5"/>
        <v>2.7397260273972601E-2</v>
      </c>
      <c r="X33" s="78">
        <f t="shared" si="5"/>
        <v>0.16438356164383561</v>
      </c>
      <c r="Y33" s="78">
        <f t="shared" si="5"/>
        <v>2.2465753424657535</v>
      </c>
      <c r="Z33" s="78">
        <f t="shared" si="5"/>
        <v>1.8493150684931507</v>
      </c>
      <c r="AA33" s="78">
        <f t="shared" si="5"/>
        <v>0</v>
      </c>
      <c r="AB33" s="77">
        <f t="shared" si="20"/>
        <v>0</v>
      </c>
      <c r="AC33" s="78">
        <f t="shared" si="20"/>
        <v>2.3809523809523808E-2</v>
      </c>
      <c r="AD33" s="78">
        <f t="shared" si="20"/>
        <v>0.14285714285714285</v>
      </c>
      <c r="AE33" s="78">
        <f t="shared" si="20"/>
        <v>1.6190476190476191</v>
      </c>
      <c r="AF33" s="78">
        <f t="shared" si="20"/>
        <v>2.6785714285714284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501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88" t="s">
        <v>474</v>
      </c>
      <c r="F43" s="190" t="s">
        <v>5</v>
      </c>
      <c r="G43" s="191"/>
      <c r="H43" s="191"/>
      <c r="I43" s="192"/>
      <c r="J43" s="196" t="s">
        <v>502</v>
      </c>
      <c r="K43" s="197"/>
      <c r="L43" s="197"/>
      <c r="M43" s="197"/>
      <c r="N43" s="197"/>
      <c r="O43" s="197"/>
      <c r="P43" s="197"/>
      <c r="Q43" s="197"/>
      <c r="R43" s="197"/>
      <c r="S43" s="197"/>
      <c r="T43" s="197"/>
    </row>
    <row r="44" spans="2:75" x14ac:dyDescent="0.3">
      <c r="E44" s="189"/>
      <c r="F44" s="193"/>
      <c r="G44" s="194"/>
      <c r="H44" s="194"/>
      <c r="I44" s="195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503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45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24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32</v>
      </c>
      <c r="I53" s="95"/>
      <c r="J53" s="96">
        <f t="shared" si="51"/>
        <v>4.2941176470588234</v>
      </c>
      <c r="K53" s="96">
        <f t="shared" si="52"/>
        <v>4.3</v>
      </c>
      <c r="L53" s="96">
        <f t="shared" si="53"/>
        <v>4.2876712328767121</v>
      </c>
      <c r="M53" s="96">
        <f t="shared" si="54"/>
        <v>4.4642857142857144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4.3365186485553124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81" t="s">
        <v>489</v>
      </c>
      <c r="K57" s="181"/>
      <c r="L57" s="181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504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14" sqref="J14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45" t="s">
        <v>479</v>
      </c>
      <c r="H5" s="45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516</v>
      </c>
      <c r="BG5" s="186"/>
      <c r="BH5" s="186"/>
      <c r="BI5" s="186"/>
      <c r="BJ5" s="186"/>
      <c r="BK5" s="187"/>
      <c r="BL5" s="186" t="s">
        <v>517</v>
      </c>
      <c r="BM5" s="186"/>
      <c r="BN5" s="186"/>
      <c r="BO5" s="186"/>
      <c r="BP5" s="186"/>
      <c r="BQ5" s="187"/>
      <c r="BR5" s="186" t="s">
        <v>518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46" t="s">
        <v>480</v>
      </c>
      <c r="F6" s="46" t="s">
        <v>490</v>
      </c>
      <c r="G6" s="46" t="s">
        <v>480</v>
      </c>
      <c r="H6" s="46" t="s">
        <v>490</v>
      </c>
      <c r="I6" s="18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K7">
        <v>1</v>
      </c>
      <c r="M7">
        <v>8</v>
      </c>
      <c r="N7">
        <v>7</v>
      </c>
      <c r="O7">
        <v>1</v>
      </c>
      <c r="P7" s="56"/>
      <c r="Q7">
        <v>1</v>
      </c>
      <c r="S7">
        <v>8</v>
      </c>
      <c r="T7">
        <v>6</v>
      </c>
      <c r="U7" s="57">
        <v>2</v>
      </c>
      <c r="V7" s="56"/>
      <c r="W7">
        <v>1</v>
      </c>
      <c r="Y7">
        <v>8</v>
      </c>
      <c r="Z7">
        <v>4</v>
      </c>
      <c r="AA7" s="57">
        <v>4</v>
      </c>
      <c r="AB7" s="56"/>
      <c r="AC7">
        <v>1</v>
      </c>
      <c r="AE7">
        <v>6</v>
      </c>
      <c r="AF7">
        <v>10</v>
      </c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L8">
        <v>2</v>
      </c>
      <c r="M8">
        <v>9</v>
      </c>
      <c r="N8">
        <v>7</v>
      </c>
      <c r="O8">
        <v>1</v>
      </c>
      <c r="P8" s="56"/>
      <c r="R8">
        <v>2</v>
      </c>
      <c r="S8">
        <v>10</v>
      </c>
      <c r="T8">
        <v>7</v>
      </c>
      <c r="U8" s="57"/>
      <c r="V8" s="56"/>
      <c r="X8">
        <v>1</v>
      </c>
      <c r="Y8">
        <v>9</v>
      </c>
      <c r="Z8">
        <v>6</v>
      </c>
      <c r="AA8" s="57">
        <v>3</v>
      </c>
      <c r="AB8" s="56"/>
      <c r="AD8">
        <v>2</v>
      </c>
      <c r="AE8">
        <v>9</v>
      </c>
      <c r="AF8">
        <v>8</v>
      </c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M9">
        <v>4</v>
      </c>
      <c r="N9">
        <v>7</v>
      </c>
      <c r="P9" s="56"/>
      <c r="S9">
        <v>4</v>
      </c>
      <c r="T9">
        <v>7</v>
      </c>
      <c r="U9" s="57"/>
      <c r="V9" s="56"/>
      <c r="Y9">
        <v>4</v>
      </c>
      <c r="Z9">
        <v>6</v>
      </c>
      <c r="AA9" s="57">
        <v>1</v>
      </c>
      <c r="AB9" s="56"/>
      <c r="AE9">
        <v>3</v>
      </c>
      <c r="AF9">
        <v>8</v>
      </c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L10">
        <v>1</v>
      </c>
      <c r="M10">
        <v>8</v>
      </c>
      <c r="N10">
        <v>4</v>
      </c>
      <c r="P10" s="56"/>
      <c r="R10">
        <v>1</v>
      </c>
      <c r="S10">
        <v>8</v>
      </c>
      <c r="T10">
        <v>3</v>
      </c>
      <c r="U10" s="57">
        <v>1</v>
      </c>
      <c r="V10" s="56"/>
      <c r="X10">
        <v>1</v>
      </c>
      <c r="Y10">
        <v>7</v>
      </c>
      <c r="Z10">
        <v>4</v>
      </c>
      <c r="AA10" s="57">
        <v>1</v>
      </c>
      <c r="AB10" s="56"/>
      <c r="AE10">
        <v>4</v>
      </c>
      <c r="AF10">
        <v>8</v>
      </c>
      <c r="AG10" s="57">
        <v>1</v>
      </c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L11">
        <v>3</v>
      </c>
      <c r="M11">
        <v>16</v>
      </c>
      <c r="N11">
        <v>8</v>
      </c>
      <c r="O11">
        <v>1</v>
      </c>
      <c r="P11" s="56"/>
      <c r="R11">
        <v>2</v>
      </c>
      <c r="S11">
        <v>13</v>
      </c>
      <c r="T11">
        <v>8</v>
      </c>
      <c r="U11" s="57">
        <v>5</v>
      </c>
      <c r="V11" s="56"/>
      <c r="X11">
        <v>2</v>
      </c>
      <c r="Y11">
        <v>13</v>
      </c>
      <c r="Z11">
        <v>7</v>
      </c>
      <c r="AA11" s="57">
        <v>6</v>
      </c>
      <c r="AB11" s="56"/>
      <c r="AD11">
        <v>2</v>
      </c>
      <c r="AE11">
        <v>12</v>
      </c>
      <c r="AF11">
        <v>11</v>
      </c>
      <c r="AG11" s="57">
        <v>3</v>
      </c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581</v>
      </c>
      <c r="C14" s="74"/>
      <c r="E14" s="72"/>
      <c r="F14" s="72"/>
      <c r="G14" s="72"/>
      <c r="H14" s="72"/>
      <c r="O14" t="s">
        <v>582</v>
      </c>
    </row>
    <row r="16" spans="2:83" x14ac:dyDescent="0.3">
      <c r="B16" s="182" t="s">
        <v>474</v>
      </c>
      <c r="C16" s="182" t="s">
        <v>5</v>
      </c>
      <c r="D16" s="182" t="s">
        <v>475</v>
      </c>
      <c r="E16" s="181" t="s">
        <v>476</v>
      </c>
      <c r="F16" s="181"/>
      <c r="G16" s="181"/>
      <c r="H16" s="181"/>
      <c r="I16" s="198" t="s">
        <v>477</v>
      </c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</row>
    <row r="17" spans="2:75" x14ac:dyDescent="0.3">
      <c r="B17" s="182"/>
      <c r="C17" s="182"/>
      <c r="D17" s="182"/>
      <c r="E17" s="181" t="s">
        <v>478</v>
      </c>
      <c r="F17" s="181"/>
      <c r="G17" s="45" t="s">
        <v>479</v>
      </c>
      <c r="H17" s="45"/>
      <c r="I17" s="184" t="s">
        <v>480</v>
      </c>
      <c r="J17" s="185" t="s">
        <v>481</v>
      </c>
      <c r="K17" s="186"/>
      <c r="L17" s="186"/>
      <c r="M17" s="186"/>
      <c r="N17" s="186"/>
      <c r="O17" s="186"/>
      <c r="P17" s="186" t="s">
        <v>482</v>
      </c>
      <c r="Q17" s="186"/>
      <c r="R17" s="186"/>
      <c r="S17" s="186"/>
      <c r="T17" s="186"/>
      <c r="U17" s="186"/>
      <c r="V17" s="186" t="s">
        <v>483</v>
      </c>
      <c r="W17" s="186"/>
      <c r="X17" s="186"/>
      <c r="Y17" s="186"/>
      <c r="Z17" s="186"/>
      <c r="AA17" s="186"/>
      <c r="AB17" s="186" t="s">
        <v>484</v>
      </c>
      <c r="AC17" s="186"/>
      <c r="AD17" s="186"/>
      <c r="AE17" s="186"/>
      <c r="AF17" s="186"/>
      <c r="AG17" s="186"/>
      <c r="AH17" s="186" t="s">
        <v>485</v>
      </c>
      <c r="AI17" s="186"/>
      <c r="AJ17" s="186"/>
      <c r="AK17" s="186"/>
      <c r="AL17" s="186"/>
      <c r="AM17" s="186"/>
      <c r="AN17" s="186" t="s">
        <v>486</v>
      </c>
      <c r="AO17" s="186"/>
      <c r="AP17" s="186"/>
      <c r="AQ17" s="186"/>
      <c r="AR17" s="186"/>
      <c r="AS17" s="186"/>
      <c r="AT17" s="186" t="s">
        <v>487</v>
      </c>
      <c r="AU17" s="186"/>
      <c r="AV17" s="186"/>
      <c r="AW17" s="186"/>
      <c r="AX17" s="186"/>
      <c r="AY17" s="186"/>
      <c r="AZ17" s="186" t="s">
        <v>488</v>
      </c>
      <c r="BA17" s="186"/>
      <c r="BB17" s="186"/>
      <c r="BC17" s="186"/>
      <c r="BD17" s="186"/>
      <c r="BE17" s="187"/>
      <c r="BF17" s="186" t="s">
        <v>516</v>
      </c>
      <c r="BG17" s="186"/>
      <c r="BH17" s="186"/>
      <c r="BI17" s="186"/>
      <c r="BJ17" s="186"/>
      <c r="BK17" s="187"/>
      <c r="BL17" s="186" t="s">
        <v>517</v>
      </c>
      <c r="BM17" s="186"/>
      <c r="BN17" s="186"/>
      <c r="BO17" s="186"/>
      <c r="BP17" s="186"/>
      <c r="BQ17" s="187"/>
      <c r="BR17" s="186" t="s">
        <v>518</v>
      </c>
      <c r="BS17" s="186"/>
      <c r="BT17" s="186"/>
      <c r="BU17" s="186"/>
      <c r="BV17" s="186"/>
      <c r="BW17" s="187"/>
    </row>
    <row r="18" spans="2:75" x14ac:dyDescent="0.3">
      <c r="B18" s="183"/>
      <c r="C18" s="183"/>
      <c r="D18" s="183"/>
      <c r="E18" s="46" t="s">
        <v>480</v>
      </c>
      <c r="F18" s="46" t="s">
        <v>490</v>
      </c>
      <c r="G18" s="46" t="s">
        <v>480</v>
      </c>
      <c r="H18" s="46" t="s">
        <v>490</v>
      </c>
      <c r="I18" s="184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0.125</v>
      </c>
      <c r="L19" s="78">
        <f t="shared" si="1"/>
        <v>0</v>
      </c>
      <c r="M19" s="78">
        <f>IF(AND(M7&lt;&gt;"",M7&gt;0),(VLOOKUP(M$6,$CC$6:$CE$12,3,0)*M7)/SUM($J7:$N7),0)</f>
        <v>2</v>
      </c>
      <c r="N19" s="78">
        <f>IF(AND(N7&lt;&gt;"",N7&gt;0),(VLOOKUP(N$6,$CC$6:$CE$12,3,0)*N7)/SUM($J7:$N7),0)</f>
        <v>2.1875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0.13333333333333333</v>
      </c>
      <c r="R19" s="78">
        <f t="shared" si="2"/>
        <v>0</v>
      </c>
      <c r="S19" s="78">
        <f t="shared" si="2"/>
        <v>2.1333333333333333</v>
      </c>
      <c r="T19" s="78">
        <f t="shared" si="2"/>
        <v>2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0.15384615384615385</v>
      </c>
      <c r="X19" s="78">
        <f t="shared" si="4"/>
        <v>0</v>
      </c>
      <c r="Y19" s="78">
        <f t="shared" si="4"/>
        <v>2.4615384615384617</v>
      </c>
      <c r="Z19" s="78">
        <f t="shared" si="4"/>
        <v>1.5384615384615385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0.11764705882352941</v>
      </c>
      <c r="AD19" s="78">
        <f t="shared" si="5"/>
        <v>0</v>
      </c>
      <c r="AE19" s="78">
        <f t="shared" si="5"/>
        <v>1.411764705882353</v>
      </c>
      <c r="AF19" s="78">
        <f t="shared" si="5"/>
        <v>2.9411764705882355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0.33333333333333331</v>
      </c>
      <c r="M20" s="78">
        <f>IF(AND(M8&lt;&gt;"",M8&gt;0),(VLOOKUP(M$6,$CC$6:$CE$12,3,0)*M8)/SUM($J8:$N8),0)</f>
        <v>2</v>
      </c>
      <c r="N20" s="78">
        <f t="shared" ref="N20" si="13">IF(AND(N8&lt;&gt;"",N8&gt;0),(VLOOKUP(N$6,$CC$6:$CE$12,3,0)*N8)/SUM($J8:$N8),0)</f>
        <v>1.9444444444444444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0.31578947368421051</v>
      </c>
      <c r="S20" s="78">
        <f t="shared" si="2"/>
        <v>2.1052631578947367</v>
      </c>
      <c r="T20" s="78">
        <f t="shared" si="2"/>
        <v>1.8421052631578947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0.1875</v>
      </c>
      <c r="Y20" s="78">
        <f t="shared" si="4"/>
        <v>2.25</v>
      </c>
      <c r="Z20" s="78">
        <f t="shared" si="4"/>
        <v>1.875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0.31578947368421051</v>
      </c>
      <c r="AE20" s="78">
        <f t="shared" si="5"/>
        <v>1.8947368421052631</v>
      </c>
      <c r="AF20" s="78">
        <f t="shared" si="5"/>
        <v>2.1052631578947367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1.4545454545454546</v>
      </c>
      <c r="N21" s="78">
        <f t="shared" si="23"/>
        <v>3.1818181818181817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1.4545454545454546</v>
      </c>
      <c r="T21" s="78">
        <f t="shared" si="2"/>
        <v>3.1818181818181817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1.6</v>
      </c>
      <c r="Z21" s="78">
        <f t="shared" si="4"/>
        <v>3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1.0909090909090908</v>
      </c>
      <c r="AF21" s="78">
        <f t="shared" si="5"/>
        <v>3.6363636363636362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0.23076923076923078</v>
      </c>
      <c r="M22" s="78">
        <f t="shared" ref="M22:N22" si="27">IF(AND(M10&lt;&gt;"",M10&gt;0),(VLOOKUP(M$6,$CC$6:$CE$12,3,0)*M10)/SUM($J10:$N10),0)</f>
        <v>2.4615384615384617</v>
      </c>
      <c r="N22" s="78">
        <f t="shared" si="27"/>
        <v>1.5384615384615385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0.25</v>
      </c>
      <c r="S22" s="78">
        <f t="shared" si="2"/>
        <v>2.6666666666666665</v>
      </c>
      <c r="T22" s="78">
        <f t="shared" si="2"/>
        <v>1.25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0.25</v>
      </c>
      <c r="Y22" s="78">
        <f t="shared" si="4"/>
        <v>2.3333333333333335</v>
      </c>
      <c r="Z22" s="78">
        <f t="shared" si="4"/>
        <v>1.6666666666666667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1.3333333333333333</v>
      </c>
      <c r="AF22" s="78">
        <f t="shared" si="5"/>
        <v>3.3333333333333335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0.33333333333333331</v>
      </c>
      <c r="M23" s="78">
        <f t="shared" ref="M23:N23" si="30">IF(AND(M11&lt;&gt;"",M11&gt;0),(VLOOKUP(M$6,$CC$6:$CE$12,3,0)*M11)/SUM($J11:$N11),0)</f>
        <v>2.3703703703703702</v>
      </c>
      <c r="N23" s="78">
        <f t="shared" si="30"/>
        <v>1.4814814814814814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0.2608695652173913</v>
      </c>
      <c r="S23" s="78">
        <f t="shared" si="2"/>
        <v>2.2608695652173911</v>
      </c>
      <c r="T23" s="78">
        <f t="shared" si="2"/>
        <v>1.7391304347826086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0.27272727272727271</v>
      </c>
      <c r="Y23" s="78">
        <f t="shared" si="4"/>
        <v>2.3636363636363638</v>
      </c>
      <c r="Z23" s="78">
        <f t="shared" si="4"/>
        <v>1.5909090909090908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0.24</v>
      </c>
      <c r="AE23" s="78">
        <f t="shared" si="5"/>
        <v>1.92</v>
      </c>
      <c r="AF23" s="78">
        <f t="shared" si="5"/>
        <v>2.2000000000000002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501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88" t="s">
        <v>474</v>
      </c>
      <c r="F31" s="190" t="s">
        <v>5</v>
      </c>
      <c r="G31" s="191"/>
      <c r="H31" s="191"/>
      <c r="I31" s="192"/>
      <c r="J31" s="196" t="s">
        <v>502</v>
      </c>
      <c r="K31" s="197"/>
      <c r="L31" s="197"/>
      <c r="M31" s="197"/>
      <c r="N31" s="197"/>
      <c r="O31" s="197"/>
      <c r="P31" s="197"/>
      <c r="Q31" s="197"/>
      <c r="R31" s="197"/>
      <c r="S31" s="197"/>
      <c r="T31" s="197"/>
    </row>
    <row r="32" spans="2:75" x14ac:dyDescent="0.3">
      <c r="E32" s="189"/>
      <c r="F32" s="193"/>
      <c r="G32" s="194"/>
      <c r="H32" s="194"/>
      <c r="I32" s="195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503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4.3125</v>
      </c>
      <c r="K33" s="91">
        <f>SUM(P19:U19)</f>
        <v>4.2666666666666666</v>
      </c>
      <c r="L33" s="91">
        <f>SUM(V19:AA19)</f>
        <v>4.1538461538461542</v>
      </c>
      <c r="M33" s="91">
        <f>SUM(AB19:AG19)</f>
        <v>4.4705882352941178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4.3009002639517337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4.2777777777777777</v>
      </c>
      <c r="K34" s="96">
        <f>SUM(P20:U20)</f>
        <v>4.2631578947368425</v>
      </c>
      <c r="L34" s="96">
        <f>SUM(V20:AA20)</f>
        <v>4.3125</v>
      </c>
      <c r="M34" s="96">
        <f>SUM(AB20:AG20)</f>
        <v>4.3157894736842106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4.2923062865497084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4.6363636363636367</v>
      </c>
      <c r="K35" s="96">
        <f>SUM(P21:U21)</f>
        <v>4.6363636363636367</v>
      </c>
      <c r="L35" s="96">
        <f>SUM(V21:AA21)</f>
        <v>4.5999999999999996</v>
      </c>
      <c r="M35" s="96">
        <f>SUM(AB21:AG21)</f>
        <v>4.7272727272727266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4.6500000000000004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4.2307692307692308</v>
      </c>
      <c r="K36" s="96">
        <f>SUM(P22:U22)</f>
        <v>4.1666666666666661</v>
      </c>
      <c r="L36" s="96">
        <f>SUM(V22:AA22)</f>
        <v>4.25</v>
      </c>
      <c r="M36" s="96">
        <f>SUM(AB22:AG22)</f>
        <v>4.666666666666667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4.3285256410256414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4.1851851851851851</v>
      </c>
      <c r="K37" s="96">
        <f>SUM(P23:U23)</f>
        <v>4.2608695652173907</v>
      </c>
      <c r="L37" s="96">
        <f>SUM(V23:AA23)</f>
        <v>4.2272727272727275</v>
      </c>
      <c r="M37" s="96">
        <f>SUM(AB23:AG23)</f>
        <v>4.3600000000000003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4.2583318694188259</v>
      </c>
      <c r="V37" s="93"/>
      <c r="X37" s="99">
        <v>4.5289999999999999</v>
      </c>
    </row>
    <row r="39" spans="5:24" ht="15.6" x14ac:dyDescent="0.3">
      <c r="J39" s="181" t="s">
        <v>489</v>
      </c>
      <c r="K39" s="181"/>
      <c r="L39" s="181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504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514F9-C1E9-48B2-A5F5-2F050D57DE94}">
  <sheetPr codeName="Hoja4"/>
  <dimension ref="A1:L21"/>
  <sheetViews>
    <sheetView workbookViewId="0">
      <pane ySplit="1" topLeftCell="A2" activePane="bottomLeft" state="frozenSplit"/>
      <selection pane="bottomLeft" activeCell="A23" sqref="A23"/>
    </sheetView>
  </sheetViews>
  <sheetFormatPr baseColWidth="10" defaultRowHeight="14.4" x14ac:dyDescent="0.3"/>
  <cols>
    <col min="1" max="1" width="207.77734375" bestFit="1" customWidth="1"/>
  </cols>
  <sheetData>
    <row r="1" spans="1:12" x14ac:dyDescent="0.3">
      <c r="A1" s="154" t="s">
        <v>631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</row>
    <row r="3" spans="1:12" x14ac:dyDescent="0.3">
      <c r="A3" t="s">
        <v>594</v>
      </c>
    </row>
    <row r="4" spans="1:12" x14ac:dyDescent="0.3">
      <c r="A4" t="s">
        <v>596</v>
      </c>
    </row>
    <row r="5" spans="1:12" x14ac:dyDescent="0.3">
      <c r="A5" t="s">
        <v>597</v>
      </c>
    </row>
    <row r="6" spans="1:12" x14ac:dyDescent="0.3">
      <c r="A6" t="s">
        <v>599</v>
      </c>
    </row>
    <row r="7" spans="1:12" x14ac:dyDescent="0.3">
      <c r="A7" t="s">
        <v>600</v>
      </c>
    </row>
    <row r="8" spans="1:12" x14ac:dyDescent="0.3">
      <c r="A8" t="s">
        <v>467</v>
      </c>
    </row>
    <row r="9" spans="1:12" x14ac:dyDescent="0.3">
      <c r="A9" t="s">
        <v>603</v>
      </c>
    </row>
    <row r="10" spans="1:12" x14ac:dyDescent="0.3">
      <c r="A10" t="s">
        <v>604</v>
      </c>
    </row>
    <row r="11" spans="1:12" x14ac:dyDescent="0.3">
      <c r="A11" t="s">
        <v>605</v>
      </c>
    </row>
    <row r="12" spans="1:12" x14ac:dyDescent="0.3">
      <c r="A12" t="s">
        <v>608</v>
      </c>
    </row>
    <row r="13" spans="1:12" x14ac:dyDescent="0.3">
      <c r="A13" t="s">
        <v>609</v>
      </c>
    </row>
    <row r="14" spans="1:12" x14ac:dyDescent="0.3">
      <c r="A14" t="s">
        <v>610</v>
      </c>
    </row>
    <row r="15" spans="1:12" x14ac:dyDescent="0.3">
      <c r="A15" t="s">
        <v>612</v>
      </c>
    </row>
    <row r="16" spans="1:12" x14ac:dyDescent="0.3">
      <c r="A16" t="s">
        <v>613</v>
      </c>
    </row>
    <row r="17" spans="1:1" x14ac:dyDescent="0.3">
      <c r="A17" t="s">
        <v>615</v>
      </c>
    </row>
    <row r="18" spans="1:1" x14ac:dyDescent="0.3">
      <c r="A18" t="s">
        <v>620</v>
      </c>
    </row>
    <row r="19" spans="1:1" x14ac:dyDescent="0.3">
      <c r="A19" t="s">
        <v>622</v>
      </c>
    </row>
    <row r="20" spans="1:1" x14ac:dyDescent="0.3">
      <c r="A20" t="s">
        <v>623</v>
      </c>
    </row>
    <row r="21" spans="1:1" x14ac:dyDescent="0.3">
      <c r="A21" s="108" t="s">
        <v>627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62363-3350-44FD-BF16-22C8DB94B900}">
  <sheetPr codeName="Hoja5"/>
  <dimension ref="A1:I373"/>
  <sheetViews>
    <sheetView topLeftCell="B1" workbookViewId="0">
      <selection activeCell="H7" sqref="H7"/>
    </sheetView>
  </sheetViews>
  <sheetFormatPr baseColWidth="10" defaultRowHeight="14.4" x14ac:dyDescent="0.3"/>
  <cols>
    <col min="1" max="1" width="18.33203125" customWidth="1"/>
    <col min="8" max="8" width="45.88671875" bestFit="1" customWidth="1"/>
    <col min="9" max="9" width="18.5546875" bestFit="1" customWidth="1"/>
  </cols>
  <sheetData>
    <row r="1" spans="1:9" x14ac:dyDescent="0.3">
      <c r="A1" t="s">
        <v>586</v>
      </c>
      <c r="B1" t="s">
        <v>452</v>
      </c>
      <c r="C1" t="s">
        <v>634</v>
      </c>
      <c r="D1" t="s">
        <v>58</v>
      </c>
      <c r="E1" t="s">
        <v>5</v>
      </c>
      <c r="F1" t="s">
        <v>643</v>
      </c>
    </row>
    <row r="2" spans="1:9" x14ac:dyDescent="0.3">
      <c r="A2" s="156" t="s">
        <v>592</v>
      </c>
      <c r="B2" t="s">
        <v>33</v>
      </c>
      <c r="C2" s="159">
        <v>5</v>
      </c>
      <c r="D2" t="str">
        <f>VLOOKUP(A2,DataUsuario!B:D,2,FALSE)</f>
        <v>Gestión Humana y Sostenibilidad</v>
      </c>
      <c r="E2" t="str">
        <f>VLOOKUP(A2,DataUsuario!B:D,3,FALSE)</f>
        <v>Seguridad</v>
      </c>
      <c r="F2" t="s">
        <v>62</v>
      </c>
    </row>
    <row r="3" spans="1:9" x14ac:dyDescent="0.3">
      <c r="A3" s="157" t="s">
        <v>242</v>
      </c>
      <c r="B3" t="s">
        <v>33</v>
      </c>
      <c r="C3" s="160">
        <v>3</v>
      </c>
      <c r="D3" t="str">
        <f>VLOOKUP(A3,DataUsuario!B:D,2,FALSE)</f>
        <v>Agrícola</v>
      </c>
      <c r="E3" t="str">
        <f>VLOOKUP(A3,DataUsuario!B:D,3,FALSE)</f>
        <v>Fundo Montelima</v>
      </c>
      <c r="F3" t="s">
        <v>89</v>
      </c>
    </row>
    <row r="4" spans="1:9" x14ac:dyDescent="0.3">
      <c r="A4" s="156" t="s">
        <v>133</v>
      </c>
      <c r="B4" t="s">
        <v>33</v>
      </c>
      <c r="C4" s="159">
        <v>4</v>
      </c>
      <c r="D4" t="str">
        <f>VLOOKUP(A4,DataUsuario!B:D,2,FALSE)</f>
        <v>Industrial y de Mantenimiento</v>
      </c>
      <c r="E4" t="str">
        <f>VLOOKUP(A4,DataUsuario!B:D,3,FALSE)</f>
        <v>Electricidad</v>
      </c>
      <c r="F4" t="s">
        <v>74</v>
      </c>
      <c r="G4" t="s">
        <v>33</v>
      </c>
    </row>
    <row r="5" spans="1:9" x14ac:dyDescent="0.3">
      <c r="A5" s="157" t="s">
        <v>221</v>
      </c>
      <c r="B5" t="s">
        <v>33</v>
      </c>
      <c r="C5" s="160">
        <v>5</v>
      </c>
      <c r="D5" t="str">
        <f>VLOOKUP(A5,DataUsuario!B:D,2,FALSE)</f>
        <v>Administración y Finanzas</v>
      </c>
      <c r="E5" t="str">
        <f>VLOOKUP(A5,DataUsuario!B:D,3,FALSE)</f>
        <v>Sistemas y TI</v>
      </c>
      <c r="F5" t="s">
        <v>66</v>
      </c>
      <c r="G5" t="s">
        <v>34</v>
      </c>
    </row>
    <row r="6" spans="1:9" x14ac:dyDescent="0.3">
      <c r="A6" s="156" t="s">
        <v>251</v>
      </c>
      <c r="B6" t="s">
        <v>33</v>
      </c>
      <c r="C6" s="159">
        <v>3</v>
      </c>
      <c r="D6" t="str">
        <f>VLOOKUP(A6,DataUsuario!B:D,2,FALSE)</f>
        <v>Industrial y de Mantenimiento</v>
      </c>
      <c r="E6" t="str">
        <f>VLOOKUP(A6,DataUsuario!B:D,3,FALSE)</f>
        <v>Automatización</v>
      </c>
      <c r="F6" t="s">
        <v>74</v>
      </c>
      <c r="G6" t="s">
        <v>35</v>
      </c>
    </row>
    <row r="7" spans="1:9" x14ac:dyDescent="0.3">
      <c r="A7" s="157" t="s">
        <v>82</v>
      </c>
      <c r="B7" t="s">
        <v>33</v>
      </c>
      <c r="C7" s="160">
        <v>4</v>
      </c>
      <c r="D7" t="str">
        <f>VLOOKUP(A7,DataUsuario!B:D,2,FALSE)</f>
        <v>Industrial y de Mantenimiento</v>
      </c>
      <c r="E7" t="str">
        <f>VLOOKUP(A7,DataUsuario!B:D,3,FALSE)</f>
        <v>Producción</v>
      </c>
      <c r="F7" t="s">
        <v>74</v>
      </c>
      <c r="G7" t="s">
        <v>36</v>
      </c>
    </row>
    <row r="8" spans="1:9" x14ac:dyDescent="0.3">
      <c r="A8" s="156" t="s">
        <v>431</v>
      </c>
      <c r="B8" t="s">
        <v>33</v>
      </c>
      <c r="C8" s="159">
        <v>3</v>
      </c>
      <c r="D8" t="str">
        <f>VLOOKUP(A8,DataUsuario!B:D,2,FALSE)</f>
        <v>Agrícola</v>
      </c>
      <c r="E8" t="str">
        <f>VLOOKUP(A8,DataUsuario!B:D,3,FALSE)</f>
        <v>Fundo San Vicente</v>
      </c>
      <c r="F8" t="s">
        <v>89</v>
      </c>
    </row>
    <row r="9" spans="1:9" x14ac:dyDescent="0.3">
      <c r="A9" s="157" t="s">
        <v>92</v>
      </c>
      <c r="B9" t="s">
        <v>33</v>
      </c>
      <c r="C9" s="160">
        <v>5</v>
      </c>
      <c r="D9" t="str">
        <f>VLOOKUP(A9,DataUsuario!B:D,2,FALSE)</f>
        <v>Administración y Finanzas</v>
      </c>
      <c r="E9" t="str">
        <f>VLOOKUP(A9,DataUsuario!B:D,3,FALSE)</f>
        <v>Control de Gestión</v>
      </c>
      <c r="F9" t="s">
        <v>66</v>
      </c>
    </row>
    <row r="10" spans="1:9" x14ac:dyDescent="0.3">
      <c r="A10" s="156" t="s">
        <v>77</v>
      </c>
      <c r="B10" t="s">
        <v>33</v>
      </c>
      <c r="C10" s="159" t="s">
        <v>632</v>
      </c>
      <c r="D10" t="str">
        <f>VLOOKUP(A10,DataUsuario!B:D,2,FALSE)</f>
        <v>Operaciones</v>
      </c>
      <c r="E10" t="str">
        <f>VLOOKUP(A10,DataUsuario!B:D,3,FALSE)</f>
        <v>Comercial No Giro</v>
      </c>
      <c r="F10" t="s">
        <v>70</v>
      </c>
    </row>
    <row r="11" spans="1:9" x14ac:dyDescent="0.3">
      <c r="A11" s="157" t="s">
        <v>198</v>
      </c>
      <c r="B11" t="s">
        <v>33</v>
      </c>
      <c r="C11" s="160">
        <v>4</v>
      </c>
      <c r="D11" t="str">
        <f>VLOOKUP(A11,DataUsuario!B:D,2,FALSE)</f>
        <v>Agrícola</v>
      </c>
      <c r="E11" t="str">
        <f>VLOOKUP(A11,DataUsuario!B:D,3,FALSE)</f>
        <v>Fundo Lobo</v>
      </c>
      <c r="F11" t="s">
        <v>89</v>
      </c>
      <c r="H11" s="174" t="s">
        <v>5</v>
      </c>
      <c r="I11" t="s">
        <v>647</v>
      </c>
    </row>
    <row r="12" spans="1:9" x14ac:dyDescent="0.3">
      <c r="A12" s="156" t="s">
        <v>322</v>
      </c>
      <c r="B12" t="s">
        <v>33</v>
      </c>
      <c r="C12" s="159">
        <v>2</v>
      </c>
      <c r="D12" t="str">
        <f>VLOOKUP(A12,DataUsuario!B:D,2,FALSE)</f>
        <v>Administración y Finanzas</v>
      </c>
      <c r="E12" t="str">
        <f>VLOOKUP(A12,DataUsuario!B:D,3,FALSE)</f>
        <v>Finanzas y Tesorería</v>
      </c>
      <c r="F12" t="s">
        <v>66</v>
      </c>
    </row>
    <row r="13" spans="1:9" x14ac:dyDescent="0.3">
      <c r="A13" s="157" t="s">
        <v>359</v>
      </c>
      <c r="B13" t="s">
        <v>33</v>
      </c>
      <c r="C13" s="160">
        <v>4</v>
      </c>
      <c r="D13" t="str">
        <f>VLOOKUP(A13,DataUsuario!B:D,2,FALSE)</f>
        <v>Operaciones</v>
      </c>
      <c r="E13" t="str">
        <f>VLOOKUP(A13,DataUsuario!B:D,3,FALSE)</f>
        <v>Gerencia de Operaciones</v>
      </c>
      <c r="F13" t="s">
        <v>70</v>
      </c>
      <c r="H13" s="174" t="s">
        <v>644</v>
      </c>
      <c r="I13" t="s">
        <v>646</v>
      </c>
    </row>
    <row r="14" spans="1:9" x14ac:dyDescent="0.3">
      <c r="A14" s="156" t="s">
        <v>236</v>
      </c>
      <c r="B14" t="s">
        <v>33</v>
      </c>
      <c r="C14" s="159">
        <v>5</v>
      </c>
      <c r="D14" t="str">
        <f>VLOOKUP(A14,DataUsuario!B:D,2,FALSE)</f>
        <v>Administración y Finanzas</v>
      </c>
      <c r="E14" t="str">
        <f>VLOOKUP(A14,DataUsuario!B:D,3,FALSE)</f>
        <v>Sistemas y TI</v>
      </c>
      <c r="F14" t="s">
        <v>66</v>
      </c>
      <c r="H14" s="146" t="s">
        <v>36</v>
      </c>
      <c r="I14">
        <v>88</v>
      </c>
    </row>
    <row r="15" spans="1:9" x14ac:dyDescent="0.3">
      <c r="A15" s="157" t="s">
        <v>314</v>
      </c>
      <c r="B15" t="s">
        <v>33</v>
      </c>
      <c r="C15" s="160">
        <v>5</v>
      </c>
      <c r="D15" t="str">
        <f>VLOOKUP(A15,DataUsuario!B:D,2,FALSE)</f>
        <v>Industrial y de Mantenimiento</v>
      </c>
      <c r="E15" t="str">
        <f>VLOOKUP(A15,DataUsuario!B:D,3,FALSE)</f>
        <v>Mantenimiento Industrial</v>
      </c>
      <c r="F15" t="s">
        <v>74</v>
      </c>
      <c r="H15" s="175">
        <v>2</v>
      </c>
      <c r="I15">
        <v>1</v>
      </c>
    </row>
    <row r="16" spans="1:9" x14ac:dyDescent="0.3">
      <c r="A16" s="156" t="s">
        <v>145</v>
      </c>
      <c r="B16" t="s">
        <v>33</v>
      </c>
      <c r="C16" s="159">
        <v>4</v>
      </c>
      <c r="D16" t="str">
        <f>VLOOKUP(A16,DataUsuario!B:D,2,FALSE)</f>
        <v>Administración y Finanzas</v>
      </c>
      <c r="E16" t="str">
        <f>VLOOKUP(A16,DataUsuario!B:D,3,FALSE)</f>
        <v>Legal</v>
      </c>
      <c r="F16" t="s">
        <v>66</v>
      </c>
      <c r="H16" s="175">
        <v>3</v>
      </c>
      <c r="I16">
        <v>4</v>
      </c>
    </row>
    <row r="17" spans="1:9" x14ac:dyDescent="0.3">
      <c r="A17" s="157" t="s">
        <v>299</v>
      </c>
      <c r="B17" t="s">
        <v>33</v>
      </c>
      <c r="C17" s="160">
        <v>4</v>
      </c>
      <c r="D17" t="str">
        <f>VLOOKUP(A17,DataUsuario!B:D,2,FALSE)</f>
        <v>Administración y Finanzas</v>
      </c>
      <c r="E17" t="str">
        <f>VLOOKUP(A17,DataUsuario!B:D,3,FALSE)</f>
        <v>Legal</v>
      </c>
      <c r="F17" t="s">
        <v>66</v>
      </c>
      <c r="H17" s="175">
        <v>4</v>
      </c>
      <c r="I17">
        <v>34</v>
      </c>
    </row>
    <row r="18" spans="1:9" x14ac:dyDescent="0.3">
      <c r="A18" s="156" t="s">
        <v>289</v>
      </c>
      <c r="B18" t="s">
        <v>33</v>
      </c>
      <c r="C18" s="159">
        <v>4</v>
      </c>
      <c r="D18" t="str">
        <f>VLOOKUP(A18,DataUsuario!B:D,2,FALSE)</f>
        <v>Agrícola</v>
      </c>
      <c r="E18" t="str">
        <f>VLOOKUP(A18,DataUsuario!B:D,3,FALSE)</f>
        <v>Mantenimiento de Riego y Bombas</v>
      </c>
      <c r="F18" t="s">
        <v>89</v>
      </c>
      <c r="H18" s="175">
        <v>5</v>
      </c>
      <c r="I18">
        <v>45</v>
      </c>
    </row>
    <row r="19" spans="1:9" x14ac:dyDescent="0.3">
      <c r="A19" s="157" t="s">
        <v>138</v>
      </c>
      <c r="B19" t="s">
        <v>33</v>
      </c>
      <c r="C19" s="160">
        <v>4</v>
      </c>
      <c r="D19" t="str">
        <f>VLOOKUP(A19,DataUsuario!B:D,2,FALSE)</f>
        <v>Gestión Humana y Sostenibilidad</v>
      </c>
      <c r="E19" t="str">
        <f>VLOOKUP(A19,DataUsuario!B:D,3,FALSE)</f>
        <v>Gestion del Talento</v>
      </c>
      <c r="F19" t="s">
        <v>62</v>
      </c>
      <c r="H19" s="175" t="s">
        <v>632</v>
      </c>
      <c r="I19">
        <v>4</v>
      </c>
    </row>
    <row r="20" spans="1:9" x14ac:dyDescent="0.3">
      <c r="A20" s="156" t="s">
        <v>326</v>
      </c>
      <c r="B20" t="s">
        <v>33</v>
      </c>
      <c r="C20" s="159">
        <v>4</v>
      </c>
      <c r="D20" t="str">
        <f>VLOOKUP(A20,DataUsuario!B:D,2,FALSE)</f>
        <v>Operaciones</v>
      </c>
      <c r="E20" t="str">
        <f>VLOOKUP(A20,DataUsuario!B:D,3,FALSE)</f>
        <v>Calidad</v>
      </c>
      <c r="F20" t="s">
        <v>70</v>
      </c>
      <c r="H20" s="146" t="s">
        <v>33</v>
      </c>
      <c r="I20">
        <v>88</v>
      </c>
    </row>
    <row r="21" spans="1:9" x14ac:dyDescent="0.3">
      <c r="A21" s="157" t="s">
        <v>421</v>
      </c>
      <c r="B21" t="s">
        <v>33</v>
      </c>
      <c r="C21" s="160">
        <v>4</v>
      </c>
      <c r="D21" t="str">
        <f>VLOOKUP(A21,DataUsuario!B:D,2,FALSE)</f>
        <v>Operaciones</v>
      </c>
      <c r="E21" t="str">
        <f>VLOOKUP(A21,DataUsuario!B:D,3,FALSE)</f>
        <v>Cosecha</v>
      </c>
      <c r="F21" t="s">
        <v>70</v>
      </c>
      <c r="H21" s="175">
        <v>2</v>
      </c>
      <c r="I21">
        <v>1</v>
      </c>
    </row>
    <row r="22" spans="1:9" x14ac:dyDescent="0.3">
      <c r="A22" s="156" t="s">
        <v>318</v>
      </c>
      <c r="B22" t="s">
        <v>33</v>
      </c>
      <c r="C22" s="159">
        <v>5</v>
      </c>
      <c r="D22" t="str">
        <f>VLOOKUP(A22,DataUsuario!B:D,2,FALSE)</f>
        <v>Operaciones</v>
      </c>
      <c r="E22" t="str">
        <f>VLOOKUP(A22,DataUsuario!B:D,3,FALSE)</f>
        <v>Cosecha</v>
      </c>
      <c r="F22" t="s">
        <v>70</v>
      </c>
      <c r="H22" s="175">
        <v>3</v>
      </c>
      <c r="I22">
        <v>6</v>
      </c>
    </row>
    <row r="23" spans="1:9" x14ac:dyDescent="0.3">
      <c r="A23" s="157" t="s">
        <v>176</v>
      </c>
      <c r="B23" t="s">
        <v>33</v>
      </c>
      <c r="C23" s="160">
        <v>5</v>
      </c>
      <c r="D23" t="str">
        <f>VLOOKUP(A23,DataUsuario!B:D,2,FALSE)</f>
        <v>Administración y Finanzas</v>
      </c>
      <c r="E23" t="str">
        <f>VLOOKUP(A23,DataUsuario!B:D,3,FALSE)</f>
        <v>Cadenas Productivas</v>
      </c>
      <c r="F23" t="s">
        <v>66</v>
      </c>
      <c r="H23" s="175">
        <v>4</v>
      </c>
      <c r="I23">
        <v>45</v>
      </c>
    </row>
    <row r="24" spans="1:9" x14ac:dyDescent="0.3">
      <c r="A24" s="156" t="s">
        <v>136</v>
      </c>
      <c r="B24" t="s">
        <v>33</v>
      </c>
      <c r="C24" s="159">
        <v>4</v>
      </c>
      <c r="D24" t="str">
        <f>VLOOKUP(A24,DataUsuario!B:D,2,FALSE)</f>
        <v>Operaciones</v>
      </c>
      <c r="E24" t="str">
        <f>VLOOKUP(A24,DataUsuario!B:D,3,FALSE)</f>
        <v>Comercial</v>
      </c>
      <c r="F24" t="s">
        <v>70</v>
      </c>
      <c r="H24" s="175">
        <v>5</v>
      </c>
      <c r="I24">
        <v>33</v>
      </c>
    </row>
    <row r="25" spans="1:9" x14ac:dyDescent="0.3">
      <c r="A25" s="157" t="s">
        <v>376</v>
      </c>
      <c r="B25" t="s">
        <v>33</v>
      </c>
      <c r="C25" s="160">
        <v>5</v>
      </c>
      <c r="D25" t="str">
        <f>VLOOKUP(A25,DataUsuario!B:D,2,FALSE)</f>
        <v>Administración y Finanzas</v>
      </c>
      <c r="E25" t="str">
        <f>VLOOKUP(A25,DataUsuario!B:D,3,FALSE)</f>
        <v>Control de Gestión</v>
      </c>
      <c r="F25" t="s">
        <v>66</v>
      </c>
      <c r="H25" s="175" t="s">
        <v>632</v>
      </c>
      <c r="I25">
        <v>3</v>
      </c>
    </row>
    <row r="26" spans="1:9" x14ac:dyDescent="0.3">
      <c r="A26" s="156" t="s">
        <v>285</v>
      </c>
      <c r="B26" t="s">
        <v>33</v>
      </c>
      <c r="C26" s="159">
        <v>3</v>
      </c>
      <c r="D26" t="str">
        <f>VLOOKUP(A26,DataUsuario!B:D,2,FALSE)</f>
        <v>Operaciones</v>
      </c>
      <c r="E26" t="str">
        <f>VLOOKUP(A26,DataUsuario!B:D,3,FALSE)</f>
        <v>Comercial</v>
      </c>
      <c r="F26" t="s">
        <v>70</v>
      </c>
      <c r="H26" s="146" t="s">
        <v>35</v>
      </c>
      <c r="I26">
        <v>88</v>
      </c>
    </row>
    <row r="27" spans="1:9" x14ac:dyDescent="0.3">
      <c r="A27" s="157" t="s">
        <v>341</v>
      </c>
      <c r="B27" t="s">
        <v>33</v>
      </c>
      <c r="C27" s="160">
        <v>5</v>
      </c>
      <c r="D27" t="str">
        <f>VLOOKUP(A27,DataUsuario!B:D,2,FALSE)</f>
        <v>Administración y Finanzas</v>
      </c>
      <c r="E27" t="str">
        <f>VLOOKUP(A27,DataUsuario!B:D,3,FALSE)</f>
        <v>Contabilidad Tributaria</v>
      </c>
      <c r="F27" t="s">
        <v>66</v>
      </c>
      <c r="H27" s="175">
        <v>2</v>
      </c>
      <c r="I27">
        <v>1</v>
      </c>
    </row>
    <row r="28" spans="1:9" x14ac:dyDescent="0.3">
      <c r="A28" s="156" t="s">
        <v>254</v>
      </c>
      <c r="B28" t="s">
        <v>33</v>
      </c>
      <c r="C28" s="159">
        <v>4</v>
      </c>
      <c r="D28" t="str">
        <f>VLOOKUP(A28,DataUsuario!B:D,2,FALSE)</f>
        <v>Administración y Finanzas</v>
      </c>
      <c r="E28" t="str">
        <f>VLOOKUP(A28,DataUsuario!B:D,3,FALSE)</f>
        <v>Administración</v>
      </c>
      <c r="F28" t="s">
        <v>66</v>
      </c>
      <c r="H28" s="175">
        <v>3</v>
      </c>
      <c r="I28">
        <v>4</v>
      </c>
    </row>
    <row r="29" spans="1:9" x14ac:dyDescent="0.3">
      <c r="A29" s="157" t="s">
        <v>224</v>
      </c>
      <c r="B29" t="s">
        <v>33</v>
      </c>
      <c r="C29" s="160">
        <v>4</v>
      </c>
      <c r="D29" t="str">
        <f>VLOOKUP(A29,DataUsuario!B:D,2,FALSE)</f>
        <v>Agrícola</v>
      </c>
      <c r="E29" t="str">
        <f>VLOOKUP(A29,DataUsuario!B:D,3,FALSE)</f>
        <v>Laboratorio e Investigación Agricola</v>
      </c>
      <c r="F29" t="s">
        <v>89</v>
      </c>
      <c r="H29" s="175">
        <v>4</v>
      </c>
      <c r="I29">
        <v>41</v>
      </c>
    </row>
    <row r="30" spans="1:9" x14ac:dyDescent="0.3">
      <c r="A30" s="156" t="s">
        <v>578</v>
      </c>
      <c r="B30" t="s">
        <v>33</v>
      </c>
      <c r="C30" s="159">
        <v>5</v>
      </c>
      <c r="D30" t="str">
        <f>VLOOKUP(A30,DataUsuario!B:D,2,FALSE)</f>
        <v>Administración y Finanzas</v>
      </c>
      <c r="E30" t="str">
        <f>VLOOKUP(A30,DataUsuario!B:D,3,FALSE)</f>
        <v>Finanzas y Tesorería</v>
      </c>
      <c r="F30" t="s">
        <v>66</v>
      </c>
      <c r="H30" s="175">
        <v>5</v>
      </c>
      <c r="I30">
        <v>27</v>
      </c>
    </row>
    <row r="31" spans="1:9" x14ac:dyDescent="0.3">
      <c r="A31" s="157" t="s">
        <v>196</v>
      </c>
      <c r="B31" t="s">
        <v>33</v>
      </c>
      <c r="C31" s="160">
        <v>3</v>
      </c>
      <c r="D31" t="str">
        <f>VLOOKUP(A31,DataUsuario!B:D,2,FALSE)</f>
        <v>Agrícola</v>
      </c>
      <c r="E31" t="str">
        <f>VLOOKUP(A31,DataUsuario!B:D,3,FALSE)</f>
        <v>Mantenimiento de Riego y Bombas</v>
      </c>
      <c r="F31" t="s">
        <v>89</v>
      </c>
      <c r="H31" s="175" t="s">
        <v>632</v>
      </c>
      <c r="I31">
        <v>15</v>
      </c>
    </row>
    <row r="32" spans="1:9" x14ac:dyDescent="0.3">
      <c r="A32" s="156" t="s">
        <v>328</v>
      </c>
      <c r="B32" t="s">
        <v>33</v>
      </c>
      <c r="C32" s="159">
        <v>4</v>
      </c>
      <c r="D32" t="str">
        <f>VLOOKUP(A32,DataUsuario!B:D,2,FALSE)</f>
        <v>Administración y Finanzas</v>
      </c>
      <c r="E32" t="str">
        <f>VLOOKUP(A32,DataUsuario!B:D,3,FALSE)</f>
        <v>Administración</v>
      </c>
      <c r="F32" t="s">
        <v>66</v>
      </c>
      <c r="H32" s="146" t="s">
        <v>34</v>
      </c>
      <c r="I32">
        <v>88</v>
      </c>
    </row>
    <row r="33" spans="1:9" x14ac:dyDescent="0.3">
      <c r="A33" s="157" t="s">
        <v>403</v>
      </c>
      <c r="B33" t="s">
        <v>33</v>
      </c>
      <c r="C33" s="160">
        <v>5</v>
      </c>
      <c r="D33" t="str">
        <f>VLOOKUP(A33,DataUsuario!B:D,2,FALSE)</f>
        <v>Administración y Finanzas</v>
      </c>
      <c r="E33" t="str">
        <f>VLOOKUP(A33,DataUsuario!B:D,3,FALSE)</f>
        <v>Control de Gestión</v>
      </c>
      <c r="F33" t="s">
        <v>66</v>
      </c>
      <c r="H33" s="175">
        <v>2</v>
      </c>
      <c r="I33">
        <v>1</v>
      </c>
    </row>
    <row r="34" spans="1:9" x14ac:dyDescent="0.3">
      <c r="A34" s="156" t="s">
        <v>602</v>
      </c>
      <c r="B34" t="s">
        <v>33</v>
      </c>
      <c r="C34" s="159">
        <v>5</v>
      </c>
      <c r="D34" t="str">
        <f>VLOOKUP(A34,DataUsuario!B:D,2,FALSE)</f>
        <v>Industrial y de Mantenimiento</v>
      </c>
      <c r="E34" t="str">
        <f>VLOOKUP(A34,DataUsuario!B:D,3,FALSE)</f>
        <v>Mantenimiento Industrial</v>
      </c>
      <c r="F34" t="s">
        <v>74</v>
      </c>
      <c r="H34" s="175">
        <v>3</v>
      </c>
      <c r="I34">
        <v>5</v>
      </c>
    </row>
    <row r="35" spans="1:9" x14ac:dyDescent="0.3">
      <c r="A35" s="157" t="s">
        <v>230</v>
      </c>
      <c r="B35" t="s">
        <v>33</v>
      </c>
      <c r="C35" s="160">
        <v>5</v>
      </c>
      <c r="D35" t="str">
        <f>VLOOKUP(A35,DataUsuario!B:D,2,FALSE)</f>
        <v>Agrícola</v>
      </c>
      <c r="E35" t="str">
        <f>VLOOKUP(A35,DataUsuario!B:D,3,FALSE)</f>
        <v>Fundo Lobo</v>
      </c>
      <c r="F35" t="s">
        <v>89</v>
      </c>
      <c r="H35" s="175">
        <v>4</v>
      </c>
      <c r="I35">
        <v>43</v>
      </c>
    </row>
    <row r="36" spans="1:9" x14ac:dyDescent="0.3">
      <c r="A36" s="156" t="s">
        <v>372</v>
      </c>
      <c r="B36" t="s">
        <v>33</v>
      </c>
      <c r="C36" s="159">
        <v>4</v>
      </c>
      <c r="D36" t="str">
        <f>VLOOKUP(A36,DataUsuario!B:D,2,FALSE)</f>
        <v>Agrícola</v>
      </c>
      <c r="E36" t="str">
        <f>VLOOKUP(A36,DataUsuario!B:D,3,FALSE)</f>
        <v>Laboratorio e Investigación Agricola</v>
      </c>
      <c r="F36" t="s">
        <v>89</v>
      </c>
      <c r="H36" s="175">
        <v>5</v>
      </c>
      <c r="I36">
        <v>31</v>
      </c>
    </row>
    <row r="37" spans="1:9" x14ac:dyDescent="0.3">
      <c r="A37" s="157" t="s">
        <v>405</v>
      </c>
      <c r="B37" t="s">
        <v>33</v>
      </c>
      <c r="C37" s="160">
        <v>5</v>
      </c>
      <c r="D37" t="str">
        <f>VLOOKUP(A37,DataUsuario!B:D,2,FALSE)</f>
        <v>Administración y Finanzas</v>
      </c>
      <c r="E37" t="str">
        <f>VLOOKUP(A37,DataUsuario!B:D,3,FALSE)</f>
        <v>Finanzas y Tesorería</v>
      </c>
      <c r="F37" t="s">
        <v>66</v>
      </c>
      <c r="H37" s="175" t="s">
        <v>632</v>
      </c>
      <c r="I37">
        <v>8</v>
      </c>
    </row>
    <row r="38" spans="1:9" x14ac:dyDescent="0.3">
      <c r="A38" s="156" t="s">
        <v>287</v>
      </c>
      <c r="B38" t="s">
        <v>33</v>
      </c>
      <c r="C38" s="159">
        <v>4</v>
      </c>
      <c r="D38" t="str">
        <f>VLOOKUP(A38,DataUsuario!B:D,2,FALSE)</f>
        <v>Operaciones</v>
      </c>
      <c r="E38" t="str">
        <f>VLOOKUP(A38,DataUsuario!B:D,3,FALSE)</f>
        <v>Calidad</v>
      </c>
      <c r="F38" t="s">
        <v>70</v>
      </c>
      <c r="H38" s="146" t="s">
        <v>645</v>
      </c>
      <c r="I38">
        <v>352</v>
      </c>
    </row>
    <row r="39" spans="1:9" x14ac:dyDescent="0.3">
      <c r="A39" s="157" t="s">
        <v>258</v>
      </c>
      <c r="B39" t="s">
        <v>33</v>
      </c>
      <c r="C39" s="160">
        <v>5</v>
      </c>
      <c r="D39" t="str">
        <f>VLOOKUP(A39,DataUsuario!B:D,2,FALSE)</f>
        <v>Operaciones</v>
      </c>
      <c r="E39" t="str">
        <f>VLOOKUP(A39,DataUsuario!B:D,3,FALSE)</f>
        <v>Calidad</v>
      </c>
      <c r="F39" t="s">
        <v>70</v>
      </c>
    </row>
    <row r="40" spans="1:9" x14ac:dyDescent="0.3">
      <c r="A40" s="156" t="s">
        <v>97</v>
      </c>
      <c r="B40" t="s">
        <v>33</v>
      </c>
      <c r="C40" s="159">
        <v>5</v>
      </c>
      <c r="D40" t="str">
        <f>VLOOKUP(A40,DataUsuario!B:D,2,FALSE)</f>
        <v>Gestión Humana y Sostenibilidad</v>
      </c>
      <c r="E40" t="str">
        <f>VLOOKUP(A40,DataUsuario!B:D,3,FALSE)</f>
        <v>Compensación y Nóminas</v>
      </c>
      <c r="F40" t="s">
        <v>62</v>
      </c>
    </row>
    <row r="41" spans="1:9" x14ac:dyDescent="0.3">
      <c r="A41" s="157" t="s">
        <v>99</v>
      </c>
      <c r="B41" t="s">
        <v>33</v>
      </c>
      <c r="C41" s="160">
        <v>5</v>
      </c>
      <c r="D41" t="str">
        <f>VLOOKUP(A41,DataUsuario!B:D,2,FALSE)</f>
        <v>Gestión Humana y Sostenibilidad</v>
      </c>
      <c r="E41" t="str">
        <f>VLOOKUP(A41,DataUsuario!B:D,3,FALSE)</f>
        <v>Gestor de Recursos Humanos</v>
      </c>
      <c r="F41" t="s">
        <v>62</v>
      </c>
    </row>
    <row r="42" spans="1:9" x14ac:dyDescent="0.3">
      <c r="A42" s="156" t="s">
        <v>245</v>
      </c>
      <c r="B42" t="s">
        <v>33</v>
      </c>
      <c r="C42" s="159">
        <v>5</v>
      </c>
      <c r="D42" t="str">
        <f>VLOOKUP(A42,DataUsuario!B:D,2,FALSE)</f>
        <v>Gestión Humana y Sostenibilidad</v>
      </c>
      <c r="E42" t="str">
        <f>VLOOKUP(A42,DataUsuario!B:D,3,FALSE)</f>
        <v>Compensación y Nóminas</v>
      </c>
      <c r="F42" t="s">
        <v>62</v>
      </c>
    </row>
    <row r="43" spans="1:9" x14ac:dyDescent="0.3">
      <c r="A43" s="157" t="s">
        <v>271</v>
      </c>
      <c r="B43" t="s">
        <v>33</v>
      </c>
      <c r="C43" s="160">
        <v>4</v>
      </c>
      <c r="D43" t="str">
        <f>VLOOKUP(A43,DataUsuario!B:D,2,FALSE)</f>
        <v>Operaciones</v>
      </c>
      <c r="E43" t="str">
        <f>VLOOKUP(A43,DataUsuario!B:D,3,FALSE)</f>
        <v>Calidad</v>
      </c>
      <c r="F43" t="s">
        <v>70</v>
      </c>
    </row>
    <row r="44" spans="1:9" x14ac:dyDescent="0.3">
      <c r="A44" s="156" t="s">
        <v>118</v>
      </c>
      <c r="B44" t="s">
        <v>33</v>
      </c>
      <c r="C44" s="159">
        <v>5</v>
      </c>
      <c r="D44" t="str">
        <f>VLOOKUP(A44,DataUsuario!B:D,2,FALSE)</f>
        <v>Agrícola</v>
      </c>
      <c r="E44" t="str">
        <f>VLOOKUP(A44,DataUsuario!B:D,3,FALSE)</f>
        <v>Fundo Lobo</v>
      </c>
      <c r="F44" t="s">
        <v>89</v>
      </c>
    </row>
    <row r="45" spans="1:9" x14ac:dyDescent="0.3">
      <c r="A45" s="157" t="s">
        <v>207</v>
      </c>
      <c r="B45" t="s">
        <v>33</v>
      </c>
      <c r="C45" s="160">
        <v>5</v>
      </c>
      <c r="D45" t="str">
        <f>VLOOKUP(A45,DataUsuario!B:D,2,FALSE)</f>
        <v>Administración y Finanzas</v>
      </c>
      <c r="E45" t="str">
        <f>VLOOKUP(A45,DataUsuario!B:D,3,FALSE)</f>
        <v>Riesgos y Cumplimiento</v>
      </c>
      <c r="F45" t="s">
        <v>66</v>
      </c>
    </row>
    <row r="46" spans="1:9" x14ac:dyDescent="0.3">
      <c r="A46" s="156" t="s">
        <v>395</v>
      </c>
      <c r="B46" t="s">
        <v>33</v>
      </c>
      <c r="C46" s="159">
        <v>3</v>
      </c>
      <c r="D46" t="str">
        <f>VLOOKUP(A46,DataUsuario!B:D,2,FALSE)</f>
        <v>Operaciones</v>
      </c>
      <c r="E46" t="str">
        <f>VLOOKUP(A46,DataUsuario!B:D,3,FALSE)</f>
        <v>Mantenimiento CAT</v>
      </c>
      <c r="F46" t="s">
        <v>70</v>
      </c>
    </row>
    <row r="47" spans="1:9" x14ac:dyDescent="0.3">
      <c r="A47" s="157" t="s">
        <v>183</v>
      </c>
      <c r="B47" t="s">
        <v>33</v>
      </c>
      <c r="C47" s="160">
        <v>5</v>
      </c>
      <c r="D47" t="str">
        <f>VLOOKUP(A47,DataUsuario!B:D,2,FALSE)</f>
        <v>Agrícola</v>
      </c>
      <c r="E47" t="str">
        <f>VLOOKUP(A47,DataUsuario!B:D,3,FALSE)</f>
        <v>Planificador Agrícola</v>
      </c>
      <c r="F47" t="s">
        <v>89</v>
      </c>
    </row>
    <row r="48" spans="1:9" x14ac:dyDescent="0.3">
      <c r="A48" s="156" t="s">
        <v>607</v>
      </c>
      <c r="B48" t="s">
        <v>33</v>
      </c>
      <c r="C48" s="159">
        <v>5</v>
      </c>
      <c r="D48" t="str">
        <f>VLOOKUP(A48,DataUsuario!B:D,2,FALSE)</f>
        <v>Gestión Humana y Sostenibilidad</v>
      </c>
      <c r="E48" t="str">
        <f>VLOOKUP(A48,DataUsuario!B:D,3,FALSE)</f>
        <v>Gestor de Recursos Humanos</v>
      </c>
      <c r="F48" t="s">
        <v>62</v>
      </c>
    </row>
    <row r="49" spans="1:6" x14ac:dyDescent="0.3">
      <c r="A49" s="157" t="s">
        <v>352</v>
      </c>
      <c r="B49" t="s">
        <v>33</v>
      </c>
      <c r="C49" s="160">
        <v>4</v>
      </c>
      <c r="D49" t="str">
        <f>VLOOKUP(A49,DataUsuario!B:D,2,FALSE)</f>
        <v>Gestión Humana y Sostenibilidad</v>
      </c>
      <c r="E49" t="str">
        <f>VLOOKUP(A49,DataUsuario!B:D,3,FALSE)</f>
        <v>Compensación y Nóminas</v>
      </c>
      <c r="F49" t="s">
        <v>62</v>
      </c>
    </row>
    <row r="50" spans="1:6" x14ac:dyDescent="0.3">
      <c r="A50" s="156" t="s">
        <v>215</v>
      </c>
      <c r="B50" t="s">
        <v>33</v>
      </c>
      <c r="C50" s="159">
        <v>5</v>
      </c>
      <c r="D50" t="str">
        <f>VLOOKUP(A50,DataUsuario!B:D,2,FALSE)</f>
        <v>Gestión Humana y Sostenibilidad</v>
      </c>
      <c r="E50" t="str">
        <f>VLOOKUP(A50,DataUsuario!B:D,3,FALSE)</f>
        <v>Seguridad</v>
      </c>
      <c r="F50" t="s">
        <v>62</v>
      </c>
    </row>
    <row r="51" spans="1:6" x14ac:dyDescent="0.3">
      <c r="A51" s="157" t="s">
        <v>387</v>
      </c>
      <c r="B51" t="s">
        <v>33</v>
      </c>
      <c r="C51" s="160">
        <v>4</v>
      </c>
      <c r="D51" t="str">
        <f>VLOOKUP(A51,DataUsuario!B:D,2,FALSE)</f>
        <v>Administración y Finanzas</v>
      </c>
      <c r="E51" t="str">
        <f>VLOOKUP(A51,DataUsuario!B:D,3,FALSE)</f>
        <v>Contabilidad Tributaria</v>
      </c>
      <c r="F51" t="s">
        <v>66</v>
      </c>
    </row>
    <row r="52" spans="1:6" x14ac:dyDescent="0.3">
      <c r="A52" s="156" t="s">
        <v>397</v>
      </c>
      <c r="B52" t="s">
        <v>33</v>
      </c>
      <c r="C52" s="159">
        <v>5</v>
      </c>
      <c r="D52" t="str">
        <f>VLOOKUP(A52,DataUsuario!B:D,2,FALSE)</f>
        <v>Administración y Finanzas</v>
      </c>
      <c r="E52" t="str">
        <f>VLOOKUP(A52,DataUsuario!B:D,3,FALSE)</f>
        <v>Control de Gestión</v>
      </c>
      <c r="F52" t="s">
        <v>66</v>
      </c>
    </row>
    <row r="53" spans="1:6" x14ac:dyDescent="0.3">
      <c r="A53" s="157" t="s">
        <v>120</v>
      </c>
      <c r="B53" t="s">
        <v>33</v>
      </c>
      <c r="C53" s="160">
        <v>4</v>
      </c>
      <c r="D53" t="str">
        <f>VLOOKUP(A53,DataUsuario!B:D,2,FALSE)</f>
        <v>Agrícola</v>
      </c>
      <c r="E53" t="str">
        <f>VLOOKUP(A53,DataUsuario!B:D,3,FALSE)</f>
        <v>Fundo Montelima</v>
      </c>
      <c r="F53" t="s">
        <v>89</v>
      </c>
    </row>
    <row r="54" spans="1:6" x14ac:dyDescent="0.3">
      <c r="A54" s="156" t="s">
        <v>611</v>
      </c>
      <c r="B54" t="s">
        <v>33</v>
      </c>
      <c r="C54" s="159">
        <v>5</v>
      </c>
      <c r="D54" t="str">
        <f>VLOOKUP(A54,DataUsuario!B:D,2,FALSE)</f>
        <v>Operaciones</v>
      </c>
      <c r="E54" t="str">
        <f>VLOOKUP(A54,DataUsuario!B:D,3,FALSE)</f>
        <v>Almacenes y Distribución PT</v>
      </c>
      <c r="F54" t="s">
        <v>70</v>
      </c>
    </row>
    <row r="55" spans="1:6" x14ac:dyDescent="0.3">
      <c r="A55" s="157" t="s">
        <v>217</v>
      </c>
      <c r="B55" t="s">
        <v>33</v>
      </c>
      <c r="C55" s="160">
        <v>4</v>
      </c>
      <c r="D55" t="str">
        <f>VLOOKUP(A55,DataUsuario!B:D,2,FALSE)</f>
        <v>Agrícola</v>
      </c>
      <c r="E55" t="str">
        <f>VLOOKUP(A55,DataUsuario!B:D,3,FALSE)</f>
        <v>Mantenimiento de Riego y Bombas</v>
      </c>
      <c r="F55" t="s">
        <v>89</v>
      </c>
    </row>
    <row r="56" spans="1:6" x14ac:dyDescent="0.3">
      <c r="A56" s="156" t="s">
        <v>256</v>
      </c>
      <c r="B56" t="s">
        <v>33</v>
      </c>
      <c r="C56" s="159">
        <v>4</v>
      </c>
      <c r="D56" t="str">
        <f>VLOOKUP(A56,DataUsuario!B:D,2,FALSE)</f>
        <v>Agrícola</v>
      </c>
      <c r="E56" t="str">
        <f>VLOOKUP(A56,DataUsuario!B:D,3,FALSE)</f>
        <v>Fundo Montelima</v>
      </c>
      <c r="F56" t="s">
        <v>89</v>
      </c>
    </row>
    <row r="57" spans="1:6" x14ac:dyDescent="0.3">
      <c r="A57" s="157" t="s">
        <v>164</v>
      </c>
      <c r="B57" t="s">
        <v>33</v>
      </c>
      <c r="C57" s="160">
        <v>5</v>
      </c>
      <c r="D57" t="str">
        <f>VLOOKUP(A57,DataUsuario!B:D,2,FALSE)</f>
        <v>Agrícola</v>
      </c>
      <c r="E57" t="str">
        <f>VLOOKUP(A57,DataUsuario!B:D,3,FALSE)</f>
        <v>Fundo San Vicente</v>
      </c>
      <c r="F57" t="s">
        <v>89</v>
      </c>
    </row>
    <row r="58" spans="1:6" x14ac:dyDescent="0.3">
      <c r="A58" s="156" t="s">
        <v>170</v>
      </c>
      <c r="B58" t="s">
        <v>33</v>
      </c>
      <c r="C58" s="159">
        <v>5</v>
      </c>
      <c r="D58" t="str">
        <f>VLOOKUP(A58,DataUsuario!B:D,2,FALSE)</f>
        <v>Operaciones</v>
      </c>
      <c r="E58" t="str">
        <f>VLOOKUP(A58,DataUsuario!B:D,3,FALSE)</f>
        <v>Mantenimiento CAT</v>
      </c>
      <c r="F58" t="s">
        <v>70</v>
      </c>
    </row>
    <row r="59" spans="1:6" x14ac:dyDescent="0.3">
      <c r="A59" s="157" t="s">
        <v>337</v>
      </c>
      <c r="B59" t="s">
        <v>33</v>
      </c>
      <c r="C59" s="160">
        <v>5</v>
      </c>
      <c r="D59" t="str">
        <f>VLOOKUP(A59,DataUsuario!B:D,2,FALSE)</f>
        <v>Agrícola</v>
      </c>
      <c r="E59" t="str">
        <f>VLOOKUP(A59,DataUsuario!B:D,3,FALSE)</f>
        <v>Fundo San Vicente</v>
      </c>
      <c r="F59" t="s">
        <v>89</v>
      </c>
    </row>
    <row r="60" spans="1:6" x14ac:dyDescent="0.3">
      <c r="A60" s="156" t="s">
        <v>423</v>
      </c>
      <c r="B60" t="s">
        <v>33</v>
      </c>
      <c r="C60" s="159">
        <v>4</v>
      </c>
      <c r="D60" t="str">
        <f>VLOOKUP(A60,DataUsuario!B:D,2,FALSE)</f>
        <v>Industrial y de Mantenimiento</v>
      </c>
      <c r="E60" t="str">
        <f>VLOOKUP(A60,DataUsuario!B:D,3,FALSE)</f>
        <v>Producción</v>
      </c>
      <c r="F60" t="s">
        <v>74</v>
      </c>
    </row>
    <row r="61" spans="1:6" x14ac:dyDescent="0.3">
      <c r="A61" s="157" t="s">
        <v>205</v>
      </c>
      <c r="B61" t="s">
        <v>33</v>
      </c>
      <c r="C61" s="160">
        <v>5</v>
      </c>
      <c r="D61" t="str">
        <f>VLOOKUP(A61,DataUsuario!B:D,2,FALSE)</f>
        <v>Operaciones</v>
      </c>
      <c r="E61" t="str">
        <f>VLOOKUP(A61,DataUsuario!B:D,3,FALSE)</f>
        <v>Almacenes y Distribución PT</v>
      </c>
      <c r="F61" t="s">
        <v>70</v>
      </c>
    </row>
    <row r="62" spans="1:6" x14ac:dyDescent="0.3">
      <c r="A62" s="156" t="s">
        <v>150</v>
      </c>
      <c r="B62" t="s">
        <v>33</v>
      </c>
      <c r="C62" s="159">
        <v>4</v>
      </c>
      <c r="D62" t="str">
        <f>VLOOKUP(A62,DataUsuario!B:D,2,FALSE)</f>
        <v>Industrial y de Mantenimiento</v>
      </c>
      <c r="E62" t="str">
        <f>VLOOKUP(A62,DataUsuario!B:D,3,FALSE)</f>
        <v>Producción</v>
      </c>
      <c r="F62" t="s">
        <v>74</v>
      </c>
    </row>
    <row r="63" spans="1:6" x14ac:dyDescent="0.3">
      <c r="A63" s="157" t="s">
        <v>374</v>
      </c>
      <c r="B63" t="s">
        <v>33</v>
      </c>
      <c r="C63" s="160">
        <v>4</v>
      </c>
      <c r="D63" t="str">
        <f>VLOOKUP(A63,DataUsuario!B:D,2,FALSE)</f>
        <v>Agrícola</v>
      </c>
      <c r="E63" t="str">
        <f>VLOOKUP(A63,DataUsuario!B:D,3,FALSE)</f>
        <v>Mantenimiento de Riego y Bombas</v>
      </c>
      <c r="F63" t="s">
        <v>89</v>
      </c>
    </row>
    <row r="64" spans="1:6" x14ac:dyDescent="0.3">
      <c r="A64" s="156" t="s">
        <v>156</v>
      </c>
      <c r="B64" t="s">
        <v>33</v>
      </c>
      <c r="C64" s="159" t="s">
        <v>632</v>
      </c>
      <c r="D64" t="str">
        <f>VLOOKUP(A64,DataUsuario!B:D,2,FALSE)</f>
        <v>Administración y Finanzas</v>
      </c>
      <c r="E64" t="str">
        <f>VLOOKUP(A64,DataUsuario!B:D,3,FALSE)</f>
        <v>Compras</v>
      </c>
      <c r="F64" t="s">
        <v>66</v>
      </c>
    </row>
    <row r="65" spans="1:6" x14ac:dyDescent="0.3">
      <c r="A65" s="157" t="s">
        <v>192</v>
      </c>
      <c r="B65" t="s">
        <v>33</v>
      </c>
      <c r="C65" s="160">
        <v>4</v>
      </c>
      <c r="D65" t="str">
        <f>VLOOKUP(A65,DataUsuario!B:D,2,FALSE)</f>
        <v>Agrícola</v>
      </c>
      <c r="E65" t="str">
        <f>VLOOKUP(A65,DataUsuario!B:D,3,FALSE)</f>
        <v>Mantenimiento de Riego y Bombas</v>
      </c>
      <c r="F65" t="s">
        <v>89</v>
      </c>
    </row>
    <row r="66" spans="1:6" x14ac:dyDescent="0.3">
      <c r="A66" s="156" t="s">
        <v>152</v>
      </c>
      <c r="B66" t="s">
        <v>33</v>
      </c>
      <c r="C66" s="159">
        <v>4</v>
      </c>
      <c r="D66" t="str">
        <f>VLOOKUP(A66,DataUsuario!B:D,2,FALSE)</f>
        <v>Operaciones</v>
      </c>
      <c r="E66" t="str">
        <f>VLOOKUP(A66,DataUsuario!B:D,3,FALSE)</f>
        <v>Almacenes y Distribución PT</v>
      </c>
      <c r="F66" t="s">
        <v>70</v>
      </c>
    </row>
    <row r="67" spans="1:6" x14ac:dyDescent="0.3">
      <c r="A67" s="157" t="s">
        <v>378</v>
      </c>
      <c r="B67" t="s">
        <v>33</v>
      </c>
      <c r="C67" s="160">
        <v>4</v>
      </c>
      <c r="D67" t="str">
        <f>VLOOKUP(A67,DataUsuario!B:D,2,FALSE)</f>
        <v>Industrial y de Mantenimiento</v>
      </c>
      <c r="E67" t="str">
        <f>VLOOKUP(A67,DataUsuario!B:D,3,FALSE)</f>
        <v>Gerencia industrial y de Mantenimiento</v>
      </c>
      <c r="F67" t="s">
        <v>74</v>
      </c>
    </row>
    <row r="68" spans="1:6" x14ac:dyDescent="0.3">
      <c r="A68" s="156" t="s">
        <v>162</v>
      </c>
      <c r="B68" t="s">
        <v>33</v>
      </c>
      <c r="C68" s="159">
        <v>4</v>
      </c>
      <c r="D68" t="str">
        <f>VLOOKUP(A68,DataUsuario!B:D,2,FALSE)</f>
        <v>Agrícola</v>
      </c>
      <c r="E68" t="str">
        <f>VLOOKUP(A68,DataUsuario!B:D,3,FALSE)</f>
        <v>Fundo Lobo</v>
      </c>
      <c r="F68" t="s">
        <v>89</v>
      </c>
    </row>
    <row r="69" spans="1:6" x14ac:dyDescent="0.3">
      <c r="A69" s="157" t="s">
        <v>160</v>
      </c>
      <c r="B69" t="s">
        <v>33</v>
      </c>
      <c r="C69" s="160">
        <v>5</v>
      </c>
      <c r="D69" t="str">
        <f>VLOOKUP(A69,DataUsuario!B:D,2,FALSE)</f>
        <v>Agrícola</v>
      </c>
      <c r="E69" t="str">
        <f>VLOOKUP(A69,DataUsuario!B:D,3,FALSE)</f>
        <v>Fundo Lobo</v>
      </c>
      <c r="F69" t="s">
        <v>89</v>
      </c>
    </row>
    <row r="70" spans="1:6" x14ac:dyDescent="0.3">
      <c r="A70" s="156" t="s">
        <v>617</v>
      </c>
      <c r="B70" t="s">
        <v>33</v>
      </c>
      <c r="C70" s="159">
        <v>5</v>
      </c>
      <c r="D70" t="str">
        <f>VLOOKUP(A70,DataUsuario!B:D,2,FALSE)</f>
        <v>Administración y Finanzas</v>
      </c>
      <c r="E70" t="str">
        <f>VLOOKUP(A70,DataUsuario!B:D,3,FALSE)</f>
        <v>Control de Gestión</v>
      </c>
      <c r="F70" t="s">
        <v>66</v>
      </c>
    </row>
    <row r="71" spans="1:6" x14ac:dyDescent="0.3">
      <c r="A71" s="157" t="s">
        <v>210</v>
      </c>
      <c r="B71" t="s">
        <v>33</v>
      </c>
      <c r="C71" s="160">
        <v>4</v>
      </c>
      <c r="D71" t="str">
        <f>VLOOKUP(A71,DataUsuario!B:D,2,FALSE)</f>
        <v>Industrial y de Mantenimiento</v>
      </c>
      <c r="E71" t="str">
        <f>VLOOKUP(A71,DataUsuario!B:D,3,FALSE)</f>
        <v>Planta y Srv Industriales</v>
      </c>
      <c r="F71" t="s">
        <v>74</v>
      </c>
    </row>
    <row r="72" spans="1:6" x14ac:dyDescent="0.3">
      <c r="A72" s="156" t="s">
        <v>350</v>
      </c>
      <c r="B72" t="s">
        <v>33</v>
      </c>
      <c r="C72" s="159">
        <v>4</v>
      </c>
      <c r="D72" t="str">
        <f>VLOOKUP(A72,DataUsuario!B:D,2,FALSE)</f>
        <v>Agrícola</v>
      </c>
      <c r="E72" t="str">
        <f>VLOOKUP(A72,DataUsuario!B:D,3,FALSE)</f>
        <v>Planificador Agrícola</v>
      </c>
      <c r="F72" t="s">
        <v>89</v>
      </c>
    </row>
    <row r="73" spans="1:6" x14ac:dyDescent="0.3">
      <c r="A73" s="157" t="s">
        <v>619</v>
      </c>
      <c r="B73" t="s">
        <v>33</v>
      </c>
      <c r="C73" s="160">
        <v>4</v>
      </c>
      <c r="D73" t="str">
        <f>VLOOKUP(A73,DataUsuario!B:D,2,FALSE)</f>
        <v>Gestión Humana y Sostenibilidad</v>
      </c>
      <c r="E73" t="str">
        <f>VLOOKUP(A73,DataUsuario!B:D,3,FALSE)</f>
        <v>Control Presupuestal</v>
      </c>
      <c r="F73" t="s">
        <v>62</v>
      </c>
    </row>
    <row r="74" spans="1:6" x14ac:dyDescent="0.3">
      <c r="A74" s="156" t="s">
        <v>158</v>
      </c>
      <c r="B74" t="s">
        <v>33</v>
      </c>
      <c r="C74" s="159">
        <v>4</v>
      </c>
      <c r="D74" t="str">
        <f>VLOOKUP(A74,DataUsuario!B:D,2,FALSE)</f>
        <v>Operaciones</v>
      </c>
      <c r="E74" t="str">
        <f>VLOOKUP(A74,DataUsuario!B:D,3,FALSE)</f>
        <v>Calidad</v>
      </c>
      <c r="F74" t="s">
        <v>70</v>
      </c>
    </row>
    <row r="75" spans="1:6" x14ac:dyDescent="0.3">
      <c r="A75" s="157" t="s">
        <v>61</v>
      </c>
      <c r="B75" t="s">
        <v>33</v>
      </c>
      <c r="C75" s="160">
        <v>4</v>
      </c>
      <c r="D75" t="str">
        <f>VLOOKUP(A75,DataUsuario!B:D,2,FALSE)</f>
        <v>Gestión Humana y Sostenibilidad</v>
      </c>
      <c r="E75" t="str">
        <f>VLOOKUP(A75,DataUsuario!B:D,3,FALSE)</f>
        <v>Compensación y Nóminas</v>
      </c>
      <c r="F75" t="s">
        <v>62</v>
      </c>
    </row>
    <row r="76" spans="1:6" x14ac:dyDescent="0.3">
      <c r="A76" s="156" t="s">
        <v>385</v>
      </c>
      <c r="B76" t="s">
        <v>33</v>
      </c>
      <c r="C76" s="159" t="s">
        <v>632</v>
      </c>
      <c r="D76" t="str">
        <f>VLOOKUP(A76,DataUsuario!B:D,2,FALSE)</f>
        <v>Agrícola</v>
      </c>
      <c r="E76" t="str">
        <f>VLOOKUP(A76,DataUsuario!B:D,3,FALSE)</f>
        <v>Fundo Montelima</v>
      </c>
      <c r="F76" t="s">
        <v>89</v>
      </c>
    </row>
    <row r="77" spans="1:6" x14ac:dyDescent="0.3">
      <c r="A77" s="157" t="s">
        <v>621</v>
      </c>
      <c r="B77" t="s">
        <v>33</v>
      </c>
      <c r="C77" s="160">
        <v>5</v>
      </c>
      <c r="D77" t="str">
        <f>VLOOKUP(A77,DataUsuario!B:D,2,FALSE)</f>
        <v>Industrial y de Mantenimiento</v>
      </c>
      <c r="E77" t="str">
        <f>VLOOKUP(A77,DataUsuario!B:D,3,FALSE)</f>
        <v>Mantenimiento Industrial</v>
      </c>
      <c r="F77" t="s">
        <v>74</v>
      </c>
    </row>
    <row r="78" spans="1:6" x14ac:dyDescent="0.3">
      <c r="A78" s="156" t="s">
        <v>123</v>
      </c>
      <c r="B78" t="s">
        <v>33</v>
      </c>
      <c r="C78" s="159">
        <v>4</v>
      </c>
      <c r="D78" t="str">
        <f>VLOOKUP(A78,DataUsuario!B:D,2,FALSE)</f>
        <v>Administración y Finanzas</v>
      </c>
      <c r="E78" t="str">
        <f>VLOOKUP(A78,DataUsuario!B:D,3,FALSE)</f>
        <v>Gerencia Administración y Finanzas</v>
      </c>
      <c r="F78" t="s">
        <v>66</v>
      </c>
    </row>
    <row r="79" spans="1:6" x14ac:dyDescent="0.3">
      <c r="A79" s="157" t="s">
        <v>128</v>
      </c>
      <c r="B79" t="s">
        <v>33</v>
      </c>
      <c r="C79" s="160">
        <v>5</v>
      </c>
      <c r="D79" t="str">
        <f>VLOOKUP(A79,DataUsuario!B:D,2,FALSE)</f>
        <v>Agrícola</v>
      </c>
      <c r="E79" t="str">
        <f>VLOOKUP(A79,DataUsuario!B:D,3,FALSE)</f>
        <v>Fundo Lobo</v>
      </c>
      <c r="F79" t="s">
        <v>89</v>
      </c>
    </row>
    <row r="80" spans="1:6" x14ac:dyDescent="0.3">
      <c r="A80" s="156" t="s">
        <v>238</v>
      </c>
      <c r="B80" t="s">
        <v>33</v>
      </c>
      <c r="C80" s="159">
        <v>4</v>
      </c>
      <c r="D80" t="str">
        <f>VLOOKUP(A80,DataUsuario!B:D,2,FALSE)</f>
        <v>Industrial y de Mantenimiento</v>
      </c>
      <c r="E80" t="str">
        <f>VLOOKUP(A80,DataUsuario!B:D,3,FALSE)</f>
        <v>Producción</v>
      </c>
      <c r="F80" t="s">
        <v>74</v>
      </c>
    </row>
    <row r="81" spans="1:6" x14ac:dyDescent="0.3">
      <c r="A81" s="157" t="s">
        <v>413</v>
      </c>
      <c r="B81" t="s">
        <v>33</v>
      </c>
      <c r="C81" s="160">
        <v>4</v>
      </c>
      <c r="D81" t="str">
        <f>VLOOKUP(A81,DataUsuario!B:D,2,FALSE)</f>
        <v>Administración y Finanzas</v>
      </c>
      <c r="E81" t="str">
        <f>VLOOKUP(A81,DataUsuario!B:D,3,FALSE)</f>
        <v>Contabilidad Tributaria</v>
      </c>
      <c r="F81" t="s">
        <v>66</v>
      </c>
    </row>
    <row r="82" spans="1:6" x14ac:dyDescent="0.3">
      <c r="A82" s="156" t="s">
        <v>85</v>
      </c>
      <c r="B82" t="s">
        <v>33</v>
      </c>
      <c r="C82" s="159">
        <v>5</v>
      </c>
      <c r="D82" t="str">
        <f>VLOOKUP(A82,DataUsuario!B:D,2,FALSE)</f>
        <v>Operaciones</v>
      </c>
      <c r="E82" t="str">
        <f>VLOOKUP(A82,DataUsuario!B:D,3,FALSE)</f>
        <v>Comercial</v>
      </c>
      <c r="F82" t="s">
        <v>70</v>
      </c>
    </row>
    <row r="83" spans="1:6" x14ac:dyDescent="0.3">
      <c r="A83" s="157" t="s">
        <v>439</v>
      </c>
      <c r="B83" t="s">
        <v>33</v>
      </c>
      <c r="C83" s="160">
        <v>5</v>
      </c>
      <c r="D83" t="str">
        <f>VLOOKUP(A83,DataUsuario!B:D,2,FALSE)</f>
        <v>Operaciones</v>
      </c>
      <c r="E83" t="str">
        <f>VLOOKUP(A83,DataUsuario!B:D,3,FALSE)</f>
        <v>Comercial</v>
      </c>
      <c r="F83" t="s">
        <v>70</v>
      </c>
    </row>
    <row r="84" spans="1:6" x14ac:dyDescent="0.3">
      <c r="A84" s="156" t="s">
        <v>624</v>
      </c>
      <c r="B84" t="s">
        <v>33</v>
      </c>
      <c r="C84" s="159">
        <v>4</v>
      </c>
      <c r="D84" t="str">
        <f>VLOOKUP(A84,DataUsuario!B:D,2,FALSE)</f>
        <v>Agrícola</v>
      </c>
      <c r="E84" t="str">
        <f>VLOOKUP(A84,DataUsuario!B:D,3,FALSE)</f>
        <v>Fundo San Vicente</v>
      </c>
      <c r="F84" t="s">
        <v>89</v>
      </c>
    </row>
    <row r="85" spans="1:6" x14ac:dyDescent="0.3">
      <c r="A85" s="157" t="s">
        <v>369</v>
      </c>
      <c r="B85" t="s">
        <v>33</v>
      </c>
      <c r="C85" s="160">
        <v>4</v>
      </c>
      <c r="D85" t="str">
        <f>VLOOKUP(A85,DataUsuario!B:D,2,FALSE)</f>
        <v>Agrícola</v>
      </c>
      <c r="E85" t="str">
        <f>VLOOKUP(A85,DataUsuario!B:D,3,FALSE)</f>
        <v>Sistema Integral de Gestión</v>
      </c>
      <c r="F85" t="s">
        <v>89</v>
      </c>
    </row>
    <row r="86" spans="1:6" x14ac:dyDescent="0.3">
      <c r="A86" s="156" t="s">
        <v>576</v>
      </c>
      <c r="B86" t="s">
        <v>33</v>
      </c>
      <c r="C86" s="159">
        <v>4</v>
      </c>
      <c r="D86" t="str">
        <f>VLOOKUP(A86,DataUsuario!B:D,2,FALSE)</f>
        <v>Industrial y de Mantenimiento</v>
      </c>
      <c r="E86" t="str">
        <f>VLOOKUP(A86,DataUsuario!B:D,3,FALSE)</f>
        <v>Mantenimiento Industrial</v>
      </c>
      <c r="F86" t="s">
        <v>74</v>
      </c>
    </row>
    <row r="87" spans="1:6" x14ac:dyDescent="0.3">
      <c r="A87" s="157" t="s">
        <v>435</v>
      </c>
      <c r="B87" t="s">
        <v>33</v>
      </c>
      <c r="C87" s="160">
        <v>4</v>
      </c>
      <c r="D87" t="str">
        <f>VLOOKUP(A87,DataUsuario!B:D,2,FALSE)</f>
        <v>Operaciones</v>
      </c>
      <c r="E87" t="str">
        <f>VLOOKUP(A87,DataUsuario!B:D,3,FALSE)</f>
        <v>Almacenes y Distribución PT</v>
      </c>
      <c r="F87" t="s">
        <v>70</v>
      </c>
    </row>
    <row r="88" spans="1:6" x14ac:dyDescent="0.3">
      <c r="A88" s="156" t="s">
        <v>332</v>
      </c>
      <c r="B88" t="s">
        <v>33</v>
      </c>
      <c r="C88" s="159">
        <v>4</v>
      </c>
      <c r="D88" t="str">
        <f>VLOOKUP(A88,DataUsuario!B:D,2,FALSE)</f>
        <v>Agrícola</v>
      </c>
      <c r="E88" t="str">
        <f>VLOOKUP(A88,DataUsuario!B:D,3,FALSE)</f>
        <v>Gerencia Agrícola</v>
      </c>
      <c r="F88" t="s">
        <v>89</v>
      </c>
    </row>
    <row r="89" spans="1:6" x14ac:dyDescent="0.3">
      <c r="A89" s="157" t="s">
        <v>202</v>
      </c>
      <c r="B89" t="s">
        <v>33</v>
      </c>
      <c r="C89" s="160">
        <v>5</v>
      </c>
      <c r="D89" t="str">
        <f>VLOOKUP(A89,DataUsuario!B:D,2,FALSE)</f>
        <v>Agrícola</v>
      </c>
      <c r="E89" t="str">
        <f>VLOOKUP(A89,DataUsuario!B:D,3,FALSE)</f>
        <v>Fundo La Huaca</v>
      </c>
      <c r="F89" t="s">
        <v>89</v>
      </c>
    </row>
    <row r="90" spans="1:6" x14ac:dyDescent="0.3">
      <c r="A90" s="156" t="s">
        <v>167</v>
      </c>
      <c r="B90" t="s">
        <v>33</v>
      </c>
      <c r="C90" s="159">
        <v>4</v>
      </c>
      <c r="D90" t="str">
        <f>VLOOKUP(A90,DataUsuario!B:D,2,FALSE)</f>
        <v>Agrícola</v>
      </c>
      <c r="E90" t="str">
        <f>VLOOKUP(A90,DataUsuario!B:D,3,FALSE)</f>
        <v>Fundo Montelima</v>
      </c>
      <c r="F90" t="s">
        <v>89</v>
      </c>
    </row>
    <row r="91" spans="1:6" x14ac:dyDescent="0.3">
      <c r="A91" s="157" t="s">
        <v>628</v>
      </c>
      <c r="B91" t="s">
        <v>33</v>
      </c>
      <c r="C91" s="160">
        <v>4</v>
      </c>
      <c r="D91" t="str">
        <f>VLOOKUP(A91,DataUsuario!B:D,2,FALSE)</f>
        <v>Agrícola</v>
      </c>
      <c r="E91" t="str">
        <f>VLOOKUP(A91,DataUsuario!B:D,3,FALSE)</f>
        <v>Mantenimiento de Riego y Bombas</v>
      </c>
      <c r="F91" t="s">
        <v>89</v>
      </c>
    </row>
    <row r="92" spans="1:6" x14ac:dyDescent="0.3">
      <c r="A92" s="156" t="s">
        <v>115</v>
      </c>
      <c r="B92" t="s">
        <v>33</v>
      </c>
      <c r="C92" s="159">
        <v>5</v>
      </c>
      <c r="D92" t="str">
        <f>VLOOKUP(A92,DataUsuario!B:D,2,FALSE)</f>
        <v>Industrial y de Mantenimiento</v>
      </c>
      <c r="E92" t="str">
        <f>VLOOKUP(A92,DataUsuario!B:D,3,FALSE)</f>
        <v>Mantenimiento de Transportes</v>
      </c>
      <c r="F92" t="s">
        <v>74</v>
      </c>
    </row>
    <row r="93" spans="1:6" x14ac:dyDescent="0.3">
      <c r="A93" s="157" t="s">
        <v>629</v>
      </c>
      <c r="B93" t="s">
        <v>33</v>
      </c>
      <c r="C93" s="160">
        <v>4</v>
      </c>
      <c r="D93" t="str">
        <f>VLOOKUP(A93,DataUsuario!B:D,2,FALSE)</f>
        <v>Administración y Finanzas</v>
      </c>
      <c r="E93" t="str">
        <f>VLOOKUP(A93,DataUsuario!B:D,3,FALSE)</f>
        <v>Compras</v>
      </c>
      <c r="F93" t="s">
        <v>66</v>
      </c>
    </row>
    <row r="94" spans="1:6" x14ac:dyDescent="0.3">
      <c r="A94" s="158" t="s">
        <v>267</v>
      </c>
      <c r="B94" t="s">
        <v>33</v>
      </c>
      <c r="C94" s="161">
        <v>5</v>
      </c>
      <c r="D94" t="str">
        <f>VLOOKUP(A94,DataUsuario!B:D,2,FALSE)</f>
        <v>Gestión Humana y Sostenibilidad</v>
      </c>
      <c r="E94" t="str">
        <f>VLOOKUP(A94,DataUsuario!B:D,3,FALSE)</f>
        <v>Sostenibilidad</v>
      </c>
      <c r="F94" t="s">
        <v>62</v>
      </c>
    </row>
    <row r="95" spans="1:6" x14ac:dyDescent="0.3">
      <c r="A95" s="156" t="s">
        <v>592</v>
      </c>
      <c r="B95" t="s">
        <v>34</v>
      </c>
      <c r="C95" s="159">
        <v>5</v>
      </c>
      <c r="D95" t="str">
        <f>VLOOKUP(A95,DataUsuario!B:D,2,FALSE)</f>
        <v>Gestión Humana y Sostenibilidad</v>
      </c>
      <c r="E95" t="str">
        <f>VLOOKUP(A95,DataUsuario!B:D,3,FALSE)</f>
        <v>Seguridad</v>
      </c>
      <c r="F95" t="s">
        <v>62</v>
      </c>
    </row>
    <row r="96" spans="1:6" x14ac:dyDescent="0.3">
      <c r="A96" s="157" t="s">
        <v>242</v>
      </c>
      <c r="B96" t="s">
        <v>34</v>
      </c>
      <c r="C96" s="160">
        <v>3</v>
      </c>
      <c r="D96" t="str">
        <f>VLOOKUP(A96,DataUsuario!B:D,2,FALSE)</f>
        <v>Agrícola</v>
      </c>
      <c r="E96" t="str">
        <f>VLOOKUP(A96,DataUsuario!B:D,3,FALSE)</f>
        <v>Fundo Montelima</v>
      </c>
      <c r="F96" t="s">
        <v>89</v>
      </c>
    </row>
    <row r="97" spans="1:6" x14ac:dyDescent="0.3">
      <c r="A97" s="156" t="s">
        <v>133</v>
      </c>
      <c r="B97" t="s">
        <v>34</v>
      </c>
      <c r="C97" s="159">
        <v>4</v>
      </c>
      <c r="D97" t="str">
        <f>VLOOKUP(A97,DataUsuario!B:D,2,FALSE)</f>
        <v>Industrial y de Mantenimiento</v>
      </c>
      <c r="E97" t="str">
        <f>VLOOKUP(A97,DataUsuario!B:D,3,FALSE)</f>
        <v>Electricidad</v>
      </c>
      <c r="F97" t="s">
        <v>74</v>
      </c>
    </row>
    <row r="98" spans="1:6" x14ac:dyDescent="0.3">
      <c r="A98" s="157" t="s">
        <v>221</v>
      </c>
      <c r="B98" t="s">
        <v>34</v>
      </c>
      <c r="C98" s="160">
        <v>4</v>
      </c>
      <c r="D98" t="str">
        <f>VLOOKUP(A98,DataUsuario!B:D,2,FALSE)</f>
        <v>Administración y Finanzas</v>
      </c>
      <c r="E98" t="str">
        <f>VLOOKUP(A98,DataUsuario!B:D,3,FALSE)</f>
        <v>Sistemas y TI</v>
      </c>
      <c r="F98" t="s">
        <v>66</v>
      </c>
    </row>
    <row r="99" spans="1:6" x14ac:dyDescent="0.3">
      <c r="A99" s="156" t="s">
        <v>251</v>
      </c>
      <c r="B99" t="s">
        <v>34</v>
      </c>
      <c r="C99" s="159">
        <v>3</v>
      </c>
      <c r="D99" t="str">
        <f>VLOOKUP(A99,DataUsuario!B:D,2,FALSE)</f>
        <v>Industrial y de Mantenimiento</v>
      </c>
      <c r="E99" t="str">
        <f>VLOOKUP(A99,DataUsuario!B:D,3,FALSE)</f>
        <v>Automatización</v>
      </c>
      <c r="F99" t="s">
        <v>74</v>
      </c>
    </row>
    <row r="100" spans="1:6" x14ac:dyDescent="0.3">
      <c r="A100" s="157" t="s">
        <v>82</v>
      </c>
      <c r="B100" t="s">
        <v>34</v>
      </c>
      <c r="C100" s="160">
        <v>4</v>
      </c>
      <c r="D100" t="str">
        <f>VLOOKUP(A100,DataUsuario!B:D,2,FALSE)</f>
        <v>Industrial y de Mantenimiento</v>
      </c>
      <c r="E100" t="str">
        <f>VLOOKUP(A100,DataUsuario!B:D,3,FALSE)</f>
        <v>Producción</v>
      </c>
      <c r="F100" t="s">
        <v>74</v>
      </c>
    </row>
    <row r="101" spans="1:6" x14ac:dyDescent="0.3">
      <c r="A101" s="156" t="s">
        <v>431</v>
      </c>
      <c r="B101" t="s">
        <v>34</v>
      </c>
      <c r="C101" s="159">
        <v>4</v>
      </c>
      <c r="D101" t="str">
        <f>VLOOKUP(A101,DataUsuario!B:D,2,FALSE)</f>
        <v>Agrícola</v>
      </c>
      <c r="E101" t="str">
        <f>VLOOKUP(A101,DataUsuario!B:D,3,FALSE)</f>
        <v>Fundo San Vicente</v>
      </c>
      <c r="F101" t="s">
        <v>89</v>
      </c>
    </row>
    <row r="102" spans="1:6" x14ac:dyDescent="0.3">
      <c r="A102" s="157" t="s">
        <v>92</v>
      </c>
      <c r="B102" t="s">
        <v>34</v>
      </c>
      <c r="C102" s="160">
        <v>5</v>
      </c>
      <c r="D102" t="str">
        <f>VLOOKUP(A102,DataUsuario!B:D,2,FALSE)</f>
        <v>Administración y Finanzas</v>
      </c>
      <c r="E102" t="str">
        <f>VLOOKUP(A102,DataUsuario!B:D,3,FALSE)</f>
        <v>Control de Gestión</v>
      </c>
      <c r="F102" t="s">
        <v>66</v>
      </c>
    </row>
    <row r="103" spans="1:6" x14ac:dyDescent="0.3">
      <c r="A103" s="156" t="s">
        <v>77</v>
      </c>
      <c r="B103" t="s">
        <v>34</v>
      </c>
      <c r="C103" s="159">
        <v>5</v>
      </c>
      <c r="D103" t="str">
        <f>VLOOKUP(A103,DataUsuario!B:D,2,FALSE)</f>
        <v>Operaciones</v>
      </c>
      <c r="E103" t="str">
        <f>VLOOKUP(A103,DataUsuario!B:D,3,FALSE)</f>
        <v>Comercial No Giro</v>
      </c>
      <c r="F103" t="s">
        <v>70</v>
      </c>
    </row>
    <row r="104" spans="1:6" x14ac:dyDescent="0.3">
      <c r="A104" s="157" t="s">
        <v>198</v>
      </c>
      <c r="B104" t="s">
        <v>34</v>
      </c>
      <c r="C104" s="160">
        <v>4</v>
      </c>
      <c r="D104" t="str">
        <f>VLOOKUP(A104,DataUsuario!B:D,2,FALSE)</f>
        <v>Agrícola</v>
      </c>
      <c r="E104" t="str">
        <f>VLOOKUP(A104,DataUsuario!B:D,3,FALSE)</f>
        <v>Fundo Lobo</v>
      </c>
      <c r="F104" t="s">
        <v>89</v>
      </c>
    </row>
    <row r="105" spans="1:6" x14ac:dyDescent="0.3">
      <c r="A105" s="156" t="s">
        <v>322</v>
      </c>
      <c r="B105" t="s">
        <v>34</v>
      </c>
      <c r="C105" s="159">
        <v>2</v>
      </c>
      <c r="D105" t="str">
        <f>VLOOKUP(A105,DataUsuario!B:D,2,FALSE)</f>
        <v>Administración y Finanzas</v>
      </c>
      <c r="E105" t="str">
        <f>VLOOKUP(A105,DataUsuario!B:D,3,FALSE)</f>
        <v>Finanzas y Tesorería</v>
      </c>
      <c r="F105" t="s">
        <v>66</v>
      </c>
    </row>
    <row r="106" spans="1:6" x14ac:dyDescent="0.3">
      <c r="A106" s="157" t="s">
        <v>359</v>
      </c>
      <c r="B106" t="s">
        <v>34</v>
      </c>
      <c r="C106" s="160">
        <v>4</v>
      </c>
      <c r="D106" t="str">
        <f>VLOOKUP(A106,DataUsuario!B:D,2,FALSE)</f>
        <v>Operaciones</v>
      </c>
      <c r="E106" t="str">
        <f>VLOOKUP(A106,DataUsuario!B:D,3,FALSE)</f>
        <v>Gerencia de Operaciones</v>
      </c>
      <c r="F106" t="s">
        <v>70</v>
      </c>
    </row>
    <row r="107" spans="1:6" x14ac:dyDescent="0.3">
      <c r="A107" s="156" t="s">
        <v>236</v>
      </c>
      <c r="B107" t="s">
        <v>34</v>
      </c>
      <c r="C107" s="159">
        <v>4</v>
      </c>
      <c r="D107" t="str">
        <f>VLOOKUP(A107,DataUsuario!B:D,2,FALSE)</f>
        <v>Administración y Finanzas</v>
      </c>
      <c r="E107" t="str">
        <f>VLOOKUP(A107,DataUsuario!B:D,3,FALSE)</f>
        <v>Sistemas y TI</v>
      </c>
      <c r="F107" t="s">
        <v>66</v>
      </c>
    </row>
    <row r="108" spans="1:6" x14ac:dyDescent="0.3">
      <c r="A108" s="157" t="s">
        <v>314</v>
      </c>
      <c r="B108" t="s">
        <v>34</v>
      </c>
      <c r="C108" s="160">
        <v>5</v>
      </c>
      <c r="D108" t="str">
        <f>VLOOKUP(A108,DataUsuario!B:D,2,FALSE)</f>
        <v>Industrial y de Mantenimiento</v>
      </c>
      <c r="E108" t="str">
        <f>VLOOKUP(A108,DataUsuario!B:D,3,FALSE)</f>
        <v>Mantenimiento Industrial</v>
      </c>
      <c r="F108" t="s">
        <v>74</v>
      </c>
    </row>
    <row r="109" spans="1:6" x14ac:dyDescent="0.3">
      <c r="A109" s="156" t="s">
        <v>145</v>
      </c>
      <c r="B109" t="s">
        <v>34</v>
      </c>
      <c r="C109" s="159" t="s">
        <v>632</v>
      </c>
      <c r="D109" t="str">
        <f>VLOOKUP(A109,DataUsuario!B:D,2,FALSE)</f>
        <v>Administración y Finanzas</v>
      </c>
      <c r="E109" t="str">
        <f>VLOOKUP(A109,DataUsuario!B:D,3,FALSE)</f>
        <v>Legal</v>
      </c>
      <c r="F109" t="s">
        <v>66</v>
      </c>
    </row>
    <row r="110" spans="1:6" x14ac:dyDescent="0.3">
      <c r="A110" s="157" t="s">
        <v>299</v>
      </c>
      <c r="B110" t="s">
        <v>34</v>
      </c>
      <c r="C110" s="160">
        <v>4</v>
      </c>
      <c r="D110" t="str">
        <f>VLOOKUP(A110,DataUsuario!B:D,2,FALSE)</f>
        <v>Administración y Finanzas</v>
      </c>
      <c r="E110" t="str">
        <f>VLOOKUP(A110,DataUsuario!B:D,3,FALSE)</f>
        <v>Legal</v>
      </c>
      <c r="F110" t="s">
        <v>66</v>
      </c>
    </row>
    <row r="111" spans="1:6" x14ac:dyDescent="0.3">
      <c r="A111" s="156" t="s">
        <v>289</v>
      </c>
      <c r="B111" t="s">
        <v>34</v>
      </c>
      <c r="C111" s="159">
        <v>4</v>
      </c>
      <c r="D111" t="str">
        <f>VLOOKUP(A111,DataUsuario!B:D,2,FALSE)</f>
        <v>Agrícola</v>
      </c>
      <c r="E111" t="str">
        <f>VLOOKUP(A111,DataUsuario!B:D,3,FALSE)</f>
        <v>Mantenimiento de Riego y Bombas</v>
      </c>
      <c r="F111" t="s">
        <v>89</v>
      </c>
    </row>
    <row r="112" spans="1:6" x14ac:dyDescent="0.3">
      <c r="A112" s="157" t="s">
        <v>138</v>
      </c>
      <c r="B112" t="s">
        <v>34</v>
      </c>
      <c r="C112" s="160">
        <v>4</v>
      </c>
      <c r="D112" t="str">
        <f>VLOOKUP(A112,DataUsuario!B:D,2,FALSE)</f>
        <v>Gestión Humana y Sostenibilidad</v>
      </c>
      <c r="E112" t="str">
        <f>VLOOKUP(A112,DataUsuario!B:D,3,FALSE)</f>
        <v>Gestion del Talento</v>
      </c>
      <c r="F112" t="s">
        <v>62</v>
      </c>
    </row>
    <row r="113" spans="1:6" x14ac:dyDescent="0.3">
      <c r="A113" s="156" t="s">
        <v>326</v>
      </c>
      <c r="B113" t="s">
        <v>34</v>
      </c>
      <c r="C113" s="159">
        <v>4</v>
      </c>
      <c r="D113" t="str">
        <f>VLOOKUP(A113,DataUsuario!B:D,2,FALSE)</f>
        <v>Operaciones</v>
      </c>
      <c r="E113" t="str">
        <f>VLOOKUP(A113,DataUsuario!B:D,3,FALSE)</f>
        <v>Calidad</v>
      </c>
      <c r="F113" t="s">
        <v>70</v>
      </c>
    </row>
    <row r="114" spans="1:6" x14ac:dyDescent="0.3">
      <c r="A114" s="157" t="s">
        <v>421</v>
      </c>
      <c r="B114" t="s">
        <v>34</v>
      </c>
      <c r="C114" s="160">
        <v>4</v>
      </c>
      <c r="D114" t="str">
        <f>VLOOKUP(A114,DataUsuario!B:D,2,FALSE)</f>
        <v>Operaciones</v>
      </c>
      <c r="E114" t="str">
        <f>VLOOKUP(A114,DataUsuario!B:D,3,FALSE)</f>
        <v>Cosecha</v>
      </c>
      <c r="F114" t="s">
        <v>70</v>
      </c>
    </row>
    <row r="115" spans="1:6" x14ac:dyDescent="0.3">
      <c r="A115" s="156" t="s">
        <v>318</v>
      </c>
      <c r="B115" t="s">
        <v>34</v>
      </c>
      <c r="C115" s="159">
        <v>5</v>
      </c>
      <c r="D115" t="str">
        <f>VLOOKUP(A115,DataUsuario!B:D,2,FALSE)</f>
        <v>Operaciones</v>
      </c>
      <c r="E115" t="str">
        <f>VLOOKUP(A115,DataUsuario!B:D,3,FALSE)</f>
        <v>Cosecha</v>
      </c>
      <c r="F115" t="s">
        <v>70</v>
      </c>
    </row>
    <row r="116" spans="1:6" x14ac:dyDescent="0.3">
      <c r="A116" s="157" t="s">
        <v>176</v>
      </c>
      <c r="B116" t="s">
        <v>34</v>
      </c>
      <c r="C116" s="160">
        <v>5</v>
      </c>
      <c r="D116" t="str">
        <f>VLOOKUP(A116,DataUsuario!B:D,2,FALSE)</f>
        <v>Administración y Finanzas</v>
      </c>
      <c r="E116" t="str">
        <f>VLOOKUP(A116,DataUsuario!B:D,3,FALSE)</f>
        <v>Cadenas Productivas</v>
      </c>
      <c r="F116" t="s">
        <v>66</v>
      </c>
    </row>
    <row r="117" spans="1:6" x14ac:dyDescent="0.3">
      <c r="A117" s="156" t="s">
        <v>136</v>
      </c>
      <c r="B117" t="s">
        <v>34</v>
      </c>
      <c r="C117" s="159">
        <v>3</v>
      </c>
      <c r="D117" t="str">
        <f>VLOOKUP(A117,DataUsuario!B:D,2,FALSE)</f>
        <v>Operaciones</v>
      </c>
      <c r="E117" t="str">
        <f>VLOOKUP(A117,DataUsuario!B:D,3,FALSE)</f>
        <v>Comercial</v>
      </c>
      <c r="F117" t="s">
        <v>70</v>
      </c>
    </row>
    <row r="118" spans="1:6" x14ac:dyDescent="0.3">
      <c r="A118" s="157" t="s">
        <v>376</v>
      </c>
      <c r="B118" t="s">
        <v>34</v>
      </c>
      <c r="C118" s="160">
        <v>5</v>
      </c>
      <c r="D118" t="str">
        <f>VLOOKUP(A118,DataUsuario!B:D,2,FALSE)</f>
        <v>Administración y Finanzas</v>
      </c>
      <c r="E118" t="str">
        <f>VLOOKUP(A118,DataUsuario!B:D,3,FALSE)</f>
        <v>Control de Gestión</v>
      </c>
      <c r="F118" t="s">
        <v>66</v>
      </c>
    </row>
    <row r="119" spans="1:6" x14ac:dyDescent="0.3">
      <c r="A119" s="156" t="s">
        <v>285</v>
      </c>
      <c r="B119" t="s">
        <v>34</v>
      </c>
      <c r="C119" s="159">
        <v>3</v>
      </c>
      <c r="D119" t="str">
        <f>VLOOKUP(A119,DataUsuario!B:D,2,FALSE)</f>
        <v>Operaciones</v>
      </c>
      <c r="E119" t="str">
        <f>VLOOKUP(A119,DataUsuario!B:D,3,FALSE)</f>
        <v>Comercial</v>
      </c>
      <c r="F119" t="s">
        <v>70</v>
      </c>
    </row>
    <row r="120" spans="1:6" x14ac:dyDescent="0.3">
      <c r="A120" s="157" t="s">
        <v>341</v>
      </c>
      <c r="B120" t="s">
        <v>34</v>
      </c>
      <c r="C120" s="160">
        <v>5</v>
      </c>
      <c r="D120" t="str">
        <f>VLOOKUP(A120,DataUsuario!B:D,2,FALSE)</f>
        <v>Administración y Finanzas</v>
      </c>
      <c r="E120" t="str">
        <f>VLOOKUP(A120,DataUsuario!B:D,3,FALSE)</f>
        <v>Contabilidad Tributaria</v>
      </c>
      <c r="F120" t="s">
        <v>66</v>
      </c>
    </row>
    <row r="121" spans="1:6" x14ac:dyDescent="0.3">
      <c r="A121" s="156" t="s">
        <v>254</v>
      </c>
      <c r="B121" t="s">
        <v>34</v>
      </c>
      <c r="C121" s="159">
        <v>4</v>
      </c>
      <c r="D121" t="str">
        <f>VLOOKUP(A121,DataUsuario!B:D,2,FALSE)</f>
        <v>Administración y Finanzas</v>
      </c>
      <c r="E121" t="str">
        <f>VLOOKUP(A121,DataUsuario!B:D,3,FALSE)</f>
        <v>Administración</v>
      </c>
      <c r="F121" t="s">
        <v>66</v>
      </c>
    </row>
    <row r="122" spans="1:6" x14ac:dyDescent="0.3">
      <c r="A122" s="157" t="s">
        <v>224</v>
      </c>
      <c r="B122" t="s">
        <v>34</v>
      </c>
      <c r="C122" s="160">
        <v>4</v>
      </c>
      <c r="D122" t="str">
        <f>VLOOKUP(A122,DataUsuario!B:D,2,FALSE)</f>
        <v>Agrícola</v>
      </c>
      <c r="E122" t="str">
        <f>VLOOKUP(A122,DataUsuario!B:D,3,FALSE)</f>
        <v>Laboratorio e Investigación Agricola</v>
      </c>
      <c r="F122" t="s">
        <v>89</v>
      </c>
    </row>
    <row r="123" spans="1:6" x14ac:dyDescent="0.3">
      <c r="A123" s="156" t="s">
        <v>578</v>
      </c>
      <c r="B123" t="s">
        <v>34</v>
      </c>
      <c r="C123" s="159">
        <v>5</v>
      </c>
      <c r="D123" t="str">
        <f>VLOOKUP(A123,DataUsuario!B:D,2,FALSE)</f>
        <v>Administración y Finanzas</v>
      </c>
      <c r="E123" t="str">
        <f>VLOOKUP(A123,DataUsuario!B:D,3,FALSE)</f>
        <v>Finanzas y Tesorería</v>
      </c>
      <c r="F123" t="s">
        <v>66</v>
      </c>
    </row>
    <row r="124" spans="1:6" x14ac:dyDescent="0.3">
      <c r="A124" s="157" t="s">
        <v>196</v>
      </c>
      <c r="B124" t="s">
        <v>34</v>
      </c>
      <c r="C124" s="160">
        <v>3</v>
      </c>
      <c r="D124" t="str">
        <f>VLOOKUP(A124,DataUsuario!B:D,2,FALSE)</f>
        <v>Agrícola</v>
      </c>
      <c r="E124" t="str">
        <f>VLOOKUP(A124,DataUsuario!B:D,3,FALSE)</f>
        <v>Mantenimiento de Riego y Bombas</v>
      </c>
      <c r="F124" t="s">
        <v>89</v>
      </c>
    </row>
    <row r="125" spans="1:6" x14ac:dyDescent="0.3">
      <c r="A125" s="156" t="s">
        <v>328</v>
      </c>
      <c r="B125" t="s">
        <v>34</v>
      </c>
      <c r="C125" s="159">
        <v>4</v>
      </c>
      <c r="D125" t="str">
        <f>VLOOKUP(A125,DataUsuario!B:D,2,FALSE)</f>
        <v>Administración y Finanzas</v>
      </c>
      <c r="E125" t="str">
        <f>VLOOKUP(A125,DataUsuario!B:D,3,FALSE)</f>
        <v>Administración</v>
      </c>
      <c r="F125" t="s">
        <v>66</v>
      </c>
    </row>
    <row r="126" spans="1:6" x14ac:dyDescent="0.3">
      <c r="A126" s="157" t="s">
        <v>403</v>
      </c>
      <c r="B126" t="s">
        <v>34</v>
      </c>
      <c r="C126" s="160">
        <v>4</v>
      </c>
      <c r="D126" t="str">
        <f>VLOOKUP(A126,DataUsuario!B:D,2,FALSE)</f>
        <v>Administración y Finanzas</v>
      </c>
      <c r="E126" t="str">
        <f>VLOOKUP(A126,DataUsuario!B:D,3,FALSE)</f>
        <v>Control de Gestión</v>
      </c>
      <c r="F126" t="s">
        <v>66</v>
      </c>
    </row>
    <row r="127" spans="1:6" x14ac:dyDescent="0.3">
      <c r="A127" s="156" t="s">
        <v>602</v>
      </c>
      <c r="B127" t="s">
        <v>34</v>
      </c>
      <c r="C127" s="159">
        <v>4</v>
      </c>
      <c r="D127" t="str">
        <f>VLOOKUP(A127,DataUsuario!B:D,2,FALSE)</f>
        <v>Industrial y de Mantenimiento</v>
      </c>
      <c r="E127" t="str">
        <f>VLOOKUP(A127,DataUsuario!B:D,3,FALSE)</f>
        <v>Mantenimiento Industrial</v>
      </c>
      <c r="F127" t="s">
        <v>74</v>
      </c>
    </row>
    <row r="128" spans="1:6" x14ac:dyDescent="0.3">
      <c r="A128" s="157" t="s">
        <v>230</v>
      </c>
      <c r="B128" t="s">
        <v>34</v>
      </c>
      <c r="C128" s="160">
        <v>5</v>
      </c>
      <c r="D128" t="str">
        <f>VLOOKUP(A128,DataUsuario!B:D,2,FALSE)</f>
        <v>Agrícola</v>
      </c>
      <c r="E128" t="str">
        <f>VLOOKUP(A128,DataUsuario!B:D,3,FALSE)</f>
        <v>Fundo Lobo</v>
      </c>
      <c r="F128" t="s">
        <v>89</v>
      </c>
    </row>
    <row r="129" spans="1:6" x14ac:dyDescent="0.3">
      <c r="A129" s="156" t="s">
        <v>372</v>
      </c>
      <c r="B129" t="s">
        <v>34</v>
      </c>
      <c r="C129" s="159">
        <v>4</v>
      </c>
      <c r="D129" t="str">
        <f>VLOOKUP(A129,DataUsuario!B:D,2,FALSE)</f>
        <v>Agrícola</v>
      </c>
      <c r="E129" t="str">
        <f>VLOOKUP(A129,DataUsuario!B:D,3,FALSE)</f>
        <v>Laboratorio e Investigación Agricola</v>
      </c>
      <c r="F129" t="s">
        <v>89</v>
      </c>
    </row>
    <row r="130" spans="1:6" x14ac:dyDescent="0.3">
      <c r="A130" s="157" t="s">
        <v>405</v>
      </c>
      <c r="B130" t="s">
        <v>34</v>
      </c>
      <c r="C130" s="160">
        <v>5</v>
      </c>
      <c r="D130" t="str">
        <f>VLOOKUP(A130,DataUsuario!B:D,2,FALSE)</f>
        <v>Administración y Finanzas</v>
      </c>
      <c r="E130" t="str">
        <f>VLOOKUP(A130,DataUsuario!B:D,3,FALSE)</f>
        <v>Finanzas y Tesorería</v>
      </c>
      <c r="F130" t="s">
        <v>66</v>
      </c>
    </row>
    <row r="131" spans="1:6" x14ac:dyDescent="0.3">
      <c r="A131" s="156" t="s">
        <v>287</v>
      </c>
      <c r="B131" t="s">
        <v>34</v>
      </c>
      <c r="C131" s="159">
        <v>4</v>
      </c>
      <c r="D131" t="str">
        <f>VLOOKUP(A131,DataUsuario!B:D,2,FALSE)</f>
        <v>Operaciones</v>
      </c>
      <c r="E131" t="str">
        <f>VLOOKUP(A131,DataUsuario!B:D,3,FALSE)</f>
        <v>Calidad</v>
      </c>
      <c r="F131" t="s">
        <v>70</v>
      </c>
    </row>
    <row r="132" spans="1:6" x14ac:dyDescent="0.3">
      <c r="A132" s="157" t="s">
        <v>258</v>
      </c>
      <c r="B132" t="s">
        <v>34</v>
      </c>
      <c r="C132" s="160">
        <v>4</v>
      </c>
      <c r="D132" t="str">
        <f>VLOOKUP(A132,DataUsuario!B:D,2,FALSE)</f>
        <v>Operaciones</v>
      </c>
      <c r="E132" t="str">
        <f>VLOOKUP(A132,DataUsuario!B:D,3,FALSE)</f>
        <v>Calidad</v>
      </c>
      <c r="F132" t="s">
        <v>70</v>
      </c>
    </row>
    <row r="133" spans="1:6" x14ac:dyDescent="0.3">
      <c r="A133" s="156" t="s">
        <v>97</v>
      </c>
      <c r="B133" t="s">
        <v>34</v>
      </c>
      <c r="C133" s="159">
        <v>5</v>
      </c>
      <c r="D133" t="str">
        <f>VLOOKUP(A133,DataUsuario!B:D,2,FALSE)</f>
        <v>Gestión Humana y Sostenibilidad</v>
      </c>
      <c r="E133" t="str">
        <f>VLOOKUP(A133,DataUsuario!B:D,3,FALSE)</f>
        <v>Compensación y Nóminas</v>
      </c>
      <c r="F133" t="s">
        <v>62</v>
      </c>
    </row>
    <row r="134" spans="1:6" x14ac:dyDescent="0.3">
      <c r="A134" s="157" t="s">
        <v>99</v>
      </c>
      <c r="B134" t="s">
        <v>34</v>
      </c>
      <c r="C134" s="160">
        <v>5</v>
      </c>
      <c r="D134" t="str">
        <f>VLOOKUP(A134,DataUsuario!B:D,2,FALSE)</f>
        <v>Gestión Humana y Sostenibilidad</v>
      </c>
      <c r="E134" t="str">
        <f>VLOOKUP(A134,DataUsuario!B:D,3,FALSE)</f>
        <v>Gestor de Recursos Humanos</v>
      </c>
      <c r="F134" t="s">
        <v>62</v>
      </c>
    </row>
    <row r="135" spans="1:6" x14ac:dyDescent="0.3">
      <c r="A135" s="156" t="s">
        <v>245</v>
      </c>
      <c r="B135" t="s">
        <v>34</v>
      </c>
      <c r="C135" s="159">
        <v>5</v>
      </c>
      <c r="D135" t="str">
        <f>VLOOKUP(A135,DataUsuario!B:D,2,FALSE)</f>
        <v>Gestión Humana y Sostenibilidad</v>
      </c>
      <c r="E135" t="str">
        <f>VLOOKUP(A135,DataUsuario!B:D,3,FALSE)</f>
        <v>Compensación y Nóminas</v>
      </c>
      <c r="F135" t="s">
        <v>62</v>
      </c>
    </row>
    <row r="136" spans="1:6" x14ac:dyDescent="0.3">
      <c r="A136" s="157" t="s">
        <v>271</v>
      </c>
      <c r="B136" t="s">
        <v>34</v>
      </c>
      <c r="C136" s="160">
        <v>4</v>
      </c>
      <c r="D136" t="str">
        <f>VLOOKUP(A136,DataUsuario!B:D,2,FALSE)</f>
        <v>Operaciones</v>
      </c>
      <c r="E136" t="str">
        <f>VLOOKUP(A136,DataUsuario!B:D,3,FALSE)</f>
        <v>Calidad</v>
      </c>
      <c r="F136" t="s">
        <v>70</v>
      </c>
    </row>
    <row r="137" spans="1:6" x14ac:dyDescent="0.3">
      <c r="A137" s="156" t="s">
        <v>118</v>
      </c>
      <c r="B137" t="s">
        <v>34</v>
      </c>
      <c r="C137" s="159">
        <v>5</v>
      </c>
      <c r="D137" t="str">
        <f>VLOOKUP(A137,DataUsuario!B:D,2,FALSE)</f>
        <v>Agrícola</v>
      </c>
      <c r="E137" t="str">
        <f>VLOOKUP(A137,DataUsuario!B:D,3,FALSE)</f>
        <v>Fundo Lobo</v>
      </c>
      <c r="F137" t="s">
        <v>89</v>
      </c>
    </row>
    <row r="138" spans="1:6" x14ac:dyDescent="0.3">
      <c r="A138" s="157" t="s">
        <v>207</v>
      </c>
      <c r="B138" t="s">
        <v>34</v>
      </c>
      <c r="C138" s="160">
        <v>5</v>
      </c>
      <c r="D138" t="str">
        <f>VLOOKUP(A138,DataUsuario!B:D,2,FALSE)</f>
        <v>Administración y Finanzas</v>
      </c>
      <c r="E138" t="str">
        <f>VLOOKUP(A138,DataUsuario!B:D,3,FALSE)</f>
        <v>Riesgos y Cumplimiento</v>
      </c>
      <c r="F138" t="s">
        <v>66</v>
      </c>
    </row>
    <row r="139" spans="1:6" x14ac:dyDescent="0.3">
      <c r="A139" s="156" t="s">
        <v>395</v>
      </c>
      <c r="B139" t="s">
        <v>34</v>
      </c>
      <c r="C139" s="159">
        <v>4</v>
      </c>
      <c r="D139" t="str">
        <f>VLOOKUP(A139,DataUsuario!B:D,2,FALSE)</f>
        <v>Operaciones</v>
      </c>
      <c r="E139" t="str">
        <f>VLOOKUP(A139,DataUsuario!B:D,3,FALSE)</f>
        <v>Mantenimiento CAT</v>
      </c>
      <c r="F139" t="s">
        <v>70</v>
      </c>
    </row>
    <row r="140" spans="1:6" x14ac:dyDescent="0.3">
      <c r="A140" s="157" t="s">
        <v>183</v>
      </c>
      <c r="B140" t="s">
        <v>34</v>
      </c>
      <c r="C140" s="160">
        <v>5</v>
      </c>
      <c r="D140" t="str">
        <f>VLOOKUP(A140,DataUsuario!B:D,2,FALSE)</f>
        <v>Agrícola</v>
      </c>
      <c r="E140" t="str">
        <f>VLOOKUP(A140,DataUsuario!B:D,3,FALSE)</f>
        <v>Planificador Agrícola</v>
      </c>
      <c r="F140" t="s">
        <v>89</v>
      </c>
    </row>
    <row r="141" spans="1:6" x14ac:dyDescent="0.3">
      <c r="A141" s="156" t="s">
        <v>607</v>
      </c>
      <c r="B141" t="s">
        <v>34</v>
      </c>
      <c r="C141" s="159">
        <v>5</v>
      </c>
      <c r="D141" t="str">
        <f>VLOOKUP(A141,DataUsuario!B:D,2,FALSE)</f>
        <v>Gestión Humana y Sostenibilidad</v>
      </c>
      <c r="E141" t="str">
        <f>VLOOKUP(A141,DataUsuario!B:D,3,FALSE)</f>
        <v>Gestor de Recursos Humanos</v>
      </c>
      <c r="F141" t="s">
        <v>62</v>
      </c>
    </row>
    <row r="142" spans="1:6" x14ac:dyDescent="0.3">
      <c r="A142" s="157" t="s">
        <v>352</v>
      </c>
      <c r="B142" t="s">
        <v>34</v>
      </c>
      <c r="C142" s="160">
        <v>4</v>
      </c>
      <c r="D142" t="str">
        <f>VLOOKUP(A142,DataUsuario!B:D,2,FALSE)</f>
        <v>Gestión Humana y Sostenibilidad</v>
      </c>
      <c r="E142" t="str">
        <f>VLOOKUP(A142,DataUsuario!B:D,3,FALSE)</f>
        <v>Compensación y Nóminas</v>
      </c>
      <c r="F142" t="s">
        <v>62</v>
      </c>
    </row>
    <row r="143" spans="1:6" x14ac:dyDescent="0.3">
      <c r="A143" s="156" t="s">
        <v>215</v>
      </c>
      <c r="B143" t="s">
        <v>34</v>
      </c>
      <c r="C143" s="159">
        <v>5</v>
      </c>
      <c r="D143" t="str">
        <f>VLOOKUP(A143,DataUsuario!B:D,2,FALSE)</f>
        <v>Gestión Humana y Sostenibilidad</v>
      </c>
      <c r="E143" t="str">
        <f>VLOOKUP(A143,DataUsuario!B:D,3,FALSE)</f>
        <v>Seguridad</v>
      </c>
      <c r="F143" t="s">
        <v>62</v>
      </c>
    </row>
    <row r="144" spans="1:6" x14ac:dyDescent="0.3">
      <c r="A144" s="157" t="s">
        <v>387</v>
      </c>
      <c r="B144" t="s">
        <v>34</v>
      </c>
      <c r="C144" s="160">
        <v>5</v>
      </c>
      <c r="D144" t="str">
        <f>VLOOKUP(A144,DataUsuario!B:D,2,FALSE)</f>
        <v>Administración y Finanzas</v>
      </c>
      <c r="E144" t="str">
        <f>VLOOKUP(A144,DataUsuario!B:D,3,FALSE)</f>
        <v>Contabilidad Tributaria</v>
      </c>
      <c r="F144" t="s">
        <v>66</v>
      </c>
    </row>
    <row r="145" spans="1:6" x14ac:dyDescent="0.3">
      <c r="A145" s="156" t="s">
        <v>397</v>
      </c>
      <c r="B145" t="s">
        <v>34</v>
      </c>
      <c r="C145" s="159">
        <v>5</v>
      </c>
      <c r="D145" t="str">
        <f>VLOOKUP(A145,DataUsuario!B:D,2,FALSE)</f>
        <v>Administración y Finanzas</v>
      </c>
      <c r="E145" t="str">
        <f>VLOOKUP(A145,DataUsuario!B:D,3,FALSE)</f>
        <v>Control de Gestión</v>
      </c>
      <c r="F145" t="s">
        <v>66</v>
      </c>
    </row>
    <row r="146" spans="1:6" x14ac:dyDescent="0.3">
      <c r="A146" s="157" t="s">
        <v>120</v>
      </c>
      <c r="B146" t="s">
        <v>34</v>
      </c>
      <c r="C146" s="160">
        <v>4</v>
      </c>
      <c r="D146" t="str">
        <f>VLOOKUP(A146,DataUsuario!B:D,2,FALSE)</f>
        <v>Agrícola</v>
      </c>
      <c r="E146" t="str">
        <f>VLOOKUP(A146,DataUsuario!B:D,3,FALSE)</f>
        <v>Fundo Montelima</v>
      </c>
      <c r="F146" t="s">
        <v>89</v>
      </c>
    </row>
    <row r="147" spans="1:6" x14ac:dyDescent="0.3">
      <c r="A147" s="156" t="s">
        <v>611</v>
      </c>
      <c r="B147" t="s">
        <v>34</v>
      </c>
      <c r="C147" s="159">
        <v>5</v>
      </c>
      <c r="D147" t="str">
        <f>VLOOKUP(A147,DataUsuario!B:D,2,FALSE)</f>
        <v>Operaciones</v>
      </c>
      <c r="E147" t="str">
        <f>VLOOKUP(A147,DataUsuario!B:D,3,FALSE)</f>
        <v>Almacenes y Distribución PT</v>
      </c>
      <c r="F147" t="s">
        <v>70</v>
      </c>
    </row>
    <row r="148" spans="1:6" x14ac:dyDescent="0.3">
      <c r="A148" s="157" t="s">
        <v>217</v>
      </c>
      <c r="B148" t="s">
        <v>34</v>
      </c>
      <c r="C148" s="160">
        <v>4</v>
      </c>
      <c r="D148" t="str">
        <f>VLOOKUP(A148,DataUsuario!B:D,2,FALSE)</f>
        <v>Agrícola</v>
      </c>
      <c r="E148" t="str">
        <f>VLOOKUP(A148,DataUsuario!B:D,3,FALSE)</f>
        <v>Mantenimiento de Riego y Bombas</v>
      </c>
      <c r="F148" t="s">
        <v>89</v>
      </c>
    </row>
    <row r="149" spans="1:6" x14ac:dyDescent="0.3">
      <c r="A149" s="156" t="s">
        <v>256</v>
      </c>
      <c r="B149" t="s">
        <v>34</v>
      </c>
      <c r="C149" s="159">
        <v>4</v>
      </c>
      <c r="D149" t="str">
        <f>VLOOKUP(A149,DataUsuario!B:D,2,FALSE)</f>
        <v>Agrícola</v>
      </c>
      <c r="E149" t="str">
        <f>VLOOKUP(A149,DataUsuario!B:D,3,FALSE)</f>
        <v>Fundo Montelima</v>
      </c>
      <c r="F149" t="s">
        <v>89</v>
      </c>
    </row>
    <row r="150" spans="1:6" x14ac:dyDescent="0.3">
      <c r="A150" s="157" t="s">
        <v>164</v>
      </c>
      <c r="B150" t="s">
        <v>34</v>
      </c>
      <c r="C150" s="160" t="s">
        <v>632</v>
      </c>
      <c r="D150" t="str">
        <f>VLOOKUP(A150,DataUsuario!B:D,2,FALSE)</f>
        <v>Agrícola</v>
      </c>
      <c r="E150" t="str">
        <f>VLOOKUP(A150,DataUsuario!B:D,3,FALSE)</f>
        <v>Fundo San Vicente</v>
      </c>
      <c r="F150" t="s">
        <v>89</v>
      </c>
    </row>
    <row r="151" spans="1:6" x14ac:dyDescent="0.3">
      <c r="A151" s="156" t="s">
        <v>170</v>
      </c>
      <c r="B151" t="s">
        <v>34</v>
      </c>
      <c r="C151" s="159">
        <v>5</v>
      </c>
      <c r="D151" t="str">
        <f>VLOOKUP(A151,DataUsuario!B:D,2,FALSE)</f>
        <v>Operaciones</v>
      </c>
      <c r="E151" t="str">
        <f>VLOOKUP(A151,DataUsuario!B:D,3,FALSE)</f>
        <v>Mantenimiento CAT</v>
      </c>
      <c r="F151" t="s">
        <v>70</v>
      </c>
    </row>
    <row r="152" spans="1:6" x14ac:dyDescent="0.3">
      <c r="A152" s="157" t="s">
        <v>337</v>
      </c>
      <c r="B152" t="s">
        <v>34</v>
      </c>
      <c r="C152" s="160">
        <v>5</v>
      </c>
      <c r="D152" t="str">
        <f>VLOOKUP(A152,DataUsuario!B:D,2,FALSE)</f>
        <v>Agrícola</v>
      </c>
      <c r="E152" t="str">
        <f>VLOOKUP(A152,DataUsuario!B:D,3,FALSE)</f>
        <v>Fundo San Vicente</v>
      </c>
      <c r="F152" t="s">
        <v>89</v>
      </c>
    </row>
    <row r="153" spans="1:6" x14ac:dyDescent="0.3">
      <c r="A153" s="156" t="s">
        <v>423</v>
      </c>
      <c r="B153" t="s">
        <v>34</v>
      </c>
      <c r="C153" s="159">
        <v>4</v>
      </c>
      <c r="D153" t="str">
        <f>VLOOKUP(A153,DataUsuario!B:D,2,FALSE)</f>
        <v>Industrial y de Mantenimiento</v>
      </c>
      <c r="E153" t="str">
        <f>VLOOKUP(A153,DataUsuario!B:D,3,FALSE)</f>
        <v>Producción</v>
      </c>
      <c r="F153" t="s">
        <v>74</v>
      </c>
    </row>
    <row r="154" spans="1:6" x14ac:dyDescent="0.3">
      <c r="A154" s="157" t="s">
        <v>205</v>
      </c>
      <c r="B154" t="s">
        <v>34</v>
      </c>
      <c r="C154" s="160">
        <v>5</v>
      </c>
      <c r="D154" t="str">
        <f>VLOOKUP(A154,DataUsuario!B:D,2,FALSE)</f>
        <v>Operaciones</v>
      </c>
      <c r="E154" t="str">
        <f>VLOOKUP(A154,DataUsuario!B:D,3,FALSE)</f>
        <v>Almacenes y Distribución PT</v>
      </c>
      <c r="F154" t="s">
        <v>70</v>
      </c>
    </row>
    <row r="155" spans="1:6" x14ac:dyDescent="0.3">
      <c r="A155" s="156" t="s">
        <v>150</v>
      </c>
      <c r="B155" t="s">
        <v>34</v>
      </c>
      <c r="C155" s="159">
        <v>4</v>
      </c>
      <c r="D155" t="str">
        <f>VLOOKUP(A155,DataUsuario!B:D,2,FALSE)</f>
        <v>Industrial y de Mantenimiento</v>
      </c>
      <c r="E155" t="str">
        <f>VLOOKUP(A155,DataUsuario!B:D,3,FALSE)</f>
        <v>Producción</v>
      </c>
      <c r="F155" t="s">
        <v>74</v>
      </c>
    </row>
    <row r="156" spans="1:6" x14ac:dyDescent="0.3">
      <c r="A156" s="157" t="s">
        <v>374</v>
      </c>
      <c r="B156" t="s">
        <v>34</v>
      </c>
      <c r="C156" s="160">
        <v>4</v>
      </c>
      <c r="D156" t="str">
        <f>VLOOKUP(A156,DataUsuario!B:D,2,FALSE)</f>
        <v>Agrícola</v>
      </c>
      <c r="E156" t="str">
        <f>VLOOKUP(A156,DataUsuario!B:D,3,FALSE)</f>
        <v>Mantenimiento de Riego y Bombas</v>
      </c>
      <c r="F156" t="s">
        <v>89</v>
      </c>
    </row>
    <row r="157" spans="1:6" x14ac:dyDescent="0.3">
      <c r="A157" s="156" t="s">
        <v>156</v>
      </c>
      <c r="B157" t="s">
        <v>34</v>
      </c>
      <c r="C157" s="159" t="s">
        <v>632</v>
      </c>
      <c r="D157" t="str">
        <f>VLOOKUP(A157,DataUsuario!B:D,2,FALSE)</f>
        <v>Administración y Finanzas</v>
      </c>
      <c r="E157" t="str">
        <f>VLOOKUP(A157,DataUsuario!B:D,3,FALSE)</f>
        <v>Compras</v>
      </c>
      <c r="F157" t="s">
        <v>66</v>
      </c>
    </row>
    <row r="158" spans="1:6" x14ac:dyDescent="0.3">
      <c r="A158" s="157" t="s">
        <v>192</v>
      </c>
      <c r="B158" t="s">
        <v>34</v>
      </c>
      <c r="C158" s="160">
        <v>4</v>
      </c>
      <c r="D158" t="str">
        <f>VLOOKUP(A158,DataUsuario!B:D,2,FALSE)</f>
        <v>Agrícola</v>
      </c>
      <c r="E158" t="str">
        <f>VLOOKUP(A158,DataUsuario!B:D,3,FALSE)</f>
        <v>Mantenimiento de Riego y Bombas</v>
      </c>
      <c r="F158" t="s">
        <v>89</v>
      </c>
    </row>
    <row r="159" spans="1:6" x14ac:dyDescent="0.3">
      <c r="A159" s="156" t="s">
        <v>152</v>
      </c>
      <c r="B159" t="s">
        <v>34</v>
      </c>
      <c r="C159" s="159">
        <v>4</v>
      </c>
      <c r="D159" t="str">
        <f>VLOOKUP(A159,DataUsuario!B:D,2,FALSE)</f>
        <v>Operaciones</v>
      </c>
      <c r="E159" t="str">
        <f>VLOOKUP(A159,DataUsuario!B:D,3,FALSE)</f>
        <v>Almacenes y Distribución PT</v>
      </c>
      <c r="F159" t="s">
        <v>70</v>
      </c>
    </row>
    <row r="160" spans="1:6" x14ac:dyDescent="0.3">
      <c r="A160" s="157" t="s">
        <v>378</v>
      </c>
      <c r="B160" t="s">
        <v>34</v>
      </c>
      <c r="C160" s="160">
        <v>4</v>
      </c>
      <c r="D160" t="str">
        <f>VLOOKUP(A160,DataUsuario!B:D,2,FALSE)</f>
        <v>Industrial y de Mantenimiento</v>
      </c>
      <c r="E160" t="str">
        <f>VLOOKUP(A160,DataUsuario!B:D,3,FALSE)</f>
        <v>Gerencia industrial y de Mantenimiento</v>
      </c>
      <c r="F160" t="s">
        <v>74</v>
      </c>
    </row>
    <row r="161" spans="1:6" x14ac:dyDescent="0.3">
      <c r="A161" s="156" t="s">
        <v>162</v>
      </c>
      <c r="B161" t="s">
        <v>34</v>
      </c>
      <c r="C161" s="159" t="s">
        <v>632</v>
      </c>
      <c r="D161" t="str">
        <f>VLOOKUP(A161,DataUsuario!B:D,2,FALSE)</f>
        <v>Agrícola</v>
      </c>
      <c r="E161" t="str">
        <f>VLOOKUP(A161,DataUsuario!B:D,3,FALSE)</f>
        <v>Fundo Lobo</v>
      </c>
      <c r="F161" t="s">
        <v>89</v>
      </c>
    </row>
    <row r="162" spans="1:6" x14ac:dyDescent="0.3">
      <c r="A162" s="157" t="s">
        <v>160</v>
      </c>
      <c r="B162" t="s">
        <v>34</v>
      </c>
      <c r="C162" s="160" t="s">
        <v>632</v>
      </c>
      <c r="D162" t="str">
        <f>VLOOKUP(A162,DataUsuario!B:D,2,FALSE)</f>
        <v>Agrícola</v>
      </c>
      <c r="E162" t="str">
        <f>VLOOKUP(A162,DataUsuario!B:D,3,FALSE)</f>
        <v>Fundo Lobo</v>
      </c>
      <c r="F162" t="s">
        <v>89</v>
      </c>
    </row>
    <row r="163" spans="1:6" x14ac:dyDescent="0.3">
      <c r="A163" s="156" t="s">
        <v>617</v>
      </c>
      <c r="B163" t="s">
        <v>34</v>
      </c>
      <c r="C163" s="159">
        <v>5</v>
      </c>
      <c r="D163" t="str">
        <f>VLOOKUP(A163,DataUsuario!B:D,2,FALSE)</f>
        <v>Administración y Finanzas</v>
      </c>
      <c r="E163" t="str">
        <f>VLOOKUP(A163,DataUsuario!B:D,3,FALSE)</f>
        <v>Control de Gestión</v>
      </c>
      <c r="F163" t="s">
        <v>66</v>
      </c>
    </row>
    <row r="164" spans="1:6" x14ac:dyDescent="0.3">
      <c r="A164" s="157" t="s">
        <v>210</v>
      </c>
      <c r="B164" t="s">
        <v>34</v>
      </c>
      <c r="C164" s="160">
        <v>4</v>
      </c>
      <c r="D164" t="str">
        <f>VLOOKUP(A164,DataUsuario!B:D,2,FALSE)</f>
        <v>Industrial y de Mantenimiento</v>
      </c>
      <c r="E164" t="str">
        <f>VLOOKUP(A164,DataUsuario!B:D,3,FALSE)</f>
        <v>Planta y Srv Industriales</v>
      </c>
      <c r="F164" t="s">
        <v>74</v>
      </c>
    </row>
    <row r="165" spans="1:6" x14ac:dyDescent="0.3">
      <c r="A165" s="156" t="s">
        <v>350</v>
      </c>
      <c r="B165" t="s">
        <v>34</v>
      </c>
      <c r="C165" s="159">
        <v>5</v>
      </c>
      <c r="D165" t="str">
        <f>VLOOKUP(A165,DataUsuario!B:D,2,FALSE)</f>
        <v>Agrícola</v>
      </c>
      <c r="E165" t="str">
        <f>VLOOKUP(A165,DataUsuario!B:D,3,FALSE)</f>
        <v>Planificador Agrícola</v>
      </c>
      <c r="F165" t="s">
        <v>89</v>
      </c>
    </row>
    <row r="166" spans="1:6" x14ac:dyDescent="0.3">
      <c r="A166" s="157" t="s">
        <v>619</v>
      </c>
      <c r="B166" t="s">
        <v>34</v>
      </c>
      <c r="C166" s="160">
        <v>4</v>
      </c>
      <c r="D166" t="str">
        <f>VLOOKUP(A166,DataUsuario!B:D,2,FALSE)</f>
        <v>Gestión Humana y Sostenibilidad</v>
      </c>
      <c r="E166" t="str">
        <f>VLOOKUP(A166,DataUsuario!B:D,3,FALSE)</f>
        <v>Control Presupuestal</v>
      </c>
      <c r="F166" t="s">
        <v>62</v>
      </c>
    </row>
    <row r="167" spans="1:6" x14ac:dyDescent="0.3">
      <c r="A167" s="156" t="s">
        <v>158</v>
      </c>
      <c r="B167" t="s">
        <v>34</v>
      </c>
      <c r="C167" s="159">
        <v>4</v>
      </c>
      <c r="D167" t="str">
        <f>VLOOKUP(A167,DataUsuario!B:D,2,FALSE)</f>
        <v>Operaciones</v>
      </c>
      <c r="E167" t="str">
        <f>VLOOKUP(A167,DataUsuario!B:D,3,FALSE)</f>
        <v>Calidad</v>
      </c>
      <c r="F167" t="s">
        <v>70</v>
      </c>
    </row>
    <row r="168" spans="1:6" x14ac:dyDescent="0.3">
      <c r="A168" s="157" t="s">
        <v>61</v>
      </c>
      <c r="B168" t="s">
        <v>34</v>
      </c>
      <c r="C168" s="160">
        <v>4</v>
      </c>
      <c r="D168" t="str">
        <f>VLOOKUP(A168,DataUsuario!B:D,2,FALSE)</f>
        <v>Gestión Humana y Sostenibilidad</v>
      </c>
      <c r="E168" t="str">
        <f>VLOOKUP(A168,DataUsuario!B:D,3,FALSE)</f>
        <v>Compensación y Nóminas</v>
      </c>
      <c r="F168" t="s">
        <v>62</v>
      </c>
    </row>
    <row r="169" spans="1:6" x14ac:dyDescent="0.3">
      <c r="A169" s="156" t="s">
        <v>385</v>
      </c>
      <c r="B169" t="s">
        <v>34</v>
      </c>
      <c r="C169" s="159" t="s">
        <v>632</v>
      </c>
      <c r="D169" t="str">
        <f>VLOOKUP(A169,DataUsuario!B:D,2,FALSE)</f>
        <v>Agrícola</v>
      </c>
      <c r="E169" t="str">
        <f>VLOOKUP(A169,DataUsuario!B:D,3,FALSE)</f>
        <v>Fundo Montelima</v>
      </c>
      <c r="F169" t="s">
        <v>89</v>
      </c>
    </row>
    <row r="170" spans="1:6" x14ac:dyDescent="0.3">
      <c r="A170" s="157" t="s">
        <v>621</v>
      </c>
      <c r="B170" t="s">
        <v>34</v>
      </c>
      <c r="C170" s="160">
        <v>5</v>
      </c>
      <c r="D170" t="str">
        <f>VLOOKUP(A170,DataUsuario!B:D,2,FALSE)</f>
        <v>Industrial y de Mantenimiento</v>
      </c>
      <c r="E170" t="str">
        <f>VLOOKUP(A170,DataUsuario!B:D,3,FALSE)</f>
        <v>Mantenimiento Industrial</v>
      </c>
      <c r="F170" t="s">
        <v>74</v>
      </c>
    </row>
    <row r="171" spans="1:6" x14ac:dyDescent="0.3">
      <c r="A171" s="156" t="s">
        <v>123</v>
      </c>
      <c r="B171" t="s">
        <v>34</v>
      </c>
      <c r="C171" s="159">
        <v>4</v>
      </c>
      <c r="D171" t="str">
        <f>VLOOKUP(A171,DataUsuario!B:D,2,FALSE)</f>
        <v>Administración y Finanzas</v>
      </c>
      <c r="E171" t="str">
        <f>VLOOKUP(A171,DataUsuario!B:D,3,FALSE)</f>
        <v>Gerencia Administración y Finanzas</v>
      </c>
      <c r="F171" t="s">
        <v>66</v>
      </c>
    </row>
    <row r="172" spans="1:6" x14ac:dyDescent="0.3">
      <c r="A172" s="157" t="s">
        <v>128</v>
      </c>
      <c r="B172" t="s">
        <v>34</v>
      </c>
      <c r="C172" s="160">
        <v>5</v>
      </c>
      <c r="D172" t="str">
        <f>VLOOKUP(A172,DataUsuario!B:D,2,FALSE)</f>
        <v>Agrícola</v>
      </c>
      <c r="E172" t="str">
        <f>VLOOKUP(A172,DataUsuario!B:D,3,FALSE)</f>
        <v>Fundo Lobo</v>
      </c>
      <c r="F172" t="s">
        <v>89</v>
      </c>
    </row>
    <row r="173" spans="1:6" x14ac:dyDescent="0.3">
      <c r="A173" s="156" t="s">
        <v>238</v>
      </c>
      <c r="B173" t="s">
        <v>34</v>
      </c>
      <c r="C173" s="159">
        <v>4</v>
      </c>
      <c r="D173" t="str">
        <f>VLOOKUP(A173,DataUsuario!B:D,2,FALSE)</f>
        <v>Industrial y de Mantenimiento</v>
      </c>
      <c r="E173" t="str">
        <f>VLOOKUP(A173,DataUsuario!B:D,3,FALSE)</f>
        <v>Producción</v>
      </c>
      <c r="F173" t="s">
        <v>74</v>
      </c>
    </row>
    <row r="174" spans="1:6" x14ac:dyDescent="0.3">
      <c r="A174" s="157" t="s">
        <v>413</v>
      </c>
      <c r="B174" t="s">
        <v>34</v>
      </c>
      <c r="C174" s="160">
        <v>4</v>
      </c>
      <c r="D174" t="str">
        <f>VLOOKUP(A174,DataUsuario!B:D,2,FALSE)</f>
        <v>Administración y Finanzas</v>
      </c>
      <c r="E174" t="str">
        <f>VLOOKUP(A174,DataUsuario!B:D,3,FALSE)</f>
        <v>Contabilidad Tributaria</v>
      </c>
      <c r="F174" t="s">
        <v>66</v>
      </c>
    </row>
    <row r="175" spans="1:6" x14ac:dyDescent="0.3">
      <c r="A175" s="156" t="s">
        <v>85</v>
      </c>
      <c r="B175" t="s">
        <v>34</v>
      </c>
      <c r="C175" s="159">
        <v>5</v>
      </c>
      <c r="D175" t="str">
        <f>VLOOKUP(A175,DataUsuario!B:D,2,FALSE)</f>
        <v>Operaciones</v>
      </c>
      <c r="E175" t="str">
        <f>VLOOKUP(A175,DataUsuario!B:D,3,FALSE)</f>
        <v>Comercial</v>
      </c>
      <c r="F175" t="s">
        <v>70</v>
      </c>
    </row>
    <row r="176" spans="1:6" x14ac:dyDescent="0.3">
      <c r="A176" s="157" t="s">
        <v>439</v>
      </c>
      <c r="B176" t="s">
        <v>34</v>
      </c>
      <c r="C176" s="160">
        <v>5</v>
      </c>
      <c r="D176" t="str">
        <f>VLOOKUP(A176,DataUsuario!B:D,2,FALSE)</f>
        <v>Operaciones</v>
      </c>
      <c r="E176" t="str">
        <f>VLOOKUP(A176,DataUsuario!B:D,3,FALSE)</f>
        <v>Comercial</v>
      </c>
      <c r="F176" t="s">
        <v>70</v>
      </c>
    </row>
    <row r="177" spans="1:6" x14ac:dyDescent="0.3">
      <c r="A177" s="156" t="s">
        <v>624</v>
      </c>
      <c r="B177" t="s">
        <v>34</v>
      </c>
      <c r="C177" s="159">
        <v>4</v>
      </c>
      <c r="D177" t="str">
        <f>VLOOKUP(A177,DataUsuario!B:D,2,FALSE)</f>
        <v>Agrícola</v>
      </c>
      <c r="E177" t="str">
        <f>VLOOKUP(A177,DataUsuario!B:D,3,FALSE)</f>
        <v>Fundo San Vicente</v>
      </c>
      <c r="F177" t="s">
        <v>89</v>
      </c>
    </row>
    <row r="178" spans="1:6" x14ac:dyDescent="0.3">
      <c r="A178" s="157" t="s">
        <v>369</v>
      </c>
      <c r="B178" t="s">
        <v>34</v>
      </c>
      <c r="C178" s="160">
        <v>5</v>
      </c>
      <c r="D178" t="str">
        <f>VLOOKUP(A178,DataUsuario!B:D,2,FALSE)</f>
        <v>Agrícola</v>
      </c>
      <c r="E178" t="str">
        <f>VLOOKUP(A178,DataUsuario!B:D,3,FALSE)</f>
        <v>Sistema Integral de Gestión</v>
      </c>
      <c r="F178" t="s">
        <v>89</v>
      </c>
    </row>
    <row r="179" spans="1:6" x14ac:dyDescent="0.3">
      <c r="A179" s="156" t="s">
        <v>576</v>
      </c>
      <c r="B179" t="s">
        <v>34</v>
      </c>
      <c r="C179" s="159" t="s">
        <v>632</v>
      </c>
      <c r="D179" t="str">
        <f>VLOOKUP(A179,DataUsuario!B:D,2,FALSE)</f>
        <v>Industrial y de Mantenimiento</v>
      </c>
      <c r="E179" t="str">
        <f>VLOOKUP(A179,DataUsuario!B:D,3,FALSE)</f>
        <v>Mantenimiento Industrial</v>
      </c>
      <c r="F179" t="s">
        <v>74</v>
      </c>
    </row>
    <row r="180" spans="1:6" x14ac:dyDescent="0.3">
      <c r="A180" s="157" t="s">
        <v>435</v>
      </c>
      <c r="B180" t="s">
        <v>34</v>
      </c>
      <c r="C180" s="160">
        <v>4</v>
      </c>
      <c r="D180" t="str">
        <f>VLOOKUP(A180,DataUsuario!B:D,2,FALSE)</f>
        <v>Operaciones</v>
      </c>
      <c r="E180" t="str">
        <f>VLOOKUP(A180,DataUsuario!B:D,3,FALSE)</f>
        <v>Almacenes y Distribución PT</v>
      </c>
      <c r="F180" t="s">
        <v>70</v>
      </c>
    </row>
    <row r="181" spans="1:6" x14ac:dyDescent="0.3">
      <c r="A181" s="156" t="s">
        <v>332</v>
      </c>
      <c r="B181" t="s">
        <v>34</v>
      </c>
      <c r="C181" s="159">
        <v>4</v>
      </c>
      <c r="D181" t="str">
        <f>VLOOKUP(A181,DataUsuario!B:D,2,FALSE)</f>
        <v>Agrícola</v>
      </c>
      <c r="E181" t="str">
        <f>VLOOKUP(A181,DataUsuario!B:D,3,FALSE)</f>
        <v>Gerencia Agrícola</v>
      </c>
      <c r="F181" t="s">
        <v>89</v>
      </c>
    </row>
    <row r="182" spans="1:6" x14ac:dyDescent="0.3">
      <c r="A182" s="157" t="s">
        <v>202</v>
      </c>
      <c r="B182" t="s">
        <v>34</v>
      </c>
      <c r="C182" s="160">
        <v>5</v>
      </c>
      <c r="D182" t="str">
        <f>VLOOKUP(A182,DataUsuario!B:D,2,FALSE)</f>
        <v>Agrícola</v>
      </c>
      <c r="E182" t="str">
        <f>VLOOKUP(A182,DataUsuario!B:D,3,FALSE)</f>
        <v>Fundo La Huaca</v>
      </c>
      <c r="F182" t="s">
        <v>89</v>
      </c>
    </row>
    <row r="183" spans="1:6" x14ac:dyDescent="0.3">
      <c r="A183" s="156" t="s">
        <v>167</v>
      </c>
      <c r="B183" t="s">
        <v>34</v>
      </c>
      <c r="C183" s="159">
        <v>4</v>
      </c>
      <c r="D183" t="str">
        <f>VLOOKUP(A183,DataUsuario!B:D,2,FALSE)</f>
        <v>Agrícola</v>
      </c>
      <c r="E183" t="str">
        <f>VLOOKUP(A183,DataUsuario!B:D,3,FALSE)</f>
        <v>Fundo Montelima</v>
      </c>
      <c r="F183" t="s">
        <v>89</v>
      </c>
    </row>
    <row r="184" spans="1:6" x14ac:dyDescent="0.3">
      <c r="A184" s="157" t="s">
        <v>628</v>
      </c>
      <c r="B184" t="s">
        <v>34</v>
      </c>
      <c r="C184" s="160" t="s">
        <v>632</v>
      </c>
      <c r="D184" t="str">
        <f>VLOOKUP(A184,DataUsuario!B:D,2,FALSE)</f>
        <v>Agrícola</v>
      </c>
      <c r="E184" t="str">
        <f>VLOOKUP(A184,DataUsuario!B:D,3,FALSE)</f>
        <v>Mantenimiento de Riego y Bombas</v>
      </c>
      <c r="F184" t="s">
        <v>89</v>
      </c>
    </row>
    <row r="185" spans="1:6" x14ac:dyDescent="0.3">
      <c r="A185" s="156" t="s">
        <v>115</v>
      </c>
      <c r="B185" t="s">
        <v>34</v>
      </c>
      <c r="C185" s="159">
        <v>5</v>
      </c>
      <c r="D185" t="str">
        <f>VLOOKUP(A185,DataUsuario!B:D,2,FALSE)</f>
        <v>Industrial y de Mantenimiento</v>
      </c>
      <c r="E185" t="str">
        <f>VLOOKUP(A185,DataUsuario!B:D,3,FALSE)</f>
        <v>Mantenimiento de Transportes</v>
      </c>
      <c r="F185" t="s">
        <v>74</v>
      </c>
    </row>
    <row r="186" spans="1:6" x14ac:dyDescent="0.3">
      <c r="A186" s="157" t="s">
        <v>629</v>
      </c>
      <c r="B186" t="s">
        <v>34</v>
      </c>
      <c r="C186" s="160">
        <v>4</v>
      </c>
      <c r="D186" t="str">
        <f>VLOOKUP(A186,DataUsuario!B:D,2,FALSE)</f>
        <v>Administración y Finanzas</v>
      </c>
      <c r="E186" t="str">
        <f>VLOOKUP(A186,DataUsuario!B:D,3,FALSE)</f>
        <v>Compras</v>
      </c>
      <c r="F186" t="s">
        <v>66</v>
      </c>
    </row>
    <row r="187" spans="1:6" x14ac:dyDescent="0.3">
      <c r="A187" s="158" t="s">
        <v>267</v>
      </c>
      <c r="B187" t="s">
        <v>34</v>
      </c>
      <c r="C187" s="161">
        <v>5</v>
      </c>
      <c r="D187" t="str">
        <f>VLOOKUP(A187,DataUsuario!B:D,2,FALSE)</f>
        <v>Gestión Humana y Sostenibilidad</v>
      </c>
      <c r="E187" t="str">
        <f>VLOOKUP(A187,DataUsuario!B:D,3,FALSE)</f>
        <v>Sostenibilidad</v>
      </c>
      <c r="F187" t="s">
        <v>62</v>
      </c>
    </row>
    <row r="188" spans="1:6" x14ac:dyDescent="0.3">
      <c r="A188" s="156" t="s">
        <v>592</v>
      </c>
      <c r="B188" t="s">
        <v>35</v>
      </c>
      <c r="C188" s="159">
        <v>5</v>
      </c>
      <c r="D188" t="str">
        <f>VLOOKUP(A188,DataUsuario!B:D,2,FALSE)</f>
        <v>Gestión Humana y Sostenibilidad</v>
      </c>
      <c r="E188" t="str">
        <f>VLOOKUP(A188,DataUsuario!B:D,3,FALSE)</f>
        <v>Seguridad</v>
      </c>
      <c r="F188" t="s">
        <v>62</v>
      </c>
    </row>
    <row r="189" spans="1:6" x14ac:dyDescent="0.3">
      <c r="A189" s="157" t="s">
        <v>242</v>
      </c>
      <c r="B189" t="s">
        <v>35</v>
      </c>
      <c r="C189" s="160">
        <v>3</v>
      </c>
      <c r="D189" t="str">
        <f>VLOOKUP(A189,DataUsuario!B:D,2,FALSE)</f>
        <v>Agrícola</v>
      </c>
      <c r="E189" t="str">
        <f>VLOOKUP(A189,DataUsuario!B:D,3,FALSE)</f>
        <v>Fundo Montelima</v>
      </c>
      <c r="F189" t="s">
        <v>89</v>
      </c>
    </row>
    <row r="190" spans="1:6" x14ac:dyDescent="0.3">
      <c r="A190" s="156" t="s">
        <v>133</v>
      </c>
      <c r="B190" t="s">
        <v>35</v>
      </c>
      <c r="C190" s="159">
        <v>5</v>
      </c>
      <c r="D190" t="str">
        <f>VLOOKUP(A190,DataUsuario!B:D,2,FALSE)</f>
        <v>Industrial y de Mantenimiento</v>
      </c>
      <c r="E190" t="str">
        <f>VLOOKUP(A190,DataUsuario!B:D,3,FALSE)</f>
        <v>Electricidad</v>
      </c>
      <c r="F190" t="s">
        <v>74</v>
      </c>
    </row>
    <row r="191" spans="1:6" x14ac:dyDescent="0.3">
      <c r="A191" s="157" t="s">
        <v>221</v>
      </c>
      <c r="B191" t="s">
        <v>35</v>
      </c>
      <c r="C191" s="160">
        <v>4</v>
      </c>
      <c r="D191" t="str">
        <f>VLOOKUP(A191,DataUsuario!B:D,2,FALSE)</f>
        <v>Administración y Finanzas</v>
      </c>
      <c r="E191" t="str">
        <f>VLOOKUP(A191,DataUsuario!B:D,3,FALSE)</f>
        <v>Sistemas y TI</v>
      </c>
      <c r="F191" t="s">
        <v>66</v>
      </c>
    </row>
    <row r="192" spans="1:6" x14ac:dyDescent="0.3">
      <c r="A192" s="156" t="s">
        <v>251</v>
      </c>
      <c r="B192" t="s">
        <v>35</v>
      </c>
      <c r="C192" s="159">
        <v>3</v>
      </c>
      <c r="D192" t="str">
        <f>VLOOKUP(A192,DataUsuario!B:D,2,FALSE)</f>
        <v>Industrial y de Mantenimiento</v>
      </c>
      <c r="E192" t="str">
        <f>VLOOKUP(A192,DataUsuario!B:D,3,FALSE)</f>
        <v>Automatización</v>
      </c>
      <c r="F192" t="s">
        <v>74</v>
      </c>
    </row>
    <row r="193" spans="1:6" x14ac:dyDescent="0.3">
      <c r="A193" s="157" t="s">
        <v>82</v>
      </c>
      <c r="B193" t="s">
        <v>35</v>
      </c>
      <c r="C193" s="160">
        <v>4</v>
      </c>
      <c r="D193" t="str">
        <f>VLOOKUP(A193,DataUsuario!B:D,2,FALSE)</f>
        <v>Industrial y de Mantenimiento</v>
      </c>
      <c r="E193" t="str">
        <f>VLOOKUP(A193,DataUsuario!B:D,3,FALSE)</f>
        <v>Producción</v>
      </c>
      <c r="F193" t="s">
        <v>74</v>
      </c>
    </row>
    <row r="194" spans="1:6" x14ac:dyDescent="0.3">
      <c r="A194" s="156" t="s">
        <v>431</v>
      </c>
      <c r="B194" t="s">
        <v>35</v>
      </c>
      <c r="C194" s="159">
        <v>3</v>
      </c>
      <c r="D194" t="str">
        <f>VLOOKUP(A194,DataUsuario!B:D,2,FALSE)</f>
        <v>Agrícola</v>
      </c>
      <c r="E194" t="str">
        <f>VLOOKUP(A194,DataUsuario!B:D,3,FALSE)</f>
        <v>Fundo San Vicente</v>
      </c>
      <c r="F194" t="s">
        <v>89</v>
      </c>
    </row>
    <row r="195" spans="1:6" x14ac:dyDescent="0.3">
      <c r="A195" s="157" t="s">
        <v>92</v>
      </c>
      <c r="B195" t="s">
        <v>35</v>
      </c>
      <c r="C195" s="160">
        <v>5</v>
      </c>
      <c r="D195" t="str">
        <f>VLOOKUP(A195,DataUsuario!B:D,2,FALSE)</f>
        <v>Administración y Finanzas</v>
      </c>
      <c r="E195" t="str">
        <f>VLOOKUP(A195,DataUsuario!B:D,3,FALSE)</f>
        <v>Control de Gestión</v>
      </c>
      <c r="F195" t="s">
        <v>66</v>
      </c>
    </row>
    <row r="196" spans="1:6" x14ac:dyDescent="0.3">
      <c r="A196" s="156" t="s">
        <v>77</v>
      </c>
      <c r="B196" t="s">
        <v>35</v>
      </c>
      <c r="C196" s="159">
        <v>5</v>
      </c>
      <c r="D196" t="str">
        <f>VLOOKUP(A196,DataUsuario!B:D,2,FALSE)</f>
        <v>Operaciones</v>
      </c>
      <c r="E196" t="str">
        <f>VLOOKUP(A196,DataUsuario!B:D,3,FALSE)</f>
        <v>Comercial No Giro</v>
      </c>
      <c r="F196" t="s">
        <v>70</v>
      </c>
    </row>
    <row r="197" spans="1:6" x14ac:dyDescent="0.3">
      <c r="A197" s="157" t="s">
        <v>198</v>
      </c>
      <c r="B197" t="s">
        <v>35</v>
      </c>
      <c r="C197" s="160">
        <v>5</v>
      </c>
      <c r="D197" t="str">
        <f>VLOOKUP(A197,DataUsuario!B:D,2,FALSE)</f>
        <v>Agrícola</v>
      </c>
      <c r="E197" t="str">
        <f>VLOOKUP(A197,DataUsuario!B:D,3,FALSE)</f>
        <v>Fundo Lobo</v>
      </c>
      <c r="F197" t="s">
        <v>89</v>
      </c>
    </row>
    <row r="198" spans="1:6" x14ac:dyDescent="0.3">
      <c r="A198" s="156" t="s">
        <v>322</v>
      </c>
      <c r="B198" t="s">
        <v>35</v>
      </c>
      <c r="C198" s="159">
        <v>2</v>
      </c>
      <c r="D198" t="str">
        <f>VLOOKUP(A198,DataUsuario!B:D,2,FALSE)</f>
        <v>Administración y Finanzas</v>
      </c>
      <c r="E198" t="str">
        <f>VLOOKUP(A198,DataUsuario!B:D,3,FALSE)</f>
        <v>Finanzas y Tesorería</v>
      </c>
      <c r="F198" t="s">
        <v>66</v>
      </c>
    </row>
    <row r="199" spans="1:6" x14ac:dyDescent="0.3">
      <c r="A199" s="157" t="s">
        <v>359</v>
      </c>
      <c r="B199" t="s">
        <v>35</v>
      </c>
      <c r="C199" s="160">
        <v>4</v>
      </c>
      <c r="D199" t="str">
        <f>VLOOKUP(A199,DataUsuario!B:D,2,FALSE)</f>
        <v>Operaciones</v>
      </c>
      <c r="E199" t="str">
        <f>VLOOKUP(A199,DataUsuario!B:D,3,FALSE)</f>
        <v>Gerencia de Operaciones</v>
      </c>
      <c r="F199" t="s">
        <v>70</v>
      </c>
    </row>
    <row r="200" spans="1:6" x14ac:dyDescent="0.3">
      <c r="A200" s="156" t="s">
        <v>236</v>
      </c>
      <c r="B200" t="s">
        <v>35</v>
      </c>
      <c r="C200" s="159">
        <v>4</v>
      </c>
      <c r="D200" t="str">
        <f>VLOOKUP(A200,DataUsuario!B:D,2,FALSE)</f>
        <v>Administración y Finanzas</v>
      </c>
      <c r="E200" t="str">
        <f>VLOOKUP(A200,DataUsuario!B:D,3,FALSE)</f>
        <v>Sistemas y TI</v>
      </c>
      <c r="F200" t="s">
        <v>66</v>
      </c>
    </row>
    <row r="201" spans="1:6" x14ac:dyDescent="0.3">
      <c r="A201" s="157" t="s">
        <v>314</v>
      </c>
      <c r="B201" t="s">
        <v>35</v>
      </c>
      <c r="C201" s="160">
        <v>5</v>
      </c>
      <c r="D201" t="str">
        <f>VLOOKUP(A201,DataUsuario!B:D,2,FALSE)</f>
        <v>Industrial y de Mantenimiento</v>
      </c>
      <c r="E201" t="str">
        <f>VLOOKUP(A201,DataUsuario!B:D,3,FALSE)</f>
        <v>Mantenimiento Industrial</v>
      </c>
      <c r="F201" t="s">
        <v>74</v>
      </c>
    </row>
    <row r="202" spans="1:6" x14ac:dyDescent="0.3">
      <c r="A202" s="156" t="s">
        <v>145</v>
      </c>
      <c r="B202" t="s">
        <v>35</v>
      </c>
      <c r="C202" s="159" t="s">
        <v>632</v>
      </c>
      <c r="D202" t="str">
        <f>VLOOKUP(A202,DataUsuario!B:D,2,FALSE)</f>
        <v>Administración y Finanzas</v>
      </c>
      <c r="E202" t="str">
        <f>VLOOKUP(A202,DataUsuario!B:D,3,FALSE)</f>
        <v>Legal</v>
      </c>
      <c r="F202" t="s">
        <v>66</v>
      </c>
    </row>
    <row r="203" spans="1:6" x14ac:dyDescent="0.3">
      <c r="A203" s="157" t="s">
        <v>299</v>
      </c>
      <c r="B203" t="s">
        <v>35</v>
      </c>
      <c r="C203" s="160">
        <v>4</v>
      </c>
      <c r="D203" t="str">
        <f>VLOOKUP(A203,DataUsuario!B:D,2,FALSE)</f>
        <v>Administración y Finanzas</v>
      </c>
      <c r="E203" t="str">
        <f>VLOOKUP(A203,DataUsuario!B:D,3,FALSE)</f>
        <v>Legal</v>
      </c>
      <c r="F203" t="s">
        <v>66</v>
      </c>
    </row>
    <row r="204" spans="1:6" x14ac:dyDescent="0.3">
      <c r="A204" s="156" t="s">
        <v>289</v>
      </c>
      <c r="B204" t="s">
        <v>35</v>
      </c>
      <c r="C204" s="159">
        <v>4</v>
      </c>
      <c r="D204" t="str">
        <f>VLOOKUP(A204,DataUsuario!B:D,2,FALSE)</f>
        <v>Agrícola</v>
      </c>
      <c r="E204" t="str">
        <f>VLOOKUP(A204,DataUsuario!B:D,3,FALSE)</f>
        <v>Mantenimiento de Riego y Bombas</v>
      </c>
      <c r="F204" t="s">
        <v>89</v>
      </c>
    </row>
    <row r="205" spans="1:6" x14ac:dyDescent="0.3">
      <c r="A205" s="157" t="s">
        <v>138</v>
      </c>
      <c r="B205" t="s">
        <v>35</v>
      </c>
      <c r="C205" s="160">
        <v>4</v>
      </c>
      <c r="D205" t="str">
        <f>VLOOKUP(A205,DataUsuario!B:D,2,FALSE)</f>
        <v>Gestión Humana y Sostenibilidad</v>
      </c>
      <c r="E205" t="str">
        <f>VLOOKUP(A205,DataUsuario!B:D,3,FALSE)</f>
        <v>Gestion del Talento</v>
      </c>
      <c r="F205" t="s">
        <v>62</v>
      </c>
    </row>
    <row r="206" spans="1:6" x14ac:dyDescent="0.3">
      <c r="A206" s="156" t="s">
        <v>326</v>
      </c>
      <c r="B206" t="s">
        <v>35</v>
      </c>
      <c r="C206" s="159">
        <v>5</v>
      </c>
      <c r="D206" t="str">
        <f>VLOOKUP(A206,DataUsuario!B:D,2,FALSE)</f>
        <v>Operaciones</v>
      </c>
      <c r="E206" t="str">
        <f>VLOOKUP(A206,DataUsuario!B:D,3,FALSE)</f>
        <v>Calidad</v>
      </c>
      <c r="F206" t="s">
        <v>70</v>
      </c>
    </row>
    <row r="207" spans="1:6" x14ac:dyDescent="0.3">
      <c r="A207" s="157" t="s">
        <v>421</v>
      </c>
      <c r="B207" t="s">
        <v>35</v>
      </c>
      <c r="C207" s="160">
        <v>4</v>
      </c>
      <c r="D207" t="str">
        <f>VLOOKUP(A207,DataUsuario!B:D,2,FALSE)</f>
        <v>Operaciones</v>
      </c>
      <c r="E207" t="str">
        <f>VLOOKUP(A207,DataUsuario!B:D,3,FALSE)</f>
        <v>Cosecha</v>
      </c>
      <c r="F207" t="s">
        <v>70</v>
      </c>
    </row>
    <row r="208" spans="1:6" x14ac:dyDescent="0.3">
      <c r="A208" s="156" t="s">
        <v>318</v>
      </c>
      <c r="B208" t="s">
        <v>35</v>
      </c>
      <c r="C208" s="159">
        <v>5</v>
      </c>
      <c r="D208" t="str">
        <f>VLOOKUP(A208,DataUsuario!B:D,2,FALSE)</f>
        <v>Operaciones</v>
      </c>
      <c r="E208" t="str">
        <f>VLOOKUP(A208,DataUsuario!B:D,3,FALSE)</f>
        <v>Cosecha</v>
      </c>
      <c r="F208" t="s">
        <v>70</v>
      </c>
    </row>
    <row r="209" spans="1:6" x14ac:dyDescent="0.3">
      <c r="A209" s="157" t="s">
        <v>176</v>
      </c>
      <c r="B209" t="s">
        <v>35</v>
      </c>
      <c r="C209" s="160" t="s">
        <v>632</v>
      </c>
      <c r="D209" t="str">
        <f>VLOOKUP(A209,DataUsuario!B:D,2,FALSE)</f>
        <v>Administración y Finanzas</v>
      </c>
      <c r="E209" t="str">
        <f>VLOOKUP(A209,DataUsuario!B:D,3,FALSE)</f>
        <v>Cadenas Productivas</v>
      </c>
      <c r="F209" t="s">
        <v>66</v>
      </c>
    </row>
    <row r="210" spans="1:6" x14ac:dyDescent="0.3">
      <c r="A210" s="156" t="s">
        <v>136</v>
      </c>
      <c r="B210" t="s">
        <v>35</v>
      </c>
      <c r="C210" s="159" t="s">
        <v>632</v>
      </c>
      <c r="D210" t="str">
        <f>VLOOKUP(A210,DataUsuario!B:D,2,FALSE)</f>
        <v>Operaciones</v>
      </c>
      <c r="E210" t="str">
        <f>VLOOKUP(A210,DataUsuario!B:D,3,FALSE)</f>
        <v>Comercial</v>
      </c>
      <c r="F210" t="s">
        <v>70</v>
      </c>
    </row>
    <row r="211" spans="1:6" x14ac:dyDescent="0.3">
      <c r="A211" s="157" t="s">
        <v>376</v>
      </c>
      <c r="B211" t="s">
        <v>35</v>
      </c>
      <c r="C211" s="160">
        <v>5</v>
      </c>
      <c r="D211" t="str">
        <f>VLOOKUP(A211,DataUsuario!B:D,2,FALSE)</f>
        <v>Administración y Finanzas</v>
      </c>
      <c r="E211" t="str">
        <f>VLOOKUP(A211,DataUsuario!B:D,3,FALSE)</f>
        <v>Control de Gestión</v>
      </c>
      <c r="F211" t="s">
        <v>66</v>
      </c>
    </row>
    <row r="212" spans="1:6" x14ac:dyDescent="0.3">
      <c r="A212" s="156" t="s">
        <v>285</v>
      </c>
      <c r="B212" t="s">
        <v>35</v>
      </c>
      <c r="C212" s="159" t="s">
        <v>632</v>
      </c>
      <c r="D212" t="str">
        <f>VLOOKUP(A212,DataUsuario!B:D,2,FALSE)</f>
        <v>Operaciones</v>
      </c>
      <c r="E212" t="str">
        <f>VLOOKUP(A212,DataUsuario!B:D,3,FALSE)</f>
        <v>Comercial</v>
      </c>
      <c r="F212" t="s">
        <v>70</v>
      </c>
    </row>
    <row r="213" spans="1:6" x14ac:dyDescent="0.3">
      <c r="A213" s="157" t="s">
        <v>341</v>
      </c>
      <c r="B213" t="s">
        <v>35</v>
      </c>
      <c r="C213" s="160" t="s">
        <v>632</v>
      </c>
      <c r="D213" t="str">
        <f>VLOOKUP(A213,DataUsuario!B:D,2,FALSE)</f>
        <v>Administración y Finanzas</v>
      </c>
      <c r="E213" t="str">
        <f>VLOOKUP(A213,DataUsuario!B:D,3,FALSE)</f>
        <v>Contabilidad Tributaria</v>
      </c>
      <c r="F213" t="s">
        <v>66</v>
      </c>
    </row>
    <row r="214" spans="1:6" x14ac:dyDescent="0.3">
      <c r="A214" s="156" t="s">
        <v>254</v>
      </c>
      <c r="B214" t="s">
        <v>35</v>
      </c>
      <c r="C214" s="159">
        <v>4</v>
      </c>
      <c r="D214" t="str">
        <f>VLOOKUP(A214,DataUsuario!B:D,2,FALSE)</f>
        <v>Administración y Finanzas</v>
      </c>
      <c r="E214" t="str">
        <f>VLOOKUP(A214,DataUsuario!B:D,3,FALSE)</f>
        <v>Administración</v>
      </c>
      <c r="F214" t="s">
        <v>66</v>
      </c>
    </row>
    <row r="215" spans="1:6" x14ac:dyDescent="0.3">
      <c r="A215" s="157" t="s">
        <v>224</v>
      </c>
      <c r="B215" t="s">
        <v>35</v>
      </c>
      <c r="C215" s="160">
        <v>4</v>
      </c>
      <c r="D215" t="str">
        <f>VLOOKUP(A215,DataUsuario!B:D,2,FALSE)</f>
        <v>Agrícola</v>
      </c>
      <c r="E215" t="str">
        <f>VLOOKUP(A215,DataUsuario!B:D,3,FALSE)</f>
        <v>Laboratorio e Investigación Agricola</v>
      </c>
      <c r="F215" t="s">
        <v>89</v>
      </c>
    </row>
    <row r="216" spans="1:6" x14ac:dyDescent="0.3">
      <c r="A216" s="156" t="s">
        <v>578</v>
      </c>
      <c r="B216" t="s">
        <v>35</v>
      </c>
      <c r="C216" s="159">
        <v>5</v>
      </c>
      <c r="D216" t="str">
        <f>VLOOKUP(A216,DataUsuario!B:D,2,FALSE)</f>
        <v>Administración y Finanzas</v>
      </c>
      <c r="E216" t="str">
        <f>VLOOKUP(A216,DataUsuario!B:D,3,FALSE)</f>
        <v>Finanzas y Tesorería</v>
      </c>
      <c r="F216" t="s">
        <v>66</v>
      </c>
    </row>
    <row r="217" spans="1:6" x14ac:dyDescent="0.3">
      <c r="A217" s="157" t="s">
        <v>196</v>
      </c>
      <c r="B217" t="s">
        <v>35</v>
      </c>
      <c r="C217" s="160" t="s">
        <v>632</v>
      </c>
      <c r="D217" t="str">
        <f>VLOOKUP(A217,DataUsuario!B:D,2,FALSE)</f>
        <v>Agrícola</v>
      </c>
      <c r="E217" t="str">
        <f>VLOOKUP(A217,DataUsuario!B:D,3,FALSE)</f>
        <v>Mantenimiento de Riego y Bombas</v>
      </c>
      <c r="F217" t="s">
        <v>89</v>
      </c>
    </row>
    <row r="218" spans="1:6" x14ac:dyDescent="0.3">
      <c r="A218" s="156" t="s">
        <v>328</v>
      </c>
      <c r="B218" t="s">
        <v>35</v>
      </c>
      <c r="C218" s="159">
        <v>5</v>
      </c>
      <c r="D218" t="str">
        <f>VLOOKUP(A218,DataUsuario!B:D,2,FALSE)</f>
        <v>Administración y Finanzas</v>
      </c>
      <c r="E218" t="str">
        <f>VLOOKUP(A218,DataUsuario!B:D,3,FALSE)</f>
        <v>Administración</v>
      </c>
      <c r="F218" t="s">
        <v>66</v>
      </c>
    </row>
    <row r="219" spans="1:6" x14ac:dyDescent="0.3">
      <c r="A219" s="157" t="s">
        <v>403</v>
      </c>
      <c r="B219" t="s">
        <v>35</v>
      </c>
      <c r="C219" s="160">
        <v>4</v>
      </c>
      <c r="D219" t="str">
        <f>VLOOKUP(A219,DataUsuario!B:D,2,FALSE)</f>
        <v>Administración y Finanzas</v>
      </c>
      <c r="E219" t="str">
        <f>VLOOKUP(A219,DataUsuario!B:D,3,FALSE)</f>
        <v>Control de Gestión</v>
      </c>
      <c r="F219" t="s">
        <v>66</v>
      </c>
    </row>
    <row r="220" spans="1:6" x14ac:dyDescent="0.3">
      <c r="A220" s="156" t="s">
        <v>602</v>
      </c>
      <c r="B220" t="s">
        <v>35</v>
      </c>
      <c r="C220" s="159">
        <v>5</v>
      </c>
      <c r="D220" t="str">
        <f>VLOOKUP(A220,DataUsuario!B:D,2,FALSE)</f>
        <v>Industrial y de Mantenimiento</v>
      </c>
      <c r="E220" t="str">
        <f>VLOOKUP(A220,DataUsuario!B:D,3,FALSE)</f>
        <v>Mantenimiento Industrial</v>
      </c>
      <c r="F220" t="s">
        <v>74</v>
      </c>
    </row>
    <row r="221" spans="1:6" x14ac:dyDescent="0.3">
      <c r="A221" s="157" t="s">
        <v>230</v>
      </c>
      <c r="B221" t="s">
        <v>35</v>
      </c>
      <c r="C221" s="160">
        <v>5</v>
      </c>
      <c r="D221" t="str">
        <f>VLOOKUP(A221,DataUsuario!B:D,2,FALSE)</f>
        <v>Agrícola</v>
      </c>
      <c r="E221" t="str">
        <f>VLOOKUP(A221,DataUsuario!B:D,3,FALSE)</f>
        <v>Fundo Lobo</v>
      </c>
      <c r="F221" t="s">
        <v>89</v>
      </c>
    </row>
    <row r="222" spans="1:6" x14ac:dyDescent="0.3">
      <c r="A222" s="156" t="s">
        <v>372</v>
      </c>
      <c r="B222" t="s">
        <v>35</v>
      </c>
      <c r="C222" s="159">
        <v>4</v>
      </c>
      <c r="D222" t="str">
        <f>VLOOKUP(A222,DataUsuario!B:D,2,FALSE)</f>
        <v>Agrícola</v>
      </c>
      <c r="E222" t="str">
        <f>VLOOKUP(A222,DataUsuario!B:D,3,FALSE)</f>
        <v>Laboratorio e Investigación Agricola</v>
      </c>
      <c r="F222" t="s">
        <v>89</v>
      </c>
    </row>
    <row r="223" spans="1:6" x14ac:dyDescent="0.3">
      <c r="A223" s="157" t="s">
        <v>405</v>
      </c>
      <c r="B223" t="s">
        <v>35</v>
      </c>
      <c r="C223" s="160">
        <v>5</v>
      </c>
      <c r="D223" t="str">
        <f>VLOOKUP(A223,DataUsuario!B:D,2,FALSE)</f>
        <v>Administración y Finanzas</v>
      </c>
      <c r="E223" t="str">
        <f>VLOOKUP(A223,DataUsuario!B:D,3,FALSE)</f>
        <v>Finanzas y Tesorería</v>
      </c>
      <c r="F223" t="s">
        <v>66</v>
      </c>
    </row>
    <row r="224" spans="1:6" x14ac:dyDescent="0.3">
      <c r="A224" s="156" t="s">
        <v>287</v>
      </c>
      <c r="B224" t="s">
        <v>35</v>
      </c>
      <c r="C224" s="159">
        <v>4</v>
      </c>
      <c r="D224" t="str">
        <f>VLOOKUP(A224,DataUsuario!B:D,2,FALSE)</f>
        <v>Operaciones</v>
      </c>
      <c r="E224" t="str">
        <f>VLOOKUP(A224,DataUsuario!B:D,3,FALSE)</f>
        <v>Calidad</v>
      </c>
      <c r="F224" t="s">
        <v>70</v>
      </c>
    </row>
    <row r="225" spans="1:6" x14ac:dyDescent="0.3">
      <c r="A225" s="157" t="s">
        <v>258</v>
      </c>
      <c r="B225" t="s">
        <v>35</v>
      </c>
      <c r="C225" s="160">
        <v>4</v>
      </c>
      <c r="D225" t="str">
        <f>VLOOKUP(A225,DataUsuario!B:D,2,FALSE)</f>
        <v>Operaciones</v>
      </c>
      <c r="E225" t="str">
        <f>VLOOKUP(A225,DataUsuario!B:D,3,FALSE)</f>
        <v>Calidad</v>
      </c>
      <c r="F225" t="s">
        <v>70</v>
      </c>
    </row>
    <row r="226" spans="1:6" x14ac:dyDescent="0.3">
      <c r="A226" s="156" t="s">
        <v>97</v>
      </c>
      <c r="B226" t="s">
        <v>35</v>
      </c>
      <c r="C226" s="159">
        <v>5</v>
      </c>
      <c r="D226" t="str">
        <f>VLOOKUP(A226,DataUsuario!B:D,2,FALSE)</f>
        <v>Gestión Humana y Sostenibilidad</v>
      </c>
      <c r="E226" t="str">
        <f>VLOOKUP(A226,DataUsuario!B:D,3,FALSE)</f>
        <v>Compensación y Nóminas</v>
      </c>
      <c r="F226" t="s">
        <v>62</v>
      </c>
    </row>
    <row r="227" spans="1:6" x14ac:dyDescent="0.3">
      <c r="A227" s="157" t="s">
        <v>99</v>
      </c>
      <c r="B227" t="s">
        <v>35</v>
      </c>
      <c r="C227" s="160">
        <v>5</v>
      </c>
      <c r="D227" t="str">
        <f>VLOOKUP(A227,DataUsuario!B:D,2,FALSE)</f>
        <v>Gestión Humana y Sostenibilidad</v>
      </c>
      <c r="E227" t="str">
        <f>VLOOKUP(A227,DataUsuario!B:D,3,FALSE)</f>
        <v>Gestor de Recursos Humanos</v>
      </c>
      <c r="F227" t="s">
        <v>62</v>
      </c>
    </row>
    <row r="228" spans="1:6" x14ac:dyDescent="0.3">
      <c r="A228" s="156" t="s">
        <v>245</v>
      </c>
      <c r="B228" t="s">
        <v>35</v>
      </c>
      <c r="C228" s="159">
        <v>5</v>
      </c>
      <c r="D228" t="str">
        <f>VLOOKUP(A228,DataUsuario!B:D,2,FALSE)</f>
        <v>Gestión Humana y Sostenibilidad</v>
      </c>
      <c r="E228" t="str">
        <f>VLOOKUP(A228,DataUsuario!B:D,3,FALSE)</f>
        <v>Compensación y Nóminas</v>
      </c>
      <c r="F228" t="s">
        <v>62</v>
      </c>
    </row>
    <row r="229" spans="1:6" x14ac:dyDescent="0.3">
      <c r="A229" s="157" t="s">
        <v>271</v>
      </c>
      <c r="B229" t="s">
        <v>35</v>
      </c>
      <c r="C229" s="160">
        <v>4</v>
      </c>
      <c r="D229" t="str">
        <f>VLOOKUP(A229,DataUsuario!B:D,2,FALSE)</f>
        <v>Operaciones</v>
      </c>
      <c r="E229" t="str">
        <f>VLOOKUP(A229,DataUsuario!B:D,3,FALSE)</f>
        <v>Calidad</v>
      </c>
      <c r="F229" t="s">
        <v>70</v>
      </c>
    </row>
    <row r="230" spans="1:6" x14ac:dyDescent="0.3">
      <c r="A230" s="156" t="s">
        <v>118</v>
      </c>
      <c r="B230" t="s">
        <v>35</v>
      </c>
      <c r="C230" s="159" t="s">
        <v>632</v>
      </c>
      <c r="D230" t="str">
        <f>VLOOKUP(A230,DataUsuario!B:D,2,FALSE)</f>
        <v>Agrícola</v>
      </c>
      <c r="E230" t="str">
        <f>VLOOKUP(A230,DataUsuario!B:D,3,FALSE)</f>
        <v>Fundo Lobo</v>
      </c>
      <c r="F230" t="s">
        <v>89</v>
      </c>
    </row>
    <row r="231" spans="1:6" x14ac:dyDescent="0.3">
      <c r="A231" s="157" t="s">
        <v>207</v>
      </c>
      <c r="B231" t="s">
        <v>35</v>
      </c>
      <c r="C231" s="160">
        <v>5</v>
      </c>
      <c r="D231" t="str">
        <f>VLOOKUP(A231,DataUsuario!B:D,2,FALSE)</f>
        <v>Administración y Finanzas</v>
      </c>
      <c r="E231" t="str">
        <f>VLOOKUP(A231,DataUsuario!B:D,3,FALSE)</f>
        <v>Riesgos y Cumplimiento</v>
      </c>
      <c r="F231" t="s">
        <v>66</v>
      </c>
    </row>
    <row r="232" spans="1:6" x14ac:dyDescent="0.3">
      <c r="A232" s="156" t="s">
        <v>395</v>
      </c>
      <c r="B232" t="s">
        <v>35</v>
      </c>
      <c r="C232" s="159">
        <v>4</v>
      </c>
      <c r="D232" t="str">
        <f>VLOOKUP(A232,DataUsuario!B:D,2,FALSE)</f>
        <v>Operaciones</v>
      </c>
      <c r="E232" t="str">
        <f>VLOOKUP(A232,DataUsuario!B:D,3,FALSE)</f>
        <v>Mantenimiento CAT</v>
      </c>
      <c r="F232" t="s">
        <v>70</v>
      </c>
    </row>
    <row r="233" spans="1:6" x14ac:dyDescent="0.3">
      <c r="A233" s="157" t="s">
        <v>183</v>
      </c>
      <c r="B233" t="s">
        <v>35</v>
      </c>
      <c r="C233" s="160">
        <v>4</v>
      </c>
      <c r="D233" t="str">
        <f>VLOOKUP(A233,DataUsuario!B:D,2,FALSE)</f>
        <v>Agrícola</v>
      </c>
      <c r="E233" t="str">
        <f>VLOOKUP(A233,DataUsuario!B:D,3,FALSE)</f>
        <v>Planificador Agrícola</v>
      </c>
      <c r="F233" t="s">
        <v>89</v>
      </c>
    </row>
    <row r="234" spans="1:6" x14ac:dyDescent="0.3">
      <c r="A234" s="156" t="s">
        <v>607</v>
      </c>
      <c r="B234" t="s">
        <v>35</v>
      </c>
      <c r="C234" s="159">
        <v>5</v>
      </c>
      <c r="D234" t="str">
        <f>VLOOKUP(A234,DataUsuario!B:D,2,FALSE)</f>
        <v>Gestión Humana y Sostenibilidad</v>
      </c>
      <c r="E234" t="str">
        <f>VLOOKUP(A234,DataUsuario!B:D,3,FALSE)</f>
        <v>Gestor de Recursos Humanos</v>
      </c>
      <c r="F234" t="s">
        <v>62</v>
      </c>
    </row>
    <row r="235" spans="1:6" x14ac:dyDescent="0.3">
      <c r="A235" s="157" t="s">
        <v>352</v>
      </c>
      <c r="B235" t="s">
        <v>35</v>
      </c>
      <c r="C235" s="160">
        <v>4</v>
      </c>
      <c r="D235" t="str">
        <f>VLOOKUP(A235,DataUsuario!B:D,2,FALSE)</f>
        <v>Gestión Humana y Sostenibilidad</v>
      </c>
      <c r="E235" t="str">
        <f>VLOOKUP(A235,DataUsuario!B:D,3,FALSE)</f>
        <v>Compensación y Nóminas</v>
      </c>
      <c r="F235" t="s">
        <v>62</v>
      </c>
    </row>
    <row r="236" spans="1:6" x14ac:dyDescent="0.3">
      <c r="A236" s="156" t="s">
        <v>215</v>
      </c>
      <c r="B236" t="s">
        <v>35</v>
      </c>
      <c r="C236" s="159">
        <v>5</v>
      </c>
      <c r="D236" t="str">
        <f>VLOOKUP(A236,DataUsuario!B:D,2,FALSE)</f>
        <v>Gestión Humana y Sostenibilidad</v>
      </c>
      <c r="E236" t="str">
        <f>VLOOKUP(A236,DataUsuario!B:D,3,FALSE)</f>
        <v>Seguridad</v>
      </c>
      <c r="F236" t="s">
        <v>62</v>
      </c>
    </row>
    <row r="237" spans="1:6" x14ac:dyDescent="0.3">
      <c r="A237" s="157" t="s">
        <v>387</v>
      </c>
      <c r="B237" t="s">
        <v>35</v>
      </c>
      <c r="C237" s="160">
        <v>4</v>
      </c>
      <c r="D237" t="str">
        <f>VLOOKUP(A237,DataUsuario!B:D,2,FALSE)</f>
        <v>Administración y Finanzas</v>
      </c>
      <c r="E237" t="str">
        <f>VLOOKUP(A237,DataUsuario!B:D,3,FALSE)</f>
        <v>Contabilidad Tributaria</v>
      </c>
      <c r="F237" t="s">
        <v>66</v>
      </c>
    </row>
    <row r="238" spans="1:6" x14ac:dyDescent="0.3">
      <c r="A238" s="156" t="s">
        <v>397</v>
      </c>
      <c r="B238" t="s">
        <v>35</v>
      </c>
      <c r="C238" s="159">
        <v>5</v>
      </c>
      <c r="D238" t="str">
        <f>VLOOKUP(A238,DataUsuario!B:D,2,FALSE)</f>
        <v>Administración y Finanzas</v>
      </c>
      <c r="E238" t="str">
        <f>VLOOKUP(A238,DataUsuario!B:D,3,FALSE)</f>
        <v>Control de Gestión</v>
      </c>
      <c r="F238" t="s">
        <v>66</v>
      </c>
    </row>
    <row r="239" spans="1:6" x14ac:dyDescent="0.3">
      <c r="A239" s="157" t="s">
        <v>120</v>
      </c>
      <c r="B239" t="s">
        <v>35</v>
      </c>
      <c r="C239" s="160" t="s">
        <v>632</v>
      </c>
      <c r="D239" t="str">
        <f>VLOOKUP(A239,DataUsuario!B:D,2,FALSE)</f>
        <v>Agrícola</v>
      </c>
      <c r="E239" t="str">
        <f>VLOOKUP(A239,DataUsuario!B:D,3,FALSE)</f>
        <v>Fundo Montelima</v>
      </c>
      <c r="F239" t="s">
        <v>89</v>
      </c>
    </row>
    <row r="240" spans="1:6" x14ac:dyDescent="0.3">
      <c r="A240" s="156" t="s">
        <v>611</v>
      </c>
      <c r="B240" t="s">
        <v>35</v>
      </c>
      <c r="C240" s="159">
        <v>5</v>
      </c>
      <c r="D240" t="str">
        <f>VLOOKUP(A240,DataUsuario!B:D,2,FALSE)</f>
        <v>Operaciones</v>
      </c>
      <c r="E240" t="str">
        <f>VLOOKUP(A240,DataUsuario!B:D,3,FALSE)</f>
        <v>Almacenes y Distribución PT</v>
      </c>
      <c r="F240" t="s">
        <v>70</v>
      </c>
    </row>
    <row r="241" spans="1:6" x14ac:dyDescent="0.3">
      <c r="A241" s="157" t="s">
        <v>217</v>
      </c>
      <c r="B241" t="s">
        <v>35</v>
      </c>
      <c r="C241" s="160">
        <v>4</v>
      </c>
      <c r="D241" t="str">
        <f>VLOOKUP(A241,DataUsuario!B:D,2,FALSE)</f>
        <v>Agrícola</v>
      </c>
      <c r="E241" t="str">
        <f>VLOOKUP(A241,DataUsuario!B:D,3,FALSE)</f>
        <v>Mantenimiento de Riego y Bombas</v>
      </c>
      <c r="F241" t="s">
        <v>89</v>
      </c>
    </row>
    <row r="242" spans="1:6" x14ac:dyDescent="0.3">
      <c r="A242" s="156" t="s">
        <v>256</v>
      </c>
      <c r="B242" t="s">
        <v>35</v>
      </c>
      <c r="C242" s="159">
        <v>4</v>
      </c>
      <c r="D242" t="str">
        <f>VLOOKUP(A242,DataUsuario!B:D,2,FALSE)</f>
        <v>Agrícola</v>
      </c>
      <c r="E242" t="str">
        <f>VLOOKUP(A242,DataUsuario!B:D,3,FALSE)</f>
        <v>Fundo Montelima</v>
      </c>
      <c r="F242" t="s">
        <v>89</v>
      </c>
    </row>
    <row r="243" spans="1:6" x14ac:dyDescent="0.3">
      <c r="A243" s="157" t="s">
        <v>164</v>
      </c>
      <c r="B243" t="s">
        <v>35</v>
      </c>
      <c r="C243" s="160">
        <v>5</v>
      </c>
      <c r="D243" t="str">
        <f>VLOOKUP(A243,DataUsuario!B:D,2,FALSE)</f>
        <v>Agrícola</v>
      </c>
      <c r="E243" t="str">
        <f>VLOOKUP(A243,DataUsuario!B:D,3,FALSE)</f>
        <v>Fundo San Vicente</v>
      </c>
      <c r="F243" t="s">
        <v>89</v>
      </c>
    </row>
    <row r="244" spans="1:6" x14ac:dyDescent="0.3">
      <c r="A244" s="156" t="s">
        <v>170</v>
      </c>
      <c r="B244" t="s">
        <v>35</v>
      </c>
      <c r="C244" s="159">
        <v>5</v>
      </c>
      <c r="D244" t="str">
        <f>VLOOKUP(A244,DataUsuario!B:D,2,FALSE)</f>
        <v>Operaciones</v>
      </c>
      <c r="E244" t="str">
        <f>VLOOKUP(A244,DataUsuario!B:D,3,FALSE)</f>
        <v>Mantenimiento CAT</v>
      </c>
      <c r="F244" t="s">
        <v>70</v>
      </c>
    </row>
    <row r="245" spans="1:6" x14ac:dyDescent="0.3">
      <c r="A245" s="157" t="s">
        <v>337</v>
      </c>
      <c r="B245" t="s">
        <v>35</v>
      </c>
      <c r="C245" s="160">
        <v>5</v>
      </c>
      <c r="D245" t="str">
        <f>VLOOKUP(A245,DataUsuario!B:D,2,FALSE)</f>
        <v>Agrícola</v>
      </c>
      <c r="E245" t="str">
        <f>VLOOKUP(A245,DataUsuario!B:D,3,FALSE)</f>
        <v>Fundo San Vicente</v>
      </c>
      <c r="F245" t="s">
        <v>89</v>
      </c>
    </row>
    <row r="246" spans="1:6" x14ac:dyDescent="0.3">
      <c r="A246" s="156" t="s">
        <v>423</v>
      </c>
      <c r="B246" t="s">
        <v>35</v>
      </c>
      <c r="C246" s="159">
        <v>4</v>
      </c>
      <c r="D246" t="str">
        <f>VLOOKUP(A246,DataUsuario!B:D,2,FALSE)</f>
        <v>Industrial y de Mantenimiento</v>
      </c>
      <c r="E246" t="str">
        <f>VLOOKUP(A246,DataUsuario!B:D,3,FALSE)</f>
        <v>Producción</v>
      </c>
      <c r="F246" t="s">
        <v>74</v>
      </c>
    </row>
    <row r="247" spans="1:6" x14ac:dyDescent="0.3">
      <c r="A247" s="157" t="s">
        <v>205</v>
      </c>
      <c r="B247" t="s">
        <v>35</v>
      </c>
      <c r="C247" s="160">
        <v>4</v>
      </c>
      <c r="D247" t="str">
        <f>VLOOKUP(A247,DataUsuario!B:D,2,FALSE)</f>
        <v>Operaciones</v>
      </c>
      <c r="E247" t="str">
        <f>VLOOKUP(A247,DataUsuario!B:D,3,FALSE)</f>
        <v>Almacenes y Distribución PT</v>
      </c>
      <c r="F247" t="s">
        <v>70</v>
      </c>
    </row>
    <row r="248" spans="1:6" x14ac:dyDescent="0.3">
      <c r="A248" s="156" t="s">
        <v>150</v>
      </c>
      <c r="B248" t="s">
        <v>35</v>
      </c>
      <c r="C248" s="159" t="s">
        <v>632</v>
      </c>
      <c r="D248" t="str">
        <f>VLOOKUP(A248,DataUsuario!B:D,2,FALSE)</f>
        <v>Industrial y de Mantenimiento</v>
      </c>
      <c r="E248" t="str">
        <f>VLOOKUP(A248,DataUsuario!B:D,3,FALSE)</f>
        <v>Producción</v>
      </c>
      <c r="F248" t="s">
        <v>74</v>
      </c>
    </row>
    <row r="249" spans="1:6" x14ac:dyDescent="0.3">
      <c r="A249" s="157" t="s">
        <v>374</v>
      </c>
      <c r="B249" t="s">
        <v>35</v>
      </c>
      <c r="C249" s="160">
        <v>4</v>
      </c>
      <c r="D249" t="str">
        <f>VLOOKUP(A249,DataUsuario!B:D,2,FALSE)</f>
        <v>Agrícola</v>
      </c>
      <c r="E249" t="str">
        <f>VLOOKUP(A249,DataUsuario!B:D,3,FALSE)</f>
        <v>Mantenimiento de Riego y Bombas</v>
      </c>
      <c r="F249" t="s">
        <v>89</v>
      </c>
    </row>
    <row r="250" spans="1:6" x14ac:dyDescent="0.3">
      <c r="A250" s="156" t="s">
        <v>156</v>
      </c>
      <c r="B250" t="s">
        <v>35</v>
      </c>
      <c r="C250" s="159" t="s">
        <v>632</v>
      </c>
      <c r="D250" t="str">
        <f>VLOOKUP(A250,DataUsuario!B:D,2,FALSE)</f>
        <v>Administración y Finanzas</v>
      </c>
      <c r="E250" t="str">
        <f>VLOOKUP(A250,DataUsuario!B:D,3,FALSE)</f>
        <v>Compras</v>
      </c>
      <c r="F250" t="s">
        <v>66</v>
      </c>
    </row>
    <row r="251" spans="1:6" x14ac:dyDescent="0.3">
      <c r="A251" s="157" t="s">
        <v>192</v>
      </c>
      <c r="B251" t="s">
        <v>35</v>
      </c>
      <c r="C251" s="160">
        <v>4</v>
      </c>
      <c r="D251" t="str">
        <f>VLOOKUP(A251,DataUsuario!B:D,2,FALSE)</f>
        <v>Agrícola</v>
      </c>
      <c r="E251" t="str">
        <f>VLOOKUP(A251,DataUsuario!B:D,3,FALSE)</f>
        <v>Mantenimiento de Riego y Bombas</v>
      </c>
      <c r="F251" t="s">
        <v>89</v>
      </c>
    </row>
    <row r="252" spans="1:6" x14ac:dyDescent="0.3">
      <c r="A252" s="156" t="s">
        <v>152</v>
      </c>
      <c r="B252" t="s">
        <v>35</v>
      </c>
      <c r="C252" s="159">
        <v>4</v>
      </c>
      <c r="D252" t="str">
        <f>VLOOKUP(A252,DataUsuario!B:D,2,FALSE)</f>
        <v>Operaciones</v>
      </c>
      <c r="E252" t="str">
        <f>VLOOKUP(A252,DataUsuario!B:D,3,FALSE)</f>
        <v>Almacenes y Distribución PT</v>
      </c>
      <c r="F252" t="s">
        <v>70</v>
      </c>
    </row>
    <row r="253" spans="1:6" x14ac:dyDescent="0.3">
      <c r="A253" s="157" t="s">
        <v>378</v>
      </c>
      <c r="B253" t="s">
        <v>35</v>
      </c>
      <c r="C253" s="160">
        <v>4</v>
      </c>
      <c r="D253" t="str">
        <f>VLOOKUP(A253,DataUsuario!B:D,2,FALSE)</f>
        <v>Industrial y de Mantenimiento</v>
      </c>
      <c r="E253" t="str">
        <f>VLOOKUP(A253,DataUsuario!B:D,3,FALSE)</f>
        <v>Gerencia industrial y de Mantenimiento</v>
      </c>
      <c r="F253" t="s">
        <v>74</v>
      </c>
    </row>
    <row r="254" spans="1:6" x14ac:dyDescent="0.3">
      <c r="A254" s="156" t="s">
        <v>162</v>
      </c>
      <c r="B254" t="s">
        <v>35</v>
      </c>
      <c r="C254" s="159" t="s">
        <v>632</v>
      </c>
      <c r="D254" t="str">
        <f>VLOOKUP(A254,DataUsuario!B:D,2,FALSE)</f>
        <v>Agrícola</v>
      </c>
      <c r="E254" t="str">
        <f>VLOOKUP(A254,DataUsuario!B:D,3,FALSE)</f>
        <v>Fundo Lobo</v>
      </c>
      <c r="F254" t="s">
        <v>89</v>
      </c>
    </row>
    <row r="255" spans="1:6" x14ac:dyDescent="0.3">
      <c r="A255" s="157" t="s">
        <v>160</v>
      </c>
      <c r="B255" t="s">
        <v>35</v>
      </c>
      <c r="C255" s="160" t="s">
        <v>632</v>
      </c>
      <c r="D255" t="str">
        <f>VLOOKUP(A255,DataUsuario!B:D,2,FALSE)</f>
        <v>Agrícola</v>
      </c>
      <c r="E255" t="str">
        <f>VLOOKUP(A255,DataUsuario!B:D,3,FALSE)</f>
        <v>Fundo Lobo</v>
      </c>
      <c r="F255" t="s">
        <v>89</v>
      </c>
    </row>
    <row r="256" spans="1:6" x14ac:dyDescent="0.3">
      <c r="A256" s="156" t="s">
        <v>617</v>
      </c>
      <c r="B256" t="s">
        <v>35</v>
      </c>
      <c r="C256" s="159">
        <v>5</v>
      </c>
      <c r="D256" t="str">
        <f>VLOOKUP(A256,DataUsuario!B:D,2,FALSE)</f>
        <v>Administración y Finanzas</v>
      </c>
      <c r="E256" t="str">
        <f>VLOOKUP(A256,DataUsuario!B:D,3,FALSE)</f>
        <v>Control de Gestión</v>
      </c>
      <c r="F256" t="s">
        <v>66</v>
      </c>
    </row>
    <row r="257" spans="1:6" x14ac:dyDescent="0.3">
      <c r="A257" s="157" t="s">
        <v>210</v>
      </c>
      <c r="B257" t="s">
        <v>35</v>
      </c>
      <c r="C257" s="160">
        <v>4</v>
      </c>
      <c r="D257" t="str">
        <f>VLOOKUP(A257,DataUsuario!B:D,2,FALSE)</f>
        <v>Industrial y de Mantenimiento</v>
      </c>
      <c r="E257" t="str">
        <f>VLOOKUP(A257,DataUsuario!B:D,3,FALSE)</f>
        <v>Planta y Srv Industriales</v>
      </c>
      <c r="F257" t="s">
        <v>74</v>
      </c>
    </row>
    <row r="258" spans="1:6" x14ac:dyDescent="0.3">
      <c r="A258" s="156" t="s">
        <v>350</v>
      </c>
      <c r="B258" t="s">
        <v>35</v>
      </c>
      <c r="C258" s="159">
        <v>4</v>
      </c>
      <c r="D258" t="str">
        <f>VLOOKUP(A258,DataUsuario!B:D,2,FALSE)</f>
        <v>Agrícola</v>
      </c>
      <c r="E258" t="str">
        <f>VLOOKUP(A258,DataUsuario!B:D,3,FALSE)</f>
        <v>Planificador Agrícola</v>
      </c>
      <c r="F258" t="s">
        <v>89</v>
      </c>
    </row>
    <row r="259" spans="1:6" x14ac:dyDescent="0.3">
      <c r="A259" s="157" t="s">
        <v>619</v>
      </c>
      <c r="B259" t="s">
        <v>35</v>
      </c>
      <c r="C259" s="160" t="s">
        <v>632</v>
      </c>
      <c r="D259" t="str">
        <f>VLOOKUP(A259,DataUsuario!B:D,2,FALSE)</f>
        <v>Gestión Humana y Sostenibilidad</v>
      </c>
      <c r="E259" t="str">
        <f>VLOOKUP(A259,DataUsuario!B:D,3,FALSE)</f>
        <v>Control Presupuestal</v>
      </c>
      <c r="F259" t="s">
        <v>62</v>
      </c>
    </row>
    <row r="260" spans="1:6" x14ac:dyDescent="0.3">
      <c r="A260" s="156" t="s">
        <v>158</v>
      </c>
      <c r="B260" t="s">
        <v>35</v>
      </c>
      <c r="C260" s="159">
        <v>3</v>
      </c>
      <c r="D260" t="str">
        <f>VLOOKUP(A260,DataUsuario!B:D,2,FALSE)</f>
        <v>Operaciones</v>
      </c>
      <c r="E260" t="str">
        <f>VLOOKUP(A260,DataUsuario!B:D,3,FALSE)</f>
        <v>Calidad</v>
      </c>
      <c r="F260" t="s">
        <v>70</v>
      </c>
    </row>
    <row r="261" spans="1:6" x14ac:dyDescent="0.3">
      <c r="A261" s="157" t="s">
        <v>61</v>
      </c>
      <c r="B261" t="s">
        <v>35</v>
      </c>
      <c r="C261" s="160">
        <v>4</v>
      </c>
      <c r="D261" t="str">
        <f>VLOOKUP(A261,DataUsuario!B:D,2,FALSE)</f>
        <v>Gestión Humana y Sostenibilidad</v>
      </c>
      <c r="E261" t="str">
        <f>VLOOKUP(A261,DataUsuario!B:D,3,FALSE)</f>
        <v>Compensación y Nóminas</v>
      </c>
      <c r="F261" t="s">
        <v>62</v>
      </c>
    </row>
    <row r="262" spans="1:6" x14ac:dyDescent="0.3">
      <c r="A262" s="156" t="s">
        <v>385</v>
      </c>
      <c r="B262" t="s">
        <v>35</v>
      </c>
      <c r="C262" s="159">
        <v>5</v>
      </c>
      <c r="D262" t="str">
        <f>VLOOKUP(A262,DataUsuario!B:D,2,FALSE)</f>
        <v>Agrícola</v>
      </c>
      <c r="E262" t="str">
        <f>VLOOKUP(A262,DataUsuario!B:D,3,FALSE)</f>
        <v>Fundo Montelima</v>
      </c>
      <c r="F262" t="s">
        <v>89</v>
      </c>
    </row>
    <row r="263" spans="1:6" x14ac:dyDescent="0.3">
      <c r="A263" s="157" t="s">
        <v>621</v>
      </c>
      <c r="B263" t="s">
        <v>35</v>
      </c>
      <c r="C263" s="160">
        <v>5</v>
      </c>
      <c r="D263" t="str">
        <f>VLOOKUP(A263,DataUsuario!B:D,2,FALSE)</f>
        <v>Industrial y de Mantenimiento</v>
      </c>
      <c r="E263" t="str">
        <f>VLOOKUP(A263,DataUsuario!B:D,3,FALSE)</f>
        <v>Mantenimiento Industrial</v>
      </c>
      <c r="F263" t="s">
        <v>74</v>
      </c>
    </row>
    <row r="264" spans="1:6" x14ac:dyDescent="0.3">
      <c r="A264" s="156" t="s">
        <v>123</v>
      </c>
      <c r="B264" t="s">
        <v>35</v>
      </c>
      <c r="C264" s="159">
        <v>4</v>
      </c>
      <c r="D264" t="str">
        <f>VLOOKUP(A264,DataUsuario!B:D,2,FALSE)</f>
        <v>Administración y Finanzas</v>
      </c>
      <c r="E264" t="str">
        <f>VLOOKUP(A264,DataUsuario!B:D,3,FALSE)</f>
        <v>Gerencia Administración y Finanzas</v>
      </c>
      <c r="F264" t="s">
        <v>66</v>
      </c>
    </row>
    <row r="265" spans="1:6" x14ac:dyDescent="0.3">
      <c r="A265" s="157" t="s">
        <v>128</v>
      </c>
      <c r="B265" t="s">
        <v>35</v>
      </c>
      <c r="C265" s="160">
        <v>4</v>
      </c>
      <c r="D265" t="str">
        <f>VLOOKUP(A265,DataUsuario!B:D,2,FALSE)</f>
        <v>Agrícola</v>
      </c>
      <c r="E265" t="str">
        <f>VLOOKUP(A265,DataUsuario!B:D,3,FALSE)</f>
        <v>Fundo Lobo</v>
      </c>
      <c r="F265" t="s">
        <v>89</v>
      </c>
    </row>
    <row r="266" spans="1:6" x14ac:dyDescent="0.3">
      <c r="A266" s="156" t="s">
        <v>238</v>
      </c>
      <c r="B266" t="s">
        <v>35</v>
      </c>
      <c r="C266" s="159">
        <v>4</v>
      </c>
      <c r="D266" t="str">
        <f>VLOOKUP(A266,DataUsuario!B:D,2,FALSE)</f>
        <v>Industrial y de Mantenimiento</v>
      </c>
      <c r="E266" t="str">
        <f>VLOOKUP(A266,DataUsuario!B:D,3,FALSE)</f>
        <v>Producción</v>
      </c>
      <c r="F266" t="s">
        <v>74</v>
      </c>
    </row>
    <row r="267" spans="1:6" x14ac:dyDescent="0.3">
      <c r="A267" s="157" t="s">
        <v>413</v>
      </c>
      <c r="B267" t="s">
        <v>35</v>
      </c>
      <c r="C267" s="160">
        <v>4</v>
      </c>
      <c r="D267" t="str">
        <f>VLOOKUP(A267,DataUsuario!B:D,2,FALSE)</f>
        <v>Administración y Finanzas</v>
      </c>
      <c r="E267" t="str">
        <f>VLOOKUP(A267,DataUsuario!B:D,3,FALSE)</f>
        <v>Contabilidad Tributaria</v>
      </c>
      <c r="F267" t="s">
        <v>66</v>
      </c>
    </row>
    <row r="268" spans="1:6" x14ac:dyDescent="0.3">
      <c r="A268" s="156" t="s">
        <v>85</v>
      </c>
      <c r="B268" t="s">
        <v>35</v>
      </c>
      <c r="C268" s="159">
        <v>5</v>
      </c>
      <c r="D268" t="str">
        <f>VLOOKUP(A268,DataUsuario!B:D,2,FALSE)</f>
        <v>Operaciones</v>
      </c>
      <c r="E268" t="str">
        <f>VLOOKUP(A268,DataUsuario!B:D,3,FALSE)</f>
        <v>Comercial</v>
      </c>
      <c r="F268" t="s">
        <v>70</v>
      </c>
    </row>
    <row r="269" spans="1:6" x14ac:dyDescent="0.3">
      <c r="A269" s="157" t="s">
        <v>439</v>
      </c>
      <c r="B269" t="s">
        <v>35</v>
      </c>
      <c r="C269" s="160" t="s">
        <v>632</v>
      </c>
      <c r="D269" t="str">
        <f>VLOOKUP(A269,DataUsuario!B:D,2,FALSE)</f>
        <v>Operaciones</v>
      </c>
      <c r="E269" t="str">
        <f>VLOOKUP(A269,DataUsuario!B:D,3,FALSE)</f>
        <v>Comercial</v>
      </c>
      <c r="F269" t="s">
        <v>70</v>
      </c>
    </row>
    <row r="270" spans="1:6" x14ac:dyDescent="0.3">
      <c r="A270" s="156" t="s">
        <v>624</v>
      </c>
      <c r="B270" t="s">
        <v>35</v>
      </c>
      <c r="C270" s="159">
        <v>4</v>
      </c>
      <c r="D270" t="str">
        <f>VLOOKUP(A270,DataUsuario!B:D,2,FALSE)</f>
        <v>Agrícola</v>
      </c>
      <c r="E270" t="str">
        <f>VLOOKUP(A270,DataUsuario!B:D,3,FALSE)</f>
        <v>Fundo San Vicente</v>
      </c>
      <c r="F270" t="s">
        <v>89</v>
      </c>
    </row>
    <row r="271" spans="1:6" x14ac:dyDescent="0.3">
      <c r="A271" s="157" t="s">
        <v>369</v>
      </c>
      <c r="B271" t="s">
        <v>35</v>
      </c>
      <c r="C271" s="160">
        <v>4</v>
      </c>
      <c r="D271" t="str">
        <f>VLOOKUP(A271,DataUsuario!B:D,2,FALSE)</f>
        <v>Agrícola</v>
      </c>
      <c r="E271" t="str">
        <f>VLOOKUP(A271,DataUsuario!B:D,3,FALSE)</f>
        <v>Sistema Integral de Gestión</v>
      </c>
      <c r="F271" t="s">
        <v>89</v>
      </c>
    </row>
    <row r="272" spans="1:6" x14ac:dyDescent="0.3">
      <c r="A272" s="156" t="s">
        <v>576</v>
      </c>
      <c r="B272" t="s">
        <v>35</v>
      </c>
      <c r="C272" s="159">
        <v>4</v>
      </c>
      <c r="D272" t="str">
        <f>VLOOKUP(A272,DataUsuario!B:D,2,FALSE)</f>
        <v>Industrial y de Mantenimiento</v>
      </c>
      <c r="E272" t="str">
        <f>VLOOKUP(A272,DataUsuario!B:D,3,FALSE)</f>
        <v>Mantenimiento Industrial</v>
      </c>
      <c r="F272" t="s">
        <v>74</v>
      </c>
    </row>
    <row r="273" spans="1:6" x14ac:dyDescent="0.3">
      <c r="A273" s="157" t="s">
        <v>435</v>
      </c>
      <c r="B273" t="s">
        <v>35</v>
      </c>
      <c r="C273" s="160">
        <v>4</v>
      </c>
      <c r="D273" t="str">
        <f>VLOOKUP(A273,DataUsuario!B:D,2,FALSE)</f>
        <v>Operaciones</v>
      </c>
      <c r="E273" t="str">
        <f>VLOOKUP(A273,DataUsuario!B:D,3,FALSE)</f>
        <v>Almacenes y Distribución PT</v>
      </c>
      <c r="F273" t="s">
        <v>70</v>
      </c>
    </row>
    <row r="274" spans="1:6" x14ac:dyDescent="0.3">
      <c r="A274" s="156" t="s">
        <v>332</v>
      </c>
      <c r="B274" t="s">
        <v>35</v>
      </c>
      <c r="C274" s="159">
        <v>5</v>
      </c>
      <c r="D274" t="str">
        <f>VLOOKUP(A274,DataUsuario!B:D,2,FALSE)</f>
        <v>Agrícola</v>
      </c>
      <c r="E274" t="str">
        <f>VLOOKUP(A274,DataUsuario!B:D,3,FALSE)</f>
        <v>Gerencia Agrícola</v>
      </c>
      <c r="F274" t="s">
        <v>89</v>
      </c>
    </row>
    <row r="275" spans="1:6" x14ac:dyDescent="0.3">
      <c r="A275" s="157" t="s">
        <v>202</v>
      </c>
      <c r="B275" t="s">
        <v>35</v>
      </c>
      <c r="C275" s="160">
        <v>5</v>
      </c>
      <c r="D275" t="str">
        <f>VLOOKUP(A275,DataUsuario!B:D,2,FALSE)</f>
        <v>Agrícola</v>
      </c>
      <c r="E275" t="str">
        <f>VLOOKUP(A275,DataUsuario!B:D,3,FALSE)</f>
        <v>Fundo La Huaca</v>
      </c>
      <c r="F275" t="s">
        <v>89</v>
      </c>
    </row>
    <row r="276" spans="1:6" x14ac:dyDescent="0.3">
      <c r="A276" s="156" t="s">
        <v>167</v>
      </c>
      <c r="B276" t="s">
        <v>35</v>
      </c>
      <c r="C276" s="159">
        <v>4</v>
      </c>
      <c r="D276" t="str">
        <f>VLOOKUP(A276,DataUsuario!B:D,2,FALSE)</f>
        <v>Agrícola</v>
      </c>
      <c r="E276" t="str">
        <f>VLOOKUP(A276,DataUsuario!B:D,3,FALSE)</f>
        <v>Fundo Montelima</v>
      </c>
      <c r="F276" t="s">
        <v>89</v>
      </c>
    </row>
    <row r="277" spans="1:6" x14ac:dyDescent="0.3">
      <c r="A277" s="157" t="s">
        <v>628</v>
      </c>
      <c r="B277" t="s">
        <v>35</v>
      </c>
      <c r="C277" s="160" t="s">
        <v>632</v>
      </c>
      <c r="D277" t="str">
        <f>VLOOKUP(A277,DataUsuario!B:D,2,FALSE)</f>
        <v>Agrícola</v>
      </c>
      <c r="E277" t="str">
        <f>VLOOKUP(A277,DataUsuario!B:D,3,FALSE)</f>
        <v>Mantenimiento de Riego y Bombas</v>
      </c>
      <c r="F277" t="s">
        <v>89</v>
      </c>
    </row>
    <row r="278" spans="1:6" x14ac:dyDescent="0.3">
      <c r="A278" s="156" t="s">
        <v>115</v>
      </c>
      <c r="B278" t="s">
        <v>35</v>
      </c>
      <c r="C278" s="159">
        <v>4</v>
      </c>
      <c r="D278" t="str">
        <f>VLOOKUP(A278,DataUsuario!B:D,2,FALSE)</f>
        <v>Industrial y de Mantenimiento</v>
      </c>
      <c r="E278" t="str">
        <f>VLOOKUP(A278,DataUsuario!B:D,3,FALSE)</f>
        <v>Mantenimiento de Transportes</v>
      </c>
      <c r="F278" t="s">
        <v>74</v>
      </c>
    </row>
    <row r="279" spans="1:6" x14ac:dyDescent="0.3">
      <c r="A279" s="157" t="s">
        <v>629</v>
      </c>
      <c r="B279" t="s">
        <v>35</v>
      </c>
      <c r="C279" s="160">
        <v>4</v>
      </c>
      <c r="D279" t="str">
        <f>VLOOKUP(A279,DataUsuario!B:D,2,FALSE)</f>
        <v>Administración y Finanzas</v>
      </c>
      <c r="E279" t="str">
        <f>VLOOKUP(A279,DataUsuario!B:D,3,FALSE)</f>
        <v>Compras</v>
      </c>
      <c r="F279" t="s">
        <v>66</v>
      </c>
    </row>
    <row r="280" spans="1:6" x14ac:dyDescent="0.3">
      <c r="A280" s="158" t="s">
        <v>267</v>
      </c>
      <c r="B280" t="s">
        <v>35</v>
      </c>
      <c r="C280" s="161">
        <v>4</v>
      </c>
      <c r="D280" t="str">
        <f>VLOOKUP(A280,DataUsuario!B:D,2,FALSE)</f>
        <v>Gestión Humana y Sostenibilidad</v>
      </c>
      <c r="E280" t="str">
        <f>VLOOKUP(A280,DataUsuario!B:D,3,FALSE)</f>
        <v>Sostenibilidad</v>
      </c>
      <c r="F280" t="s">
        <v>62</v>
      </c>
    </row>
    <row r="281" spans="1:6" x14ac:dyDescent="0.3">
      <c r="A281" s="156" t="s">
        <v>592</v>
      </c>
      <c r="B281" t="s">
        <v>36</v>
      </c>
      <c r="C281" s="162">
        <v>5</v>
      </c>
      <c r="D281" t="str">
        <f>VLOOKUP(A281,DataUsuario!B:D,2,FALSE)</f>
        <v>Gestión Humana y Sostenibilidad</v>
      </c>
      <c r="E281" t="str">
        <f>VLOOKUP(A281,DataUsuario!B:D,3,FALSE)</f>
        <v>Seguridad</v>
      </c>
      <c r="F281" t="s">
        <v>62</v>
      </c>
    </row>
    <row r="282" spans="1:6" x14ac:dyDescent="0.3">
      <c r="A282" s="157" t="s">
        <v>242</v>
      </c>
      <c r="B282" t="s">
        <v>36</v>
      </c>
      <c r="C282" s="163">
        <v>3</v>
      </c>
      <c r="D282" t="str">
        <f>VLOOKUP(A282,DataUsuario!B:D,2,FALSE)</f>
        <v>Agrícola</v>
      </c>
      <c r="E282" t="str">
        <f>VLOOKUP(A282,DataUsuario!B:D,3,FALSE)</f>
        <v>Fundo Montelima</v>
      </c>
      <c r="F282" t="s">
        <v>89</v>
      </c>
    </row>
    <row r="283" spans="1:6" x14ac:dyDescent="0.3">
      <c r="A283" s="156" t="s">
        <v>133</v>
      </c>
      <c r="B283" t="s">
        <v>36</v>
      </c>
      <c r="C283" s="162">
        <v>4</v>
      </c>
      <c r="D283" t="str">
        <f>VLOOKUP(A283,DataUsuario!B:D,2,FALSE)</f>
        <v>Industrial y de Mantenimiento</v>
      </c>
      <c r="E283" t="str">
        <f>VLOOKUP(A283,DataUsuario!B:D,3,FALSE)</f>
        <v>Electricidad</v>
      </c>
      <c r="F283" t="s">
        <v>74</v>
      </c>
    </row>
    <row r="284" spans="1:6" x14ac:dyDescent="0.3">
      <c r="A284" s="157" t="s">
        <v>221</v>
      </c>
      <c r="B284" t="s">
        <v>36</v>
      </c>
      <c r="C284" s="163">
        <v>5</v>
      </c>
      <c r="D284" t="str">
        <f>VLOOKUP(A284,DataUsuario!B:D,2,FALSE)</f>
        <v>Administración y Finanzas</v>
      </c>
      <c r="E284" t="str">
        <f>VLOOKUP(A284,DataUsuario!B:D,3,FALSE)</f>
        <v>Sistemas y TI</v>
      </c>
      <c r="F284" t="s">
        <v>66</v>
      </c>
    </row>
    <row r="285" spans="1:6" x14ac:dyDescent="0.3">
      <c r="A285" s="156" t="s">
        <v>251</v>
      </c>
      <c r="B285" t="s">
        <v>36</v>
      </c>
      <c r="C285" s="162" t="s">
        <v>632</v>
      </c>
      <c r="D285" t="str">
        <f>VLOOKUP(A285,DataUsuario!B:D,2,FALSE)</f>
        <v>Industrial y de Mantenimiento</v>
      </c>
      <c r="E285" t="str">
        <f>VLOOKUP(A285,DataUsuario!B:D,3,FALSE)</f>
        <v>Automatización</v>
      </c>
      <c r="F285" t="s">
        <v>74</v>
      </c>
    </row>
    <row r="286" spans="1:6" x14ac:dyDescent="0.3">
      <c r="A286" s="157" t="s">
        <v>82</v>
      </c>
      <c r="B286" t="s">
        <v>36</v>
      </c>
      <c r="C286" s="163">
        <v>5</v>
      </c>
      <c r="D286" t="str">
        <f>VLOOKUP(A286,DataUsuario!B:D,2,FALSE)</f>
        <v>Industrial y de Mantenimiento</v>
      </c>
      <c r="E286" t="str">
        <f>VLOOKUP(A286,DataUsuario!B:D,3,FALSE)</f>
        <v>Producción</v>
      </c>
      <c r="F286" t="s">
        <v>74</v>
      </c>
    </row>
    <row r="287" spans="1:6" x14ac:dyDescent="0.3">
      <c r="A287" s="156" t="s">
        <v>431</v>
      </c>
      <c r="B287" t="s">
        <v>36</v>
      </c>
      <c r="C287" s="162">
        <v>3</v>
      </c>
      <c r="D287" t="str">
        <f>VLOOKUP(A287,DataUsuario!B:D,2,FALSE)</f>
        <v>Agrícola</v>
      </c>
      <c r="E287" t="str">
        <f>VLOOKUP(A287,DataUsuario!B:D,3,FALSE)</f>
        <v>Fundo San Vicente</v>
      </c>
      <c r="F287" t="s">
        <v>89</v>
      </c>
    </row>
    <row r="288" spans="1:6" x14ac:dyDescent="0.3">
      <c r="A288" s="157" t="s">
        <v>92</v>
      </c>
      <c r="B288" t="s">
        <v>36</v>
      </c>
      <c r="C288" s="163">
        <v>5</v>
      </c>
      <c r="D288" t="str">
        <f>VLOOKUP(A288,DataUsuario!B:D,2,FALSE)</f>
        <v>Administración y Finanzas</v>
      </c>
      <c r="E288" t="str">
        <f>VLOOKUP(A288,DataUsuario!B:D,3,FALSE)</f>
        <v>Control de Gestión</v>
      </c>
      <c r="F288" t="s">
        <v>66</v>
      </c>
    </row>
    <row r="289" spans="1:6" x14ac:dyDescent="0.3">
      <c r="A289" s="156" t="s">
        <v>77</v>
      </c>
      <c r="B289" t="s">
        <v>36</v>
      </c>
      <c r="C289" s="162">
        <v>5</v>
      </c>
      <c r="D289" t="str">
        <f>VLOOKUP(A289,DataUsuario!B:D,2,FALSE)</f>
        <v>Operaciones</v>
      </c>
      <c r="E289" t="str">
        <f>VLOOKUP(A289,DataUsuario!B:D,3,FALSE)</f>
        <v>Comercial No Giro</v>
      </c>
      <c r="F289" t="s">
        <v>70</v>
      </c>
    </row>
    <row r="290" spans="1:6" x14ac:dyDescent="0.3">
      <c r="A290" s="157" t="s">
        <v>198</v>
      </c>
      <c r="B290" t="s">
        <v>36</v>
      </c>
      <c r="C290" s="163">
        <v>5</v>
      </c>
      <c r="D290" t="str">
        <f>VLOOKUP(A290,DataUsuario!B:D,2,FALSE)</f>
        <v>Agrícola</v>
      </c>
      <c r="E290" t="str">
        <f>VLOOKUP(A290,DataUsuario!B:D,3,FALSE)</f>
        <v>Fundo Lobo</v>
      </c>
      <c r="F290" t="s">
        <v>89</v>
      </c>
    </row>
    <row r="291" spans="1:6" x14ac:dyDescent="0.3">
      <c r="A291" s="156" t="s">
        <v>322</v>
      </c>
      <c r="B291" t="s">
        <v>36</v>
      </c>
      <c r="C291" s="162">
        <v>2</v>
      </c>
      <c r="D291" t="str">
        <f>VLOOKUP(A291,DataUsuario!B:D,2,FALSE)</f>
        <v>Administración y Finanzas</v>
      </c>
      <c r="E291" t="str">
        <f>VLOOKUP(A291,DataUsuario!B:D,3,FALSE)</f>
        <v>Finanzas y Tesorería</v>
      </c>
      <c r="F291" t="s">
        <v>66</v>
      </c>
    </row>
    <row r="292" spans="1:6" x14ac:dyDescent="0.3">
      <c r="A292" s="157" t="s">
        <v>359</v>
      </c>
      <c r="B292" t="s">
        <v>36</v>
      </c>
      <c r="C292" s="163">
        <v>4</v>
      </c>
      <c r="D292" t="str">
        <f>VLOOKUP(A292,DataUsuario!B:D,2,FALSE)</f>
        <v>Operaciones</v>
      </c>
      <c r="E292" t="str">
        <f>VLOOKUP(A292,DataUsuario!B:D,3,FALSE)</f>
        <v>Gerencia de Operaciones</v>
      </c>
      <c r="F292" t="s">
        <v>70</v>
      </c>
    </row>
    <row r="293" spans="1:6" x14ac:dyDescent="0.3">
      <c r="A293" s="156" t="s">
        <v>236</v>
      </c>
      <c r="B293" t="s">
        <v>36</v>
      </c>
      <c r="C293" s="162">
        <v>5</v>
      </c>
      <c r="D293" t="str">
        <f>VLOOKUP(A293,DataUsuario!B:D,2,FALSE)</f>
        <v>Administración y Finanzas</v>
      </c>
      <c r="E293" t="str">
        <f>VLOOKUP(A293,DataUsuario!B:D,3,FALSE)</f>
        <v>Sistemas y TI</v>
      </c>
      <c r="F293" t="s">
        <v>66</v>
      </c>
    </row>
    <row r="294" spans="1:6" x14ac:dyDescent="0.3">
      <c r="A294" s="157" t="s">
        <v>314</v>
      </c>
      <c r="B294" t="s">
        <v>36</v>
      </c>
      <c r="C294" s="163">
        <v>5</v>
      </c>
      <c r="D294" t="str">
        <f>VLOOKUP(A294,DataUsuario!B:D,2,FALSE)</f>
        <v>Industrial y de Mantenimiento</v>
      </c>
      <c r="E294" t="str">
        <f>VLOOKUP(A294,DataUsuario!B:D,3,FALSE)</f>
        <v>Mantenimiento Industrial</v>
      </c>
      <c r="F294" t="s">
        <v>74</v>
      </c>
    </row>
    <row r="295" spans="1:6" x14ac:dyDescent="0.3">
      <c r="A295" s="156" t="s">
        <v>145</v>
      </c>
      <c r="B295" t="s">
        <v>36</v>
      </c>
      <c r="C295" s="162">
        <v>5</v>
      </c>
      <c r="D295" t="str">
        <f>VLOOKUP(A295,DataUsuario!B:D,2,FALSE)</f>
        <v>Administración y Finanzas</v>
      </c>
      <c r="E295" t="str">
        <f>VLOOKUP(A295,DataUsuario!B:D,3,FALSE)</f>
        <v>Legal</v>
      </c>
      <c r="F295" t="s">
        <v>66</v>
      </c>
    </row>
    <row r="296" spans="1:6" x14ac:dyDescent="0.3">
      <c r="A296" s="157" t="s">
        <v>299</v>
      </c>
      <c r="B296" t="s">
        <v>36</v>
      </c>
      <c r="C296" s="163">
        <v>4</v>
      </c>
      <c r="D296" t="str">
        <f>VLOOKUP(A296,DataUsuario!B:D,2,FALSE)</f>
        <v>Administración y Finanzas</v>
      </c>
      <c r="E296" t="str">
        <f>VLOOKUP(A296,DataUsuario!B:D,3,FALSE)</f>
        <v>Legal</v>
      </c>
      <c r="F296" t="s">
        <v>66</v>
      </c>
    </row>
    <row r="297" spans="1:6" x14ac:dyDescent="0.3">
      <c r="A297" s="156" t="s">
        <v>289</v>
      </c>
      <c r="B297" t="s">
        <v>36</v>
      </c>
      <c r="C297" s="162">
        <v>4</v>
      </c>
      <c r="D297" t="str">
        <f>VLOOKUP(A297,DataUsuario!B:D,2,FALSE)</f>
        <v>Agrícola</v>
      </c>
      <c r="E297" t="str">
        <f>VLOOKUP(A297,DataUsuario!B:D,3,FALSE)</f>
        <v>Mantenimiento de Riego y Bombas</v>
      </c>
      <c r="F297" t="s">
        <v>89</v>
      </c>
    </row>
    <row r="298" spans="1:6" x14ac:dyDescent="0.3">
      <c r="A298" s="157" t="s">
        <v>138</v>
      </c>
      <c r="B298" t="s">
        <v>36</v>
      </c>
      <c r="C298" s="163">
        <v>4</v>
      </c>
      <c r="D298" t="str">
        <f>VLOOKUP(A298,DataUsuario!B:D,2,FALSE)</f>
        <v>Gestión Humana y Sostenibilidad</v>
      </c>
      <c r="E298" t="str">
        <f>VLOOKUP(A298,DataUsuario!B:D,3,FALSE)</f>
        <v>Gestion del Talento</v>
      </c>
      <c r="F298" t="s">
        <v>62</v>
      </c>
    </row>
    <row r="299" spans="1:6" x14ac:dyDescent="0.3">
      <c r="A299" s="156" t="s">
        <v>326</v>
      </c>
      <c r="B299" t="s">
        <v>36</v>
      </c>
      <c r="C299" s="162">
        <v>5</v>
      </c>
      <c r="D299" t="str">
        <f>VLOOKUP(A299,DataUsuario!B:D,2,FALSE)</f>
        <v>Operaciones</v>
      </c>
      <c r="E299" t="str">
        <f>VLOOKUP(A299,DataUsuario!B:D,3,FALSE)</f>
        <v>Calidad</v>
      </c>
      <c r="F299" t="s">
        <v>70</v>
      </c>
    </row>
    <row r="300" spans="1:6" x14ac:dyDescent="0.3">
      <c r="A300" s="157" t="s">
        <v>421</v>
      </c>
      <c r="B300" t="s">
        <v>36</v>
      </c>
      <c r="C300" s="163">
        <v>4</v>
      </c>
      <c r="D300" t="str">
        <f>VLOOKUP(A300,DataUsuario!B:D,2,FALSE)</f>
        <v>Operaciones</v>
      </c>
      <c r="E300" t="str">
        <f>VLOOKUP(A300,DataUsuario!B:D,3,FALSE)</f>
        <v>Cosecha</v>
      </c>
      <c r="F300" t="s">
        <v>70</v>
      </c>
    </row>
    <row r="301" spans="1:6" x14ac:dyDescent="0.3">
      <c r="A301" s="156" t="s">
        <v>318</v>
      </c>
      <c r="B301" t="s">
        <v>36</v>
      </c>
      <c r="C301" s="162">
        <v>5</v>
      </c>
      <c r="D301" t="str">
        <f>VLOOKUP(A301,DataUsuario!B:D,2,FALSE)</f>
        <v>Operaciones</v>
      </c>
      <c r="E301" t="str">
        <f>VLOOKUP(A301,DataUsuario!B:D,3,FALSE)</f>
        <v>Cosecha</v>
      </c>
      <c r="F301" t="s">
        <v>70</v>
      </c>
    </row>
    <row r="302" spans="1:6" x14ac:dyDescent="0.3">
      <c r="A302" s="157" t="s">
        <v>176</v>
      </c>
      <c r="B302" t="s">
        <v>36</v>
      </c>
      <c r="C302" s="163">
        <v>5</v>
      </c>
      <c r="D302" t="str">
        <f>VLOOKUP(A302,DataUsuario!B:D,2,FALSE)</f>
        <v>Administración y Finanzas</v>
      </c>
      <c r="E302" t="str">
        <f>VLOOKUP(A302,DataUsuario!B:D,3,FALSE)</f>
        <v>Cadenas Productivas</v>
      </c>
      <c r="F302" t="s">
        <v>66</v>
      </c>
    </row>
    <row r="303" spans="1:6" x14ac:dyDescent="0.3">
      <c r="A303" s="156" t="s">
        <v>136</v>
      </c>
      <c r="B303" t="s">
        <v>36</v>
      </c>
      <c r="C303" s="162">
        <v>3</v>
      </c>
      <c r="D303" t="str">
        <f>VLOOKUP(A303,DataUsuario!B:D,2,FALSE)</f>
        <v>Operaciones</v>
      </c>
      <c r="E303" t="str">
        <f>VLOOKUP(A303,DataUsuario!B:D,3,FALSE)</f>
        <v>Comercial</v>
      </c>
      <c r="F303" t="s">
        <v>70</v>
      </c>
    </row>
    <row r="304" spans="1:6" x14ac:dyDescent="0.3">
      <c r="A304" s="157" t="s">
        <v>376</v>
      </c>
      <c r="B304" t="s">
        <v>36</v>
      </c>
      <c r="C304" s="163">
        <v>5</v>
      </c>
      <c r="D304" t="str">
        <f>VLOOKUP(A304,DataUsuario!B:D,2,FALSE)</f>
        <v>Administración y Finanzas</v>
      </c>
      <c r="E304" t="str">
        <f>VLOOKUP(A304,DataUsuario!B:D,3,FALSE)</f>
        <v>Control de Gestión</v>
      </c>
      <c r="F304" t="s">
        <v>66</v>
      </c>
    </row>
    <row r="305" spans="1:6" x14ac:dyDescent="0.3">
      <c r="A305" s="156" t="s">
        <v>285</v>
      </c>
      <c r="B305" t="s">
        <v>36</v>
      </c>
      <c r="C305" s="162">
        <v>4</v>
      </c>
      <c r="D305" t="str">
        <f>VLOOKUP(A305,DataUsuario!B:D,2,FALSE)</f>
        <v>Operaciones</v>
      </c>
      <c r="E305" t="str">
        <f>VLOOKUP(A305,DataUsuario!B:D,3,FALSE)</f>
        <v>Comercial</v>
      </c>
      <c r="F305" t="s">
        <v>70</v>
      </c>
    </row>
    <row r="306" spans="1:6" x14ac:dyDescent="0.3">
      <c r="A306" s="157" t="s">
        <v>341</v>
      </c>
      <c r="B306" t="s">
        <v>36</v>
      </c>
      <c r="C306" s="163">
        <v>5</v>
      </c>
      <c r="D306" t="str">
        <f>VLOOKUP(A306,DataUsuario!B:D,2,FALSE)</f>
        <v>Administración y Finanzas</v>
      </c>
      <c r="E306" t="str">
        <f>VLOOKUP(A306,DataUsuario!B:D,3,FALSE)</f>
        <v>Contabilidad Tributaria</v>
      </c>
      <c r="F306" t="s">
        <v>66</v>
      </c>
    </row>
    <row r="307" spans="1:6" x14ac:dyDescent="0.3">
      <c r="A307" s="156" t="s">
        <v>254</v>
      </c>
      <c r="B307" t="s">
        <v>36</v>
      </c>
      <c r="C307" s="162">
        <v>5</v>
      </c>
      <c r="D307" t="str">
        <f>VLOOKUP(A307,DataUsuario!B:D,2,FALSE)</f>
        <v>Administración y Finanzas</v>
      </c>
      <c r="E307" t="str">
        <f>VLOOKUP(A307,DataUsuario!B:D,3,FALSE)</f>
        <v>Administración</v>
      </c>
      <c r="F307" t="s">
        <v>66</v>
      </c>
    </row>
    <row r="308" spans="1:6" x14ac:dyDescent="0.3">
      <c r="A308" s="157" t="s">
        <v>224</v>
      </c>
      <c r="B308" t="s">
        <v>36</v>
      </c>
      <c r="C308" s="163">
        <v>4</v>
      </c>
      <c r="D308" t="str">
        <f>VLOOKUP(A308,DataUsuario!B:D,2,FALSE)</f>
        <v>Agrícola</v>
      </c>
      <c r="E308" t="str">
        <f>VLOOKUP(A308,DataUsuario!B:D,3,FALSE)</f>
        <v>Laboratorio e Investigación Agricola</v>
      </c>
      <c r="F308" t="s">
        <v>89</v>
      </c>
    </row>
    <row r="309" spans="1:6" x14ac:dyDescent="0.3">
      <c r="A309" s="156" t="s">
        <v>578</v>
      </c>
      <c r="B309" t="s">
        <v>36</v>
      </c>
      <c r="C309" s="162">
        <v>5</v>
      </c>
      <c r="D309" t="str">
        <f>VLOOKUP(A309,DataUsuario!B:D,2,FALSE)</f>
        <v>Administración y Finanzas</v>
      </c>
      <c r="E309" t="str">
        <f>VLOOKUP(A309,DataUsuario!B:D,3,FALSE)</f>
        <v>Finanzas y Tesorería</v>
      </c>
      <c r="F309" t="s">
        <v>66</v>
      </c>
    </row>
    <row r="310" spans="1:6" x14ac:dyDescent="0.3">
      <c r="A310" s="157" t="s">
        <v>196</v>
      </c>
      <c r="B310" t="s">
        <v>36</v>
      </c>
      <c r="C310" s="163" t="s">
        <v>632</v>
      </c>
      <c r="D310" t="str">
        <f>VLOOKUP(A310,DataUsuario!B:D,2,FALSE)</f>
        <v>Agrícola</v>
      </c>
      <c r="E310" t="str">
        <f>VLOOKUP(A310,DataUsuario!B:D,3,FALSE)</f>
        <v>Mantenimiento de Riego y Bombas</v>
      </c>
      <c r="F310" t="s">
        <v>89</v>
      </c>
    </row>
    <row r="311" spans="1:6" x14ac:dyDescent="0.3">
      <c r="A311" s="156" t="s">
        <v>328</v>
      </c>
      <c r="B311" t="s">
        <v>36</v>
      </c>
      <c r="C311" s="162">
        <v>4</v>
      </c>
      <c r="D311" t="str">
        <f>VLOOKUP(A311,DataUsuario!B:D,2,FALSE)</f>
        <v>Administración y Finanzas</v>
      </c>
      <c r="E311" t="str">
        <f>VLOOKUP(A311,DataUsuario!B:D,3,FALSE)</f>
        <v>Administración</v>
      </c>
      <c r="F311" t="s">
        <v>66</v>
      </c>
    </row>
    <row r="312" spans="1:6" x14ac:dyDescent="0.3">
      <c r="A312" s="157" t="s">
        <v>403</v>
      </c>
      <c r="B312" t="s">
        <v>36</v>
      </c>
      <c r="C312" s="163">
        <v>5</v>
      </c>
      <c r="D312" t="str">
        <f>VLOOKUP(A312,DataUsuario!B:D,2,FALSE)</f>
        <v>Administración y Finanzas</v>
      </c>
      <c r="E312" t="str">
        <f>VLOOKUP(A312,DataUsuario!B:D,3,FALSE)</f>
        <v>Control de Gestión</v>
      </c>
      <c r="F312" t="s">
        <v>66</v>
      </c>
    </row>
    <row r="313" spans="1:6" x14ac:dyDescent="0.3">
      <c r="A313" s="156" t="s">
        <v>602</v>
      </c>
      <c r="B313" t="s">
        <v>36</v>
      </c>
      <c r="C313" s="162">
        <v>4</v>
      </c>
      <c r="D313" t="str">
        <f>VLOOKUP(A313,DataUsuario!B:D,2,FALSE)</f>
        <v>Industrial y de Mantenimiento</v>
      </c>
      <c r="E313" t="str">
        <f>VLOOKUP(A313,DataUsuario!B:D,3,FALSE)</f>
        <v>Mantenimiento Industrial</v>
      </c>
      <c r="F313" t="s">
        <v>74</v>
      </c>
    </row>
    <row r="314" spans="1:6" x14ac:dyDescent="0.3">
      <c r="A314" s="157" t="s">
        <v>230</v>
      </c>
      <c r="B314" t="s">
        <v>36</v>
      </c>
      <c r="C314" s="163">
        <v>5</v>
      </c>
      <c r="D314" t="str">
        <f>VLOOKUP(A314,DataUsuario!B:D,2,FALSE)</f>
        <v>Agrícola</v>
      </c>
      <c r="E314" t="str">
        <f>VLOOKUP(A314,DataUsuario!B:D,3,FALSE)</f>
        <v>Fundo Lobo</v>
      </c>
      <c r="F314" t="s">
        <v>89</v>
      </c>
    </row>
    <row r="315" spans="1:6" x14ac:dyDescent="0.3">
      <c r="A315" s="156" t="s">
        <v>372</v>
      </c>
      <c r="B315" t="s">
        <v>36</v>
      </c>
      <c r="C315" s="162">
        <v>4</v>
      </c>
      <c r="D315" t="str">
        <f>VLOOKUP(A315,DataUsuario!B:D,2,FALSE)</f>
        <v>Agrícola</v>
      </c>
      <c r="E315" t="str">
        <f>VLOOKUP(A315,DataUsuario!B:D,3,FALSE)</f>
        <v>Laboratorio e Investigación Agricola</v>
      </c>
      <c r="F315" t="s">
        <v>89</v>
      </c>
    </row>
    <row r="316" spans="1:6" x14ac:dyDescent="0.3">
      <c r="A316" s="157" t="s">
        <v>405</v>
      </c>
      <c r="B316" t="s">
        <v>36</v>
      </c>
      <c r="C316" s="163">
        <v>5</v>
      </c>
      <c r="D316" t="str">
        <f>VLOOKUP(A316,DataUsuario!B:D,2,FALSE)</f>
        <v>Administración y Finanzas</v>
      </c>
      <c r="E316" t="str">
        <f>VLOOKUP(A316,DataUsuario!B:D,3,FALSE)</f>
        <v>Finanzas y Tesorería</v>
      </c>
      <c r="F316" t="s">
        <v>66</v>
      </c>
    </row>
    <row r="317" spans="1:6" x14ac:dyDescent="0.3">
      <c r="A317" s="156" t="s">
        <v>287</v>
      </c>
      <c r="B317" t="s">
        <v>36</v>
      </c>
      <c r="C317" s="162">
        <v>4</v>
      </c>
      <c r="D317" t="str">
        <f>VLOOKUP(A317,DataUsuario!B:D,2,FALSE)</f>
        <v>Operaciones</v>
      </c>
      <c r="E317" t="str">
        <f>VLOOKUP(A317,DataUsuario!B:D,3,FALSE)</f>
        <v>Calidad</v>
      </c>
      <c r="F317" t="s">
        <v>70</v>
      </c>
    </row>
    <row r="318" spans="1:6" x14ac:dyDescent="0.3">
      <c r="A318" s="157" t="s">
        <v>258</v>
      </c>
      <c r="B318" t="s">
        <v>36</v>
      </c>
      <c r="C318" s="163">
        <v>5</v>
      </c>
      <c r="D318" t="str">
        <f>VLOOKUP(A318,DataUsuario!B:D,2,FALSE)</f>
        <v>Operaciones</v>
      </c>
      <c r="E318" t="str">
        <f>VLOOKUP(A318,DataUsuario!B:D,3,FALSE)</f>
        <v>Calidad</v>
      </c>
      <c r="F318" t="s">
        <v>70</v>
      </c>
    </row>
    <row r="319" spans="1:6" x14ac:dyDescent="0.3">
      <c r="A319" s="156" t="s">
        <v>97</v>
      </c>
      <c r="B319" t="s">
        <v>36</v>
      </c>
      <c r="C319" s="162">
        <v>5</v>
      </c>
      <c r="D319" t="str">
        <f>VLOOKUP(A319,DataUsuario!B:D,2,FALSE)</f>
        <v>Gestión Humana y Sostenibilidad</v>
      </c>
      <c r="E319" t="str">
        <f>VLOOKUP(A319,DataUsuario!B:D,3,FALSE)</f>
        <v>Compensación y Nóminas</v>
      </c>
      <c r="F319" t="s">
        <v>62</v>
      </c>
    </row>
    <row r="320" spans="1:6" x14ac:dyDescent="0.3">
      <c r="A320" s="157" t="s">
        <v>99</v>
      </c>
      <c r="B320" t="s">
        <v>36</v>
      </c>
      <c r="C320" s="163">
        <v>5</v>
      </c>
      <c r="D320" t="str">
        <f>VLOOKUP(A320,DataUsuario!B:D,2,FALSE)</f>
        <v>Gestión Humana y Sostenibilidad</v>
      </c>
      <c r="E320" t="str">
        <f>VLOOKUP(A320,DataUsuario!B:D,3,FALSE)</f>
        <v>Gestor de Recursos Humanos</v>
      </c>
      <c r="F320" t="s">
        <v>62</v>
      </c>
    </row>
    <row r="321" spans="1:6" x14ac:dyDescent="0.3">
      <c r="A321" s="156" t="s">
        <v>245</v>
      </c>
      <c r="B321" t="s">
        <v>36</v>
      </c>
      <c r="C321" s="162">
        <v>5</v>
      </c>
      <c r="D321" t="str">
        <f>VLOOKUP(A321,DataUsuario!B:D,2,FALSE)</f>
        <v>Gestión Humana y Sostenibilidad</v>
      </c>
      <c r="E321" t="str">
        <f>VLOOKUP(A321,DataUsuario!B:D,3,FALSE)</f>
        <v>Compensación y Nóminas</v>
      </c>
      <c r="F321" t="s">
        <v>62</v>
      </c>
    </row>
    <row r="322" spans="1:6" x14ac:dyDescent="0.3">
      <c r="A322" s="157" t="s">
        <v>271</v>
      </c>
      <c r="B322" t="s">
        <v>36</v>
      </c>
      <c r="C322" s="163">
        <v>4</v>
      </c>
      <c r="D322" t="str">
        <f>VLOOKUP(A322,DataUsuario!B:D,2,FALSE)</f>
        <v>Operaciones</v>
      </c>
      <c r="E322" t="str">
        <f>VLOOKUP(A322,DataUsuario!B:D,3,FALSE)</f>
        <v>Calidad</v>
      </c>
      <c r="F322" t="s">
        <v>70</v>
      </c>
    </row>
    <row r="323" spans="1:6" x14ac:dyDescent="0.3">
      <c r="A323" s="156" t="s">
        <v>118</v>
      </c>
      <c r="B323" t="s">
        <v>36</v>
      </c>
      <c r="C323" s="162">
        <v>4</v>
      </c>
      <c r="D323" t="str">
        <f>VLOOKUP(A323,DataUsuario!B:D,2,FALSE)</f>
        <v>Agrícola</v>
      </c>
      <c r="E323" t="str">
        <f>VLOOKUP(A323,DataUsuario!B:D,3,FALSE)</f>
        <v>Fundo Lobo</v>
      </c>
      <c r="F323" t="s">
        <v>89</v>
      </c>
    </row>
    <row r="324" spans="1:6" x14ac:dyDescent="0.3">
      <c r="A324" s="157" t="s">
        <v>207</v>
      </c>
      <c r="B324" t="s">
        <v>36</v>
      </c>
      <c r="C324" s="163">
        <v>5</v>
      </c>
      <c r="D324" t="str">
        <f>VLOOKUP(A324,DataUsuario!B:D,2,FALSE)</f>
        <v>Administración y Finanzas</v>
      </c>
      <c r="E324" t="str">
        <f>VLOOKUP(A324,DataUsuario!B:D,3,FALSE)</f>
        <v>Riesgos y Cumplimiento</v>
      </c>
      <c r="F324" t="s">
        <v>66</v>
      </c>
    </row>
    <row r="325" spans="1:6" x14ac:dyDescent="0.3">
      <c r="A325" s="156" t="s">
        <v>395</v>
      </c>
      <c r="B325" t="s">
        <v>36</v>
      </c>
      <c r="C325" s="162">
        <v>3</v>
      </c>
      <c r="D325" t="str">
        <f>VLOOKUP(A325,DataUsuario!B:D,2,FALSE)</f>
        <v>Operaciones</v>
      </c>
      <c r="E325" t="str">
        <f>VLOOKUP(A325,DataUsuario!B:D,3,FALSE)</f>
        <v>Mantenimiento CAT</v>
      </c>
      <c r="F325" t="s">
        <v>70</v>
      </c>
    </row>
    <row r="326" spans="1:6" x14ac:dyDescent="0.3">
      <c r="A326" s="157" t="s">
        <v>183</v>
      </c>
      <c r="B326" t="s">
        <v>36</v>
      </c>
      <c r="C326" s="163">
        <v>5</v>
      </c>
      <c r="D326" t="str">
        <f>VLOOKUP(A326,DataUsuario!B:D,2,FALSE)</f>
        <v>Agrícola</v>
      </c>
      <c r="E326" t="str">
        <f>VLOOKUP(A326,DataUsuario!B:D,3,FALSE)</f>
        <v>Planificador Agrícola</v>
      </c>
      <c r="F326" t="s">
        <v>89</v>
      </c>
    </row>
    <row r="327" spans="1:6" x14ac:dyDescent="0.3">
      <c r="A327" s="156" t="s">
        <v>607</v>
      </c>
      <c r="B327" t="s">
        <v>36</v>
      </c>
      <c r="C327" s="162">
        <v>5</v>
      </c>
      <c r="D327" t="str">
        <f>VLOOKUP(A327,DataUsuario!B:D,2,FALSE)</f>
        <v>Gestión Humana y Sostenibilidad</v>
      </c>
      <c r="E327" t="str">
        <f>VLOOKUP(A327,DataUsuario!B:D,3,FALSE)</f>
        <v>Gestor de Recursos Humanos</v>
      </c>
      <c r="F327" t="s">
        <v>62</v>
      </c>
    </row>
    <row r="328" spans="1:6" x14ac:dyDescent="0.3">
      <c r="A328" s="157" t="s">
        <v>352</v>
      </c>
      <c r="B328" t="s">
        <v>36</v>
      </c>
      <c r="C328" s="163">
        <v>5</v>
      </c>
      <c r="D328" t="str">
        <f>VLOOKUP(A328,DataUsuario!B:D,2,FALSE)</f>
        <v>Gestión Humana y Sostenibilidad</v>
      </c>
      <c r="E328" t="str">
        <f>VLOOKUP(A328,DataUsuario!B:D,3,FALSE)</f>
        <v>Compensación y Nóminas</v>
      </c>
      <c r="F328" t="s">
        <v>62</v>
      </c>
    </row>
    <row r="329" spans="1:6" x14ac:dyDescent="0.3">
      <c r="A329" s="156" t="s">
        <v>215</v>
      </c>
      <c r="B329" t="s">
        <v>36</v>
      </c>
      <c r="C329" s="162">
        <v>5</v>
      </c>
      <c r="D329" t="str">
        <f>VLOOKUP(A329,DataUsuario!B:D,2,FALSE)</f>
        <v>Gestión Humana y Sostenibilidad</v>
      </c>
      <c r="E329" t="str">
        <f>VLOOKUP(A329,DataUsuario!B:D,3,FALSE)</f>
        <v>Seguridad</v>
      </c>
      <c r="F329" t="s">
        <v>62</v>
      </c>
    </row>
    <row r="330" spans="1:6" x14ac:dyDescent="0.3">
      <c r="A330" s="157" t="s">
        <v>387</v>
      </c>
      <c r="B330" t="s">
        <v>36</v>
      </c>
      <c r="C330" s="163">
        <v>4</v>
      </c>
      <c r="D330" t="str">
        <f>VLOOKUP(A330,DataUsuario!B:D,2,FALSE)</f>
        <v>Administración y Finanzas</v>
      </c>
      <c r="E330" t="str">
        <f>VLOOKUP(A330,DataUsuario!B:D,3,FALSE)</f>
        <v>Contabilidad Tributaria</v>
      </c>
      <c r="F330" t="s">
        <v>66</v>
      </c>
    </row>
    <row r="331" spans="1:6" x14ac:dyDescent="0.3">
      <c r="A331" s="156" t="s">
        <v>397</v>
      </c>
      <c r="B331" t="s">
        <v>36</v>
      </c>
      <c r="C331" s="162">
        <v>5</v>
      </c>
      <c r="D331" t="str">
        <f>VLOOKUP(A331,DataUsuario!B:D,2,FALSE)</f>
        <v>Administración y Finanzas</v>
      </c>
      <c r="E331" t="str">
        <f>VLOOKUP(A331,DataUsuario!B:D,3,FALSE)</f>
        <v>Control de Gestión</v>
      </c>
      <c r="F331" t="s">
        <v>66</v>
      </c>
    </row>
    <row r="332" spans="1:6" x14ac:dyDescent="0.3">
      <c r="A332" s="157" t="s">
        <v>120</v>
      </c>
      <c r="B332" t="s">
        <v>36</v>
      </c>
      <c r="C332" s="163">
        <v>4</v>
      </c>
      <c r="D332" t="str">
        <f>VLOOKUP(A332,DataUsuario!B:D,2,FALSE)</f>
        <v>Agrícola</v>
      </c>
      <c r="E332" t="str">
        <f>VLOOKUP(A332,DataUsuario!B:D,3,FALSE)</f>
        <v>Fundo Montelima</v>
      </c>
      <c r="F332" t="s">
        <v>89</v>
      </c>
    </row>
    <row r="333" spans="1:6" x14ac:dyDescent="0.3">
      <c r="A333" s="156" t="s">
        <v>611</v>
      </c>
      <c r="B333" t="s">
        <v>36</v>
      </c>
      <c r="C333" s="162">
        <v>5</v>
      </c>
      <c r="D333" t="str">
        <f>VLOOKUP(A333,DataUsuario!B:D,2,FALSE)</f>
        <v>Operaciones</v>
      </c>
      <c r="E333" t="str">
        <f>VLOOKUP(A333,DataUsuario!B:D,3,FALSE)</f>
        <v>Almacenes y Distribución PT</v>
      </c>
      <c r="F333" t="s">
        <v>70</v>
      </c>
    </row>
    <row r="334" spans="1:6" x14ac:dyDescent="0.3">
      <c r="A334" s="157" t="s">
        <v>217</v>
      </c>
      <c r="B334" t="s">
        <v>36</v>
      </c>
      <c r="C334" s="163">
        <v>4</v>
      </c>
      <c r="D334" t="str">
        <f>VLOOKUP(A334,DataUsuario!B:D,2,FALSE)</f>
        <v>Agrícola</v>
      </c>
      <c r="E334" t="str">
        <f>VLOOKUP(A334,DataUsuario!B:D,3,FALSE)</f>
        <v>Mantenimiento de Riego y Bombas</v>
      </c>
      <c r="F334" t="s">
        <v>89</v>
      </c>
    </row>
    <row r="335" spans="1:6" x14ac:dyDescent="0.3">
      <c r="A335" s="156" t="s">
        <v>256</v>
      </c>
      <c r="B335" t="s">
        <v>36</v>
      </c>
      <c r="C335" s="162">
        <v>4</v>
      </c>
      <c r="D335" t="str">
        <f>VLOOKUP(A335,DataUsuario!B:D,2,FALSE)</f>
        <v>Agrícola</v>
      </c>
      <c r="E335" t="str">
        <f>VLOOKUP(A335,DataUsuario!B:D,3,FALSE)</f>
        <v>Fundo Montelima</v>
      </c>
      <c r="F335" t="s">
        <v>89</v>
      </c>
    </row>
    <row r="336" spans="1:6" x14ac:dyDescent="0.3">
      <c r="A336" s="157" t="s">
        <v>164</v>
      </c>
      <c r="B336" t="s">
        <v>36</v>
      </c>
      <c r="C336" s="163">
        <v>5</v>
      </c>
      <c r="D336" t="str">
        <f>VLOOKUP(A336,DataUsuario!B:D,2,FALSE)</f>
        <v>Agrícola</v>
      </c>
      <c r="E336" t="str">
        <f>VLOOKUP(A336,DataUsuario!B:D,3,FALSE)</f>
        <v>Fundo San Vicente</v>
      </c>
      <c r="F336" t="s">
        <v>89</v>
      </c>
    </row>
    <row r="337" spans="1:6" x14ac:dyDescent="0.3">
      <c r="A337" s="156" t="s">
        <v>170</v>
      </c>
      <c r="B337" t="s">
        <v>36</v>
      </c>
      <c r="C337" s="162">
        <v>5</v>
      </c>
      <c r="D337" t="str">
        <f>VLOOKUP(A337,DataUsuario!B:D,2,FALSE)</f>
        <v>Operaciones</v>
      </c>
      <c r="E337" t="str">
        <f>VLOOKUP(A337,DataUsuario!B:D,3,FALSE)</f>
        <v>Mantenimiento CAT</v>
      </c>
      <c r="F337" t="s">
        <v>70</v>
      </c>
    </row>
    <row r="338" spans="1:6" x14ac:dyDescent="0.3">
      <c r="A338" s="157" t="s">
        <v>337</v>
      </c>
      <c r="B338" t="s">
        <v>36</v>
      </c>
      <c r="C338" s="163">
        <v>5</v>
      </c>
      <c r="D338" t="str">
        <f>VLOOKUP(A338,DataUsuario!B:D,2,FALSE)</f>
        <v>Agrícola</v>
      </c>
      <c r="E338" t="str">
        <f>VLOOKUP(A338,DataUsuario!B:D,3,FALSE)</f>
        <v>Fundo San Vicente</v>
      </c>
      <c r="F338" t="s">
        <v>89</v>
      </c>
    </row>
    <row r="339" spans="1:6" x14ac:dyDescent="0.3">
      <c r="A339" s="156" t="s">
        <v>423</v>
      </c>
      <c r="B339" t="s">
        <v>36</v>
      </c>
      <c r="C339" s="162">
        <v>4</v>
      </c>
      <c r="D339" t="str">
        <f>VLOOKUP(A339,DataUsuario!B:D,2,FALSE)</f>
        <v>Industrial y de Mantenimiento</v>
      </c>
      <c r="E339" t="str">
        <f>VLOOKUP(A339,DataUsuario!B:D,3,FALSE)</f>
        <v>Producción</v>
      </c>
      <c r="F339" t="s">
        <v>74</v>
      </c>
    </row>
    <row r="340" spans="1:6" x14ac:dyDescent="0.3">
      <c r="A340" s="157" t="s">
        <v>205</v>
      </c>
      <c r="B340" t="s">
        <v>36</v>
      </c>
      <c r="C340" s="163">
        <v>4</v>
      </c>
      <c r="D340" t="str">
        <f>VLOOKUP(A340,DataUsuario!B:D,2,FALSE)</f>
        <v>Operaciones</v>
      </c>
      <c r="E340" t="str">
        <f>VLOOKUP(A340,DataUsuario!B:D,3,FALSE)</f>
        <v>Almacenes y Distribución PT</v>
      </c>
      <c r="F340" t="s">
        <v>70</v>
      </c>
    </row>
    <row r="341" spans="1:6" x14ac:dyDescent="0.3">
      <c r="A341" s="156" t="s">
        <v>150</v>
      </c>
      <c r="B341" t="s">
        <v>36</v>
      </c>
      <c r="C341" s="162">
        <v>5</v>
      </c>
      <c r="D341" t="str">
        <f>VLOOKUP(A341,DataUsuario!B:D,2,FALSE)</f>
        <v>Industrial y de Mantenimiento</v>
      </c>
      <c r="E341" t="str">
        <f>VLOOKUP(A341,DataUsuario!B:D,3,FALSE)</f>
        <v>Producción</v>
      </c>
      <c r="F341" t="s">
        <v>74</v>
      </c>
    </row>
    <row r="342" spans="1:6" x14ac:dyDescent="0.3">
      <c r="A342" s="157" t="s">
        <v>374</v>
      </c>
      <c r="B342" t="s">
        <v>36</v>
      </c>
      <c r="C342" s="163">
        <v>4</v>
      </c>
      <c r="D342" t="str">
        <f>VLOOKUP(A342,DataUsuario!B:D,2,FALSE)</f>
        <v>Agrícola</v>
      </c>
      <c r="E342" t="str">
        <f>VLOOKUP(A342,DataUsuario!B:D,3,FALSE)</f>
        <v>Mantenimiento de Riego y Bombas</v>
      </c>
      <c r="F342" t="s">
        <v>89</v>
      </c>
    </row>
    <row r="343" spans="1:6" x14ac:dyDescent="0.3">
      <c r="A343" s="156" t="s">
        <v>156</v>
      </c>
      <c r="B343" t="s">
        <v>36</v>
      </c>
      <c r="C343" s="162">
        <v>5</v>
      </c>
      <c r="D343" t="str">
        <f>VLOOKUP(A343,DataUsuario!B:D,2,FALSE)</f>
        <v>Administración y Finanzas</v>
      </c>
      <c r="E343" t="str">
        <f>VLOOKUP(A343,DataUsuario!B:D,3,FALSE)</f>
        <v>Compras</v>
      </c>
      <c r="F343" t="s">
        <v>66</v>
      </c>
    </row>
    <row r="344" spans="1:6" x14ac:dyDescent="0.3">
      <c r="A344" s="157" t="s">
        <v>192</v>
      </c>
      <c r="B344" t="s">
        <v>36</v>
      </c>
      <c r="C344" s="163">
        <v>4</v>
      </c>
      <c r="D344" t="str">
        <f>VLOOKUP(A344,DataUsuario!B:D,2,FALSE)</f>
        <v>Agrícola</v>
      </c>
      <c r="E344" t="str">
        <f>VLOOKUP(A344,DataUsuario!B:D,3,FALSE)</f>
        <v>Mantenimiento de Riego y Bombas</v>
      </c>
      <c r="F344" t="s">
        <v>89</v>
      </c>
    </row>
    <row r="345" spans="1:6" x14ac:dyDescent="0.3">
      <c r="A345" s="156" t="s">
        <v>152</v>
      </c>
      <c r="B345" t="s">
        <v>36</v>
      </c>
      <c r="C345" s="162">
        <v>4</v>
      </c>
      <c r="D345" t="str">
        <f>VLOOKUP(A345,DataUsuario!B:D,2,FALSE)</f>
        <v>Operaciones</v>
      </c>
      <c r="E345" t="str">
        <f>VLOOKUP(A345,DataUsuario!B:D,3,FALSE)</f>
        <v>Almacenes y Distribución PT</v>
      </c>
      <c r="F345" t="s">
        <v>70</v>
      </c>
    </row>
    <row r="346" spans="1:6" x14ac:dyDescent="0.3">
      <c r="A346" s="157" t="s">
        <v>378</v>
      </c>
      <c r="B346" t="s">
        <v>36</v>
      </c>
      <c r="C346" s="163">
        <v>4</v>
      </c>
      <c r="D346" t="str">
        <f>VLOOKUP(A346,DataUsuario!B:D,2,FALSE)</f>
        <v>Industrial y de Mantenimiento</v>
      </c>
      <c r="E346" t="str">
        <f>VLOOKUP(A346,DataUsuario!B:D,3,FALSE)</f>
        <v>Gerencia industrial y de Mantenimiento</v>
      </c>
      <c r="F346" t="s">
        <v>74</v>
      </c>
    </row>
    <row r="347" spans="1:6" x14ac:dyDescent="0.3">
      <c r="A347" s="156" t="s">
        <v>162</v>
      </c>
      <c r="B347" t="s">
        <v>36</v>
      </c>
      <c r="C347" s="162">
        <v>5</v>
      </c>
      <c r="D347" t="str">
        <f>VLOOKUP(A347,DataUsuario!B:D,2,FALSE)</f>
        <v>Agrícola</v>
      </c>
      <c r="E347" t="str">
        <f>VLOOKUP(A347,DataUsuario!B:D,3,FALSE)</f>
        <v>Fundo Lobo</v>
      </c>
      <c r="F347" t="s">
        <v>89</v>
      </c>
    </row>
    <row r="348" spans="1:6" x14ac:dyDescent="0.3">
      <c r="A348" s="157" t="s">
        <v>160</v>
      </c>
      <c r="B348" t="s">
        <v>36</v>
      </c>
      <c r="C348" s="163">
        <v>5</v>
      </c>
      <c r="D348" t="str">
        <f>VLOOKUP(A348,DataUsuario!B:D,2,FALSE)</f>
        <v>Agrícola</v>
      </c>
      <c r="E348" t="str">
        <f>VLOOKUP(A348,DataUsuario!B:D,3,FALSE)</f>
        <v>Fundo Lobo</v>
      </c>
      <c r="F348" t="s">
        <v>89</v>
      </c>
    </row>
    <row r="349" spans="1:6" x14ac:dyDescent="0.3">
      <c r="A349" s="156" t="s">
        <v>617</v>
      </c>
      <c r="B349" t="s">
        <v>36</v>
      </c>
      <c r="C349" s="162">
        <v>5</v>
      </c>
      <c r="D349" t="str">
        <f>VLOOKUP(A349,DataUsuario!B:D,2,FALSE)</f>
        <v>Administración y Finanzas</v>
      </c>
      <c r="E349" t="str">
        <f>VLOOKUP(A349,DataUsuario!B:D,3,FALSE)</f>
        <v>Control de Gestión</v>
      </c>
      <c r="F349" t="s">
        <v>66</v>
      </c>
    </row>
    <row r="350" spans="1:6" x14ac:dyDescent="0.3">
      <c r="A350" s="157" t="s">
        <v>210</v>
      </c>
      <c r="B350" t="s">
        <v>36</v>
      </c>
      <c r="C350" s="163">
        <v>5</v>
      </c>
      <c r="D350" t="str">
        <f>VLOOKUP(A350,DataUsuario!B:D,2,FALSE)</f>
        <v>Industrial y de Mantenimiento</v>
      </c>
      <c r="E350" t="str">
        <f>VLOOKUP(A350,DataUsuario!B:D,3,FALSE)</f>
        <v>Planta y Srv Industriales</v>
      </c>
      <c r="F350" t="s">
        <v>74</v>
      </c>
    </row>
    <row r="351" spans="1:6" x14ac:dyDescent="0.3">
      <c r="A351" s="156" t="s">
        <v>350</v>
      </c>
      <c r="B351" t="s">
        <v>36</v>
      </c>
      <c r="C351" s="162">
        <v>4</v>
      </c>
      <c r="D351" t="str">
        <f>VLOOKUP(A351,DataUsuario!B:D,2,FALSE)</f>
        <v>Agrícola</v>
      </c>
      <c r="E351" t="str">
        <f>VLOOKUP(A351,DataUsuario!B:D,3,FALSE)</f>
        <v>Planificador Agrícola</v>
      </c>
      <c r="F351" t="s">
        <v>89</v>
      </c>
    </row>
    <row r="352" spans="1:6" x14ac:dyDescent="0.3">
      <c r="A352" s="157" t="s">
        <v>619</v>
      </c>
      <c r="B352" t="s">
        <v>36</v>
      </c>
      <c r="C352" s="163">
        <v>4</v>
      </c>
      <c r="D352" t="str">
        <f>VLOOKUP(A352,DataUsuario!B:D,2,FALSE)</f>
        <v>Gestión Humana y Sostenibilidad</v>
      </c>
      <c r="E352" t="str">
        <f>VLOOKUP(A352,DataUsuario!B:D,3,FALSE)</f>
        <v>Control Presupuestal</v>
      </c>
      <c r="F352" t="s">
        <v>62</v>
      </c>
    </row>
    <row r="353" spans="1:6" x14ac:dyDescent="0.3">
      <c r="A353" s="156" t="s">
        <v>158</v>
      </c>
      <c r="B353" t="s">
        <v>36</v>
      </c>
      <c r="C353" s="162">
        <v>4</v>
      </c>
      <c r="D353" t="str">
        <f>VLOOKUP(A353,DataUsuario!B:D,2,FALSE)</f>
        <v>Operaciones</v>
      </c>
      <c r="E353" t="str">
        <f>VLOOKUP(A353,DataUsuario!B:D,3,FALSE)</f>
        <v>Calidad</v>
      </c>
      <c r="F353" t="s">
        <v>70</v>
      </c>
    </row>
    <row r="354" spans="1:6" x14ac:dyDescent="0.3">
      <c r="A354" s="157" t="s">
        <v>61</v>
      </c>
      <c r="B354" t="s">
        <v>36</v>
      </c>
      <c r="C354" s="163">
        <v>4</v>
      </c>
      <c r="D354" t="str">
        <f>VLOOKUP(A354,DataUsuario!B:D,2,FALSE)</f>
        <v>Gestión Humana y Sostenibilidad</v>
      </c>
      <c r="E354" t="str">
        <f>VLOOKUP(A354,DataUsuario!B:D,3,FALSE)</f>
        <v>Compensación y Nóminas</v>
      </c>
      <c r="F354" t="s">
        <v>62</v>
      </c>
    </row>
    <row r="355" spans="1:6" x14ac:dyDescent="0.3">
      <c r="A355" s="156" t="s">
        <v>385</v>
      </c>
      <c r="B355" t="s">
        <v>36</v>
      </c>
      <c r="C355" s="162">
        <v>5</v>
      </c>
      <c r="D355" t="str">
        <f>VLOOKUP(A355,DataUsuario!B:D,2,FALSE)</f>
        <v>Agrícola</v>
      </c>
      <c r="E355" t="str">
        <f>VLOOKUP(A355,DataUsuario!B:D,3,FALSE)</f>
        <v>Fundo Montelima</v>
      </c>
      <c r="F355" t="s">
        <v>89</v>
      </c>
    </row>
    <row r="356" spans="1:6" x14ac:dyDescent="0.3">
      <c r="A356" s="157" t="s">
        <v>621</v>
      </c>
      <c r="B356" t="s">
        <v>36</v>
      </c>
      <c r="C356" s="163">
        <v>5</v>
      </c>
      <c r="D356" t="str">
        <f>VLOOKUP(A356,DataUsuario!B:D,2,FALSE)</f>
        <v>Industrial y de Mantenimiento</v>
      </c>
      <c r="E356" t="str">
        <f>VLOOKUP(A356,DataUsuario!B:D,3,FALSE)</f>
        <v>Mantenimiento Industrial</v>
      </c>
      <c r="F356" t="s">
        <v>74</v>
      </c>
    </row>
    <row r="357" spans="1:6" x14ac:dyDescent="0.3">
      <c r="A357" s="156" t="s">
        <v>123</v>
      </c>
      <c r="B357" t="s">
        <v>36</v>
      </c>
      <c r="C357" s="162">
        <v>4</v>
      </c>
      <c r="D357" t="str">
        <f>VLOOKUP(A357,DataUsuario!B:D,2,FALSE)</f>
        <v>Administración y Finanzas</v>
      </c>
      <c r="E357" t="str">
        <f>VLOOKUP(A357,DataUsuario!B:D,3,FALSE)</f>
        <v>Gerencia Administración y Finanzas</v>
      </c>
      <c r="F357" t="s">
        <v>66</v>
      </c>
    </row>
    <row r="358" spans="1:6" x14ac:dyDescent="0.3">
      <c r="A358" s="157" t="s">
        <v>128</v>
      </c>
      <c r="B358" t="s">
        <v>36</v>
      </c>
      <c r="C358" s="163">
        <v>5</v>
      </c>
      <c r="D358" t="str">
        <f>VLOOKUP(A358,DataUsuario!B:D,2,FALSE)</f>
        <v>Agrícola</v>
      </c>
      <c r="E358" t="str">
        <f>VLOOKUP(A358,DataUsuario!B:D,3,FALSE)</f>
        <v>Fundo Lobo</v>
      </c>
      <c r="F358" t="s">
        <v>89</v>
      </c>
    </row>
    <row r="359" spans="1:6" x14ac:dyDescent="0.3">
      <c r="A359" s="156" t="s">
        <v>238</v>
      </c>
      <c r="B359" t="s">
        <v>36</v>
      </c>
      <c r="C359" s="162">
        <v>5</v>
      </c>
      <c r="D359" t="str">
        <f>VLOOKUP(A359,DataUsuario!B:D,2,FALSE)</f>
        <v>Industrial y de Mantenimiento</v>
      </c>
      <c r="E359" t="str">
        <f>VLOOKUP(A359,DataUsuario!B:D,3,FALSE)</f>
        <v>Producción</v>
      </c>
      <c r="F359" t="s">
        <v>74</v>
      </c>
    </row>
    <row r="360" spans="1:6" x14ac:dyDescent="0.3">
      <c r="A360" s="157" t="s">
        <v>413</v>
      </c>
      <c r="B360" t="s">
        <v>36</v>
      </c>
      <c r="C360" s="163">
        <v>4</v>
      </c>
      <c r="D360" t="str">
        <f>VLOOKUP(A360,DataUsuario!B:D,2,FALSE)</f>
        <v>Administración y Finanzas</v>
      </c>
      <c r="E360" t="str">
        <f>VLOOKUP(A360,DataUsuario!B:D,3,FALSE)</f>
        <v>Contabilidad Tributaria</v>
      </c>
      <c r="F360" t="s">
        <v>66</v>
      </c>
    </row>
    <row r="361" spans="1:6" x14ac:dyDescent="0.3">
      <c r="A361" s="156" t="s">
        <v>85</v>
      </c>
      <c r="B361" t="s">
        <v>36</v>
      </c>
      <c r="C361" s="162">
        <v>5</v>
      </c>
      <c r="D361" t="str">
        <f>VLOOKUP(A361,DataUsuario!B:D,2,FALSE)</f>
        <v>Operaciones</v>
      </c>
      <c r="E361" t="str">
        <f>VLOOKUP(A361,DataUsuario!B:D,3,FALSE)</f>
        <v>Comercial</v>
      </c>
      <c r="F361" t="s">
        <v>70</v>
      </c>
    </row>
    <row r="362" spans="1:6" x14ac:dyDescent="0.3">
      <c r="A362" s="157" t="s">
        <v>439</v>
      </c>
      <c r="B362" t="s">
        <v>36</v>
      </c>
      <c r="C362" s="163">
        <v>5</v>
      </c>
      <c r="D362" t="str">
        <f>VLOOKUP(A362,DataUsuario!B:D,2,FALSE)</f>
        <v>Operaciones</v>
      </c>
      <c r="E362" t="str">
        <f>VLOOKUP(A362,DataUsuario!B:D,3,FALSE)</f>
        <v>Comercial</v>
      </c>
      <c r="F362" t="s">
        <v>70</v>
      </c>
    </row>
    <row r="363" spans="1:6" x14ac:dyDescent="0.3">
      <c r="A363" s="156" t="s">
        <v>624</v>
      </c>
      <c r="B363" t="s">
        <v>36</v>
      </c>
      <c r="C363" s="162">
        <v>4</v>
      </c>
      <c r="D363" t="str">
        <f>VLOOKUP(A363,DataUsuario!B:D,2,FALSE)</f>
        <v>Agrícola</v>
      </c>
      <c r="E363" t="str">
        <f>VLOOKUP(A363,DataUsuario!B:D,3,FALSE)</f>
        <v>Fundo San Vicente</v>
      </c>
      <c r="F363" t="s">
        <v>89</v>
      </c>
    </row>
    <row r="364" spans="1:6" x14ac:dyDescent="0.3">
      <c r="A364" s="157" t="s">
        <v>369</v>
      </c>
      <c r="B364" t="s">
        <v>36</v>
      </c>
      <c r="C364" s="163">
        <v>5</v>
      </c>
      <c r="D364" t="str">
        <f>VLOOKUP(A364,DataUsuario!B:D,2,FALSE)</f>
        <v>Agrícola</v>
      </c>
      <c r="E364" t="str">
        <f>VLOOKUP(A364,DataUsuario!B:D,3,FALSE)</f>
        <v>Sistema Integral de Gestión</v>
      </c>
      <c r="F364" t="s">
        <v>89</v>
      </c>
    </row>
    <row r="365" spans="1:6" x14ac:dyDescent="0.3">
      <c r="A365" s="156" t="s">
        <v>576</v>
      </c>
      <c r="B365" t="s">
        <v>36</v>
      </c>
      <c r="C365" s="162">
        <v>5</v>
      </c>
      <c r="D365" t="str">
        <f>VLOOKUP(A365,DataUsuario!B:D,2,FALSE)</f>
        <v>Industrial y de Mantenimiento</v>
      </c>
      <c r="E365" t="str">
        <f>VLOOKUP(A365,DataUsuario!B:D,3,FALSE)</f>
        <v>Mantenimiento Industrial</v>
      </c>
      <c r="F365" t="s">
        <v>74</v>
      </c>
    </row>
    <row r="366" spans="1:6" x14ac:dyDescent="0.3">
      <c r="A366" s="157" t="s">
        <v>435</v>
      </c>
      <c r="B366" t="s">
        <v>36</v>
      </c>
      <c r="C366" s="163">
        <v>4</v>
      </c>
      <c r="D366" t="str">
        <f>VLOOKUP(A366,DataUsuario!B:D,2,FALSE)</f>
        <v>Operaciones</v>
      </c>
      <c r="E366" t="str">
        <f>VLOOKUP(A366,DataUsuario!B:D,3,FALSE)</f>
        <v>Almacenes y Distribución PT</v>
      </c>
      <c r="F366" t="s">
        <v>70</v>
      </c>
    </row>
    <row r="367" spans="1:6" x14ac:dyDescent="0.3">
      <c r="A367" s="156" t="s">
        <v>332</v>
      </c>
      <c r="B367" t="s">
        <v>36</v>
      </c>
      <c r="C367" s="162">
        <v>4</v>
      </c>
      <c r="D367" t="str">
        <f>VLOOKUP(A367,DataUsuario!B:D,2,FALSE)</f>
        <v>Agrícola</v>
      </c>
      <c r="E367" t="str">
        <f>VLOOKUP(A367,DataUsuario!B:D,3,FALSE)</f>
        <v>Gerencia Agrícola</v>
      </c>
      <c r="F367" t="s">
        <v>89</v>
      </c>
    </row>
    <row r="368" spans="1:6" x14ac:dyDescent="0.3">
      <c r="A368" s="157" t="s">
        <v>202</v>
      </c>
      <c r="B368" t="s">
        <v>36</v>
      </c>
      <c r="C368" s="163">
        <v>5</v>
      </c>
      <c r="D368" t="str">
        <f>VLOOKUP(A368,DataUsuario!B:D,2,FALSE)</f>
        <v>Agrícola</v>
      </c>
      <c r="E368" t="str">
        <f>VLOOKUP(A368,DataUsuario!B:D,3,FALSE)</f>
        <v>Fundo La Huaca</v>
      </c>
      <c r="F368" t="s">
        <v>89</v>
      </c>
    </row>
    <row r="369" spans="1:6" x14ac:dyDescent="0.3">
      <c r="A369" s="156" t="s">
        <v>167</v>
      </c>
      <c r="B369" t="s">
        <v>36</v>
      </c>
      <c r="C369" s="162" t="s">
        <v>632</v>
      </c>
      <c r="D369" t="str">
        <f>VLOOKUP(A369,DataUsuario!B:D,2,FALSE)</f>
        <v>Agrícola</v>
      </c>
      <c r="E369" t="str">
        <f>VLOOKUP(A369,DataUsuario!B:D,3,FALSE)</f>
        <v>Fundo Montelima</v>
      </c>
      <c r="F369" t="s">
        <v>89</v>
      </c>
    </row>
    <row r="370" spans="1:6" x14ac:dyDescent="0.3">
      <c r="A370" s="157" t="s">
        <v>628</v>
      </c>
      <c r="B370" t="s">
        <v>36</v>
      </c>
      <c r="C370" s="163" t="s">
        <v>632</v>
      </c>
      <c r="D370" t="str">
        <f>VLOOKUP(A370,DataUsuario!B:D,2,FALSE)</f>
        <v>Agrícola</v>
      </c>
      <c r="E370" t="str">
        <f>VLOOKUP(A370,DataUsuario!B:D,3,FALSE)</f>
        <v>Mantenimiento de Riego y Bombas</v>
      </c>
      <c r="F370" t="s">
        <v>89</v>
      </c>
    </row>
    <row r="371" spans="1:6" x14ac:dyDescent="0.3">
      <c r="A371" s="156" t="s">
        <v>115</v>
      </c>
      <c r="B371" t="s">
        <v>36</v>
      </c>
      <c r="C371" s="162">
        <v>5</v>
      </c>
      <c r="D371" t="str">
        <f>VLOOKUP(A371,DataUsuario!B:D,2,FALSE)</f>
        <v>Industrial y de Mantenimiento</v>
      </c>
      <c r="E371" t="str">
        <f>VLOOKUP(A371,DataUsuario!B:D,3,FALSE)</f>
        <v>Mantenimiento de Transportes</v>
      </c>
      <c r="F371" t="s">
        <v>74</v>
      </c>
    </row>
    <row r="372" spans="1:6" x14ac:dyDescent="0.3">
      <c r="A372" s="157" t="s">
        <v>629</v>
      </c>
      <c r="B372" t="s">
        <v>36</v>
      </c>
      <c r="C372" s="163">
        <v>4</v>
      </c>
      <c r="D372" t="str">
        <f>VLOOKUP(A372,DataUsuario!B:D,2,FALSE)</f>
        <v>Administración y Finanzas</v>
      </c>
      <c r="E372" t="str">
        <f>VLOOKUP(A372,DataUsuario!B:D,3,FALSE)</f>
        <v>Compras</v>
      </c>
      <c r="F372" t="s">
        <v>66</v>
      </c>
    </row>
    <row r="373" spans="1:6" x14ac:dyDescent="0.3">
      <c r="A373" s="158" t="s">
        <v>267</v>
      </c>
      <c r="B373" t="s">
        <v>36</v>
      </c>
      <c r="C373" s="164">
        <v>5</v>
      </c>
      <c r="D373" t="str">
        <f>VLOOKUP(A373,DataUsuario!B:D,2,FALSE)</f>
        <v>Gestión Humana y Sostenibilidad</v>
      </c>
      <c r="E373" t="str">
        <f>VLOOKUP(A373,DataUsuario!B:D,3,FALSE)</f>
        <v>Sostenibilidad</v>
      </c>
      <c r="F373" t="s">
        <v>62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F5F8-5DBE-46A5-A37A-8C5AEBCF5834}">
  <sheetPr codeName="Hoja6"/>
  <dimension ref="A2:M41"/>
  <sheetViews>
    <sheetView topLeftCell="A19" workbookViewId="0">
      <selection activeCell="B16" sqref="A16:B19"/>
    </sheetView>
  </sheetViews>
  <sheetFormatPr baseColWidth="10" defaultRowHeight="14.4" x14ac:dyDescent="0.3"/>
  <cols>
    <col min="1" max="1" width="42.21875" bestFit="1" customWidth="1"/>
    <col min="2" max="2" width="11.44140625" bestFit="1" customWidth="1"/>
    <col min="3" max="3" width="7.6640625" bestFit="1" customWidth="1"/>
    <col min="4" max="4" width="9.88671875" bestFit="1" customWidth="1"/>
    <col min="12" max="12" width="42.21875" bestFit="1" customWidth="1"/>
    <col min="13" max="13" width="18.5546875" bestFit="1" customWidth="1"/>
  </cols>
  <sheetData>
    <row r="2" spans="1:13" x14ac:dyDescent="0.3">
      <c r="A2" t="s">
        <v>638</v>
      </c>
      <c r="B2">
        <v>105</v>
      </c>
    </row>
    <row r="3" spans="1:13" x14ac:dyDescent="0.3">
      <c r="A3" t="s">
        <v>639</v>
      </c>
      <c r="B3">
        <v>93</v>
      </c>
    </row>
    <row r="4" spans="1:13" x14ac:dyDescent="0.3">
      <c r="A4" t="s">
        <v>640</v>
      </c>
      <c r="B4">
        <v>12</v>
      </c>
    </row>
    <row r="15" spans="1:13" x14ac:dyDescent="0.3">
      <c r="A15" t="s">
        <v>452</v>
      </c>
      <c r="B15" t="s">
        <v>635</v>
      </c>
      <c r="L15" t="s">
        <v>636</v>
      </c>
      <c r="M15" t="s">
        <v>637</v>
      </c>
    </row>
    <row r="16" spans="1:13" x14ac:dyDescent="0.3">
      <c r="A16" t="s">
        <v>36</v>
      </c>
      <c r="B16">
        <v>4.4640000000000004</v>
      </c>
      <c r="L16" t="s">
        <v>62</v>
      </c>
      <c r="M16">
        <v>4.6500000000000004</v>
      </c>
    </row>
    <row r="17" spans="1:13" x14ac:dyDescent="0.3">
      <c r="A17" t="s">
        <v>34</v>
      </c>
      <c r="B17" s="176">
        <v>4.3</v>
      </c>
      <c r="L17" t="s">
        <v>74</v>
      </c>
      <c r="M17">
        <v>4.3289999999999997</v>
      </c>
    </row>
    <row r="18" spans="1:13" x14ac:dyDescent="0.3">
      <c r="A18" t="s">
        <v>33</v>
      </c>
      <c r="B18">
        <v>4.2939999999999996</v>
      </c>
      <c r="L18" t="s">
        <v>66</v>
      </c>
      <c r="M18">
        <v>4.3010000000000002</v>
      </c>
    </row>
    <row r="19" spans="1:13" x14ac:dyDescent="0.3">
      <c r="A19" t="s">
        <v>35</v>
      </c>
      <c r="B19">
        <v>4.2880000000000003</v>
      </c>
      <c r="L19" t="s">
        <v>70</v>
      </c>
      <c r="M19">
        <v>4.2919999999999998</v>
      </c>
    </row>
    <row r="20" spans="1:13" x14ac:dyDescent="0.3">
      <c r="L20" t="s">
        <v>89</v>
      </c>
      <c r="M20">
        <v>4.258</v>
      </c>
    </row>
    <row r="34" spans="1:13" x14ac:dyDescent="0.3">
      <c r="L34" s="174" t="s">
        <v>5</v>
      </c>
      <c r="M34" t="s">
        <v>93</v>
      </c>
    </row>
    <row r="36" spans="1:13" ht="15" thickBot="1" x14ac:dyDescent="0.35">
      <c r="B36" s="22">
        <v>2023</v>
      </c>
      <c r="C36" s="22" t="s">
        <v>454</v>
      </c>
      <c r="D36" s="20" t="s">
        <v>459</v>
      </c>
      <c r="L36" s="174" t="s">
        <v>644</v>
      </c>
      <c r="M36" t="s">
        <v>648</v>
      </c>
    </row>
    <row r="37" spans="1:13" x14ac:dyDescent="0.3">
      <c r="A37" t="s">
        <v>36</v>
      </c>
      <c r="B37" s="27">
        <v>4.3879999999999999</v>
      </c>
      <c r="C37" s="12">
        <v>4.5410000000000004</v>
      </c>
      <c r="D37">
        <v>4.4640000000000004</v>
      </c>
      <c r="L37" s="146" t="s">
        <v>36</v>
      </c>
      <c r="M37" s="176">
        <v>5</v>
      </c>
    </row>
    <row r="38" spans="1:13" x14ac:dyDescent="0.3">
      <c r="A38" t="s">
        <v>34</v>
      </c>
      <c r="B38" s="27">
        <v>4.2069999999999999</v>
      </c>
      <c r="C38" s="12">
        <v>4.4619999999999997</v>
      </c>
      <c r="D38">
        <v>4.3</v>
      </c>
      <c r="L38" s="146" t="s">
        <v>33</v>
      </c>
      <c r="M38" s="176">
        <v>5</v>
      </c>
    </row>
    <row r="39" spans="1:13" x14ac:dyDescent="0.3">
      <c r="A39" t="s">
        <v>33</v>
      </c>
      <c r="B39" s="27">
        <v>4.2350000000000003</v>
      </c>
      <c r="C39" s="12">
        <v>4.625</v>
      </c>
      <c r="D39">
        <v>4.2939999999999996</v>
      </c>
      <c r="L39" s="146" t="s">
        <v>35</v>
      </c>
      <c r="M39" s="176">
        <v>4.8</v>
      </c>
    </row>
    <row r="40" spans="1:13" ht="15" thickBot="1" x14ac:dyDescent="0.35">
      <c r="A40" t="s">
        <v>35</v>
      </c>
      <c r="B40" s="29">
        <v>4.173</v>
      </c>
      <c r="C40" s="32">
        <v>4.556</v>
      </c>
      <c r="D40" s="18">
        <v>4.2880000000000003</v>
      </c>
      <c r="L40" s="146" t="s">
        <v>34</v>
      </c>
      <c r="M40" s="176">
        <v>4.8</v>
      </c>
    </row>
    <row r="41" spans="1:13" x14ac:dyDescent="0.3">
      <c r="L41" s="146" t="s">
        <v>645</v>
      </c>
      <c r="M41" s="176">
        <v>4.9000000000000004</v>
      </c>
    </row>
  </sheetData>
  <autoFilter ref="A36:D40" xr:uid="{432FF5F8-5DBE-46A5-A37A-8C5AEBCF5834}">
    <sortState xmlns:xlrd2="http://schemas.microsoft.com/office/spreadsheetml/2017/richdata2" ref="A37:D40">
      <sortCondition descending="1" ref="D36:D40"/>
    </sortState>
  </autoFilter>
  <pageMargins left="0.7" right="0.7" top="0.75" bottom="0.75" header="0.3" footer="0.3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A212D-2C08-4EF7-8DEB-96F73A7FC62C}">
  <sheetPr codeName="Hoja9"/>
  <dimension ref="D69:P86"/>
  <sheetViews>
    <sheetView tabSelected="1" topLeftCell="A10" zoomScale="70" zoomScaleNormal="70" workbookViewId="0">
      <selection activeCell="T16" sqref="T16"/>
    </sheetView>
  </sheetViews>
  <sheetFormatPr baseColWidth="10" defaultRowHeight="14.4" x14ac:dyDescent="0.3"/>
  <sheetData>
    <row r="69" spans="4:16" x14ac:dyDescent="0.3">
      <c r="D69" s="165"/>
      <c r="E69" s="166"/>
      <c r="F69" s="166"/>
      <c r="G69" s="166"/>
      <c r="H69" s="166"/>
      <c r="I69" s="166"/>
      <c r="J69" s="166"/>
      <c r="K69" s="166"/>
      <c r="L69" s="166"/>
      <c r="M69" s="166"/>
      <c r="N69" s="166"/>
      <c r="O69" s="166"/>
      <c r="P69" s="167"/>
    </row>
    <row r="70" spans="4:16" x14ac:dyDescent="0.3">
      <c r="D70" s="168" t="s">
        <v>641</v>
      </c>
      <c r="P70" s="169"/>
    </row>
    <row r="71" spans="4:16" x14ac:dyDescent="0.3">
      <c r="D71" s="168"/>
      <c r="P71" s="169"/>
    </row>
    <row r="72" spans="4:16" x14ac:dyDescent="0.3">
      <c r="D72" s="10" t="s">
        <v>5</v>
      </c>
      <c r="E72" s="11">
        <v>2023</v>
      </c>
      <c r="F72" s="11">
        <v>2024</v>
      </c>
      <c r="I72" s="43"/>
      <c r="P72" s="169"/>
    </row>
    <row r="73" spans="4:16" x14ac:dyDescent="0.3">
      <c r="D73" s="170" t="s">
        <v>642</v>
      </c>
      <c r="E73" s="16">
        <v>4.2511088144452396</v>
      </c>
      <c r="F73" s="17">
        <v>4.3719999999999999</v>
      </c>
      <c r="I73" s="108"/>
      <c r="P73" s="169"/>
    </row>
    <row r="74" spans="4:16" x14ac:dyDescent="0.3">
      <c r="D74" s="168"/>
      <c r="P74" s="169"/>
    </row>
    <row r="75" spans="4:16" x14ac:dyDescent="0.3">
      <c r="D75" s="168"/>
      <c r="P75" s="169"/>
    </row>
    <row r="76" spans="4:16" x14ac:dyDescent="0.3">
      <c r="D76" s="168"/>
      <c r="P76" s="169"/>
    </row>
    <row r="77" spans="4:16" x14ac:dyDescent="0.3">
      <c r="D77" s="168"/>
      <c r="F77" s="141"/>
      <c r="P77" s="169"/>
    </row>
    <row r="78" spans="4:16" x14ac:dyDescent="0.3">
      <c r="D78" s="168"/>
      <c r="P78" s="169"/>
    </row>
    <row r="79" spans="4:16" x14ac:dyDescent="0.3">
      <c r="D79" s="168"/>
      <c r="P79" s="169"/>
    </row>
    <row r="80" spans="4:16" x14ac:dyDescent="0.3">
      <c r="D80" s="168"/>
      <c r="P80" s="169"/>
    </row>
    <row r="81" spans="4:16" x14ac:dyDescent="0.3">
      <c r="D81" s="168"/>
      <c r="P81" s="169"/>
    </row>
    <row r="82" spans="4:16" x14ac:dyDescent="0.3">
      <c r="D82" s="168"/>
      <c r="P82" s="169"/>
    </row>
    <row r="83" spans="4:16" x14ac:dyDescent="0.3">
      <c r="D83" s="168"/>
      <c r="P83" s="169"/>
    </row>
    <row r="84" spans="4:16" x14ac:dyDescent="0.3">
      <c r="D84" s="168"/>
      <c r="P84" s="169"/>
    </row>
    <row r="85" spans="4:16" x14ac:dyDescent="0.3">
      <c r="D85" s="168"/>
      <c r="P85" s="169"/>
    </row>
    <row r="86" spans="4:16" x14ac:dyDescent="0.3">
      <c r="D86" s="171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  <c r="P86" s="17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2024-12-30T16:53:08Z</dcterms:modified>
</cp:coreProperties>
</file>