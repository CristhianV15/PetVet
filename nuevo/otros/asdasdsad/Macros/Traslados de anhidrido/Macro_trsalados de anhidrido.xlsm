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ValladolidC\Desktop\"/>
    </mc:Choice>
  </mc:AlternateContent>
  <xr:revisionPtr revIDLastSave="0" documentId="13_ncr:1_{43BE55D9-C1F9-44C3-9355-97621AD452F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C3" i="2"/>
  <c r="B3" i="2"/>
</calcChain>
</file>

<file path=xl/sharedStrings.xml><?xml version="1.0" encoding="utf-8"?>
<sst xmlns="http://schemas.openxmlformats.org/spreadsheetml/2006/main" count="18" uniqueCount="9">
  <si>
    <t>Cantidad</t>
  </si>
  <si>
    <t>Fecha Entrega</t>
  </si>
  <si>
    <t>Doc. Compras</t>
  </si>
  <si>
    <t>4550756776</t>
  </si>
  <si>
    <t>Fecha</t>
  </si>
  <si>
    <t>De Almacen</t>
  </si>
  <si>
    <t>A Almacen</t>
  </si>
  <si>
    <t>Vale Material</t>
  </si>
  <si>
    <t>01.07.2024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</si>
</sst>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8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164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64" formatCode="#,##0.0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0</xdr:row>
          <xdr:rowOff>91440</xdr:rowOff>
        </xdr:from>
        <xdr:to>
          <xdr:col>3</xdr:col>
          <xdr:colOff>396240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0</xdr:row>
          <xdr:rowOff>76200</xdr:rowOff>
        </xdr:from>
        <xdr:to>
          <xdr:col>2</xdr:col>
          <xdr:colOff>403860</xdr:colOff>
          <xdr:row>0</xdr:row>
          <xdr:rowOff>396240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CBA01E-E664-46AB-BC16-A48251C5F256}" name="Tabla1" displayName="Tabla1" ref="A2:D8" totalsRowShown="0" headerRowDxfId="12" dataDxfId="11">
  <autoFilter ref="A2:D8" xr:uid="{AECBA01E-E664-46AB-BC16-A48251C5F256}"/>
  <sortState xmlns:xlrd2="http://schemas.microsoft.com/office/spreadsheetml/2017/richdata2" ref="A2:D3">
    <sortCondition ref="C2"/>
  </sortState>
  <tableColumns count="4">
    <tableColumn id="3" xr3:uid="{0563D0B9-3D72-4CB8-8B7B-26AE28E45121}" name="Doc. Compras" dataDxfId="10"/>
    <tableColumn id="1" xr3:uid="{52BE722B-D648-49ED-AC32-A8417BEFFD8F}" name="Cantidad" dataDxfId="9"/>
    <tableColumn id="2" xr3:uid="{7F530642-62B9-4661-8CC0-E5951E3DE217}" name="Fecha Entrega" dataDxfId="8"/>
    <tableColumn id="4" xr3:uid="{F40F7763-A310-4400-AE0B-6D11F38737B3}" name="Vale Material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E8094-6176-42CE-8C62-800E7C4AFE89}" name="Tabla2" displayName="Tabla2" ref="A2:F3" totalsRowShown="0" dataDxfId="6">
  <autoFilter ref="A2:F3" xr:uid="{235E8094-6176-42CE-8C62-800E7C4AFE89}"/>
  <tableColumns count="6">
    <tableColumn id="1" xr3:uid="{F6605D23-81AC-45B7-8ECE-F1FC225B097C}" name="Doc. Compras" dataDxfId="5"/>
    <tableColumn id="2" xr3:uid="{6D054EE8-D765-44A5-94C1-429ECCB54909}" name="Cantidad" dataDxfId="4">
      <calculatedColumnFormula>VLOOKUP(Tabla2[[#This Row],[Doc. Compras]],Tabla1[],2,FALSE)</calculatedColumnFormula>
    </tableColumn>
    <tableColumn id="3" xr3:uid="{15D6AC57-E299-403B-B132-6B88039EB0E5}" name="Fecha" dataDxfId="3">
      <calculatedColumnFormula>VLOOKUP(Tabla2[[#This Row],[Doc. Compras]],Tabla1[],3,FALSE)</calculatedColumnFormula>
    </tableColumn>
    <tableColumn id="6" xr3:uid="{920C3123-B036-4657-9BC5-489634B7DF07}" name="Vale Material" dataDxfId="2">
      <calculatedColumnFormula>VLOOKUP(Tabla2[[#This Row],[Doc. Compras]],Tabla1[],4,FALSE)</calculatedColumnFormula>
    </tableColumn>
    <tableColumn id="4" xr3:uid="{82CDFE22-7657-412F-8FA3-C0B03ED8AF43}" name="De Almacen" dataDxfId="1"/>
    <tableColumn id="5" xr3:uid="{A7EA7DFD-2824-4B18-B648-B68DAC6EFA90}" name="A Almace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8"/>
  <sheetViews>
    <sheetView tabSelected="1" zoomScale="130" zoomScaleNormal="130" workbookViewId="0">
      <selection activeCell="C3" sqref="C3"/>
    </sheetView>
  </sheetViews>
  <sheetFormatPr baseColWidth="10" defaultColWidth="8.88671875" defaultRowHeight="14.4" x14ac:dyDescent="0.3"/>
  <cols>
    <col min="1" max="1" width="14.88671875" bestFit="1" customWidth="1"/>
    <col min="2" max="2" width="10.44140625" customWidth="1"/>
    <col min="3" max="3" width="14.6640625" customWidth="1"/>
    <col min="4" max="4" width="14.33203125" customWidth="1"/>
  </cols>
  <sheetData>
    <row r="1" spans="1:4" ht="36.6" customHeight="1" x14ac:dyDescent="0.3"/>
    <row r="2" spans="1:4" ht="13.2" customHeight="1" x14ac:dyDescent="0.3">
      <c r="A2" t="s">
        <v>2</v>
      </c>
      <c r="B2" t="s">
        <v>0</v>
      </c>
      <c r="C2" t="s">
        <v>1</v>
      </c>
      <c r="D2" t="s">
        <v>7</v>
      </c>
    </row>
    <row r="3" spans="1:4" x14ac:dyDescent="0.3">
      <c r="A3">
        <v>4550758435</v>
      </c>
      <c r="B3" s="3">
        <v>0.03</v>
      </c>
      <c r="C3" s="1" t="s">
        <v>8</v>
      </c>
      <c r="D3" s="2"/>
    </row>
    <row r="4" spans="1:4" x14ac:dyDescent="0.3">
      <c r="A4">
        <v>4550758436</v>
      </c>
      <c r="B4" s="3">
        <v>0.01</v>
      </c>
      <c r="C4" s="1" t="s">
        <v>8</v>
      </c>
      <c r="D4" s="2"/>
    </row>
    <row r="5" spans="1:4" x14ac:dyDescent="0.3">
      <c r="A5">
        <v>4550758437</v>
      </c>
      <c r="B5" s="3">
        <v>0.01</v>
      </c>
      <c r="C5" s="1" t="s">
        <v>8</v>
      </c>
      <c r="D5" s="2"/>
    </row>
    <row r="6" spans="1:4" x14ac:dyDescent="0.3">
      <c r="A6">
        <v>4550758438</v>
      </c>
      <c r="B6" s="3">
        <v>0.01</v>
      </c>
      <c r="C6" s="1" t="s">
        <v>8</v>
      </c>
      <c r="D6" s="2"/>
    </row>
    <row r="7" spans="1:4" x14ac:dyDescent="0.3">
      <c r="A7">
        <v>4550758439</v>
      </c>
      <c r="B7" s="3">
        <v>29.96</v>
      </c>
      <c r="C7" s="1" t="s">
        <v>8</v>
      </c>
      <c r="D7" s="2"/>
    </row>
    <row r="8" spans="1:4" x14ac:dyDescent="0.3">
      <c r="A8">
        <v>4550758440</v>
      </c>
      <c r="B8" s="3">
        <v>29.65</v>
      </c>
      <c r="C8" s="1" t="s">
        <v>8</v>
      </c>
      <c r="D8" s="2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373380</xdr:colOff>
                <xdr:row>0</xdr:row>
                <xdr:rowOff>91440</xdr:rowOff>
              </from>
              <to>
                <xdr:col>3</xdr:col>
                <xdr:colOff>396240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59F1-1BCB-4923-8EF9-A52A2B47FC5A}">
  <sheetPr codeName="Hoja2"/>
  <dimension ref="A1:F4"/>
  <sheetViews>
    <sheetView zoomScale="130" zoomScaleNormal="130" workbookViewId="0">
      <selection activeCell="A4" sqref="A4:XFD4"/>
    </sheetView>
  </sheetViews>
  <sheetFormatPr baseColWidth="10" defaultRowHeight="14.4" x14ac:dyDescent="0.3"/>
  <cols>
    <col min="1" max="1" width="14.109375" customWidth="1"/>
    <col min="4" max="4" width="14.33203125" bestFit="1" customWidth="1"/>
  </cols>
  <sheetData>
    <row r="1" spans="1:6" ht="38.4" customHeight="1" x14ac:dyDescent="0.3"/>
    <row r="2" spans="1:6" x14ac:dyDescent="0.3">
      <c r="A2" t="s">
        <v>2</v>
      </c>
      <c r="B2" t="s">
        <v>0</v>
      </c>
      <c r="C2" t="s">
        <v>4</v>
      </c>
      <c r="D2" t="s">
        <v>7</v>
      </c>
      <c r="E2" t="s">
        <v>5</v>
      </c>
      <c r="F2" t="s">
        <v>6</v>
      </c>
    </row>
    <row r="3" spans="1:6" x14ac:dyDescent="0.3">
      <c r="A3" t="s">
        <v>3</v>
      </c>
      <c r="B3" t="e">
        <f>VLOOKUP(Tabla2[[#This Row],[Doc. Compras]],Tabla1[],2,FALSE)</f>
        <v>#N/A</v>
      </c>
      <c r="C3" s="1" t="e">
        <f>VLOOKUP(Tabla2[[#This Row],[Doc. Compras]],Tabla1[],3,FALSE)</f>
        <v>#N/A</v>
      </c>
      <c r="D3" s="2" t="e">
        <f>VLOOKUP(Tabla2[[#This Row],[Doc. Compras]],Tabla1[],4,FALSE)</f>
        <v>#N/A</v>
      </c>
    </row>
    <row r="4" spans="1:6" x14ac:dyDescent="0.3">
      <c r="A4">
        <v>4550758434</v>
      </c>
      <c r="B4" s="3">
        <v>0.01</v>
      </c>
      <c r="C4" s="1" t="s">
        <v>8</v>
      </c>
      <c r="D4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220980</xdr:colOff>
                <xdr:row>0</xdr:row>
                <xdr:rowOff>76200</xdr:rowOff>
              </from>
              <to>
                <xdr:col>2</xdr:col>
                <xdr:colOff>403860</xdr:colOff>
                <xdr:row>0</xdr:row>
                <xdr:rowOff>396240</xdr:rowOff>
              </to>
            </anchor>
          </controlPr>
        </control>
      </mc:Choice>
      <mc:Fallback>
        <control shapeId="2049" r:id="rId3" name="CommandButton1"/>
      </mc:Fallback>
    </mc:AlternateContent>
  </controls>
  <tableParts count="1">
    <tablePart r:id="rId5"/>
  </tableParts>
</worksheet>
</file>

<file path=docMetadata/LabelInfo.xml><?xml version="1.0" encoding="utf-8"?>
<clbl:labelList xmlns:clbl="http://schemas.microsoft.com/office/2020/mipLabelMetadata">
  <clbl:label id="{5726fb42-8426-4577-9964-f13a62ad5eb9}" enabled="0" method="" siteId="{5726fb42-8426-4577-9964-f13a62ad5eb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Paul Cruz Albines</dc:creator>
  <cp:lastModifiedBy>Cristhian Martin Valladolid Chero</cp:lastModifiedBy>
  <dcterms:created xsi:type="dcterms:W3CDTF">2015-06-05T18:19:34Z</dcterms:created>
  <dcterms:modified xsi:type="dcterms:W3CDTF">2024-07-17T16:05:39Z</dcterms:modified>
</cp:coreProperties>
</file>